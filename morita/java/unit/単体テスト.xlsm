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shumpei.morita\Desktop\研修\morita\java\unit\"/>
    </mc:Choice>
  </mc:AlternateContent>
  <xr:revisionPtr revIDLastSave="0" documentId="13_ncr:1_{42DD91BA-81BA-4EC2-92BE-48FDE7FF1493}" xr6:coauthVersionLast="36" xr6:coauthVersionMax="36" xr10:uidLastSave="{00000000-0000-0000-0000-000000000000}"/>
  <bookViews>
    <workbookView xWindow="32770" yWindow="30" windowWidth="19190" windowHeight="4760" firstSheet="28" activeTab="46" xr2:uid="{00000000-000D-0000-FFFF-FFFF00000000}"/>
  </bookViews>
  <sheets>
    <sheet name="テスト観点" sheetId="65" r:id="rId1"/>
    <sheet name="異業種商材申込情報抽出" sheetId="66" r:id="rId2"/>
    <sheet name="1" sheetId="68" r:id="rId3"/>
    <sheet name="3" sheetId="74" r:id="rId4"/>
    <sheet name="4" sheetId="75" r:id="rId5"/>
    <sheet name="5" sheetId="76" r:id="rId6"/>
    <sheet name="6" sheetId="77" r:id="rId7"/>
    <sheet name="7" sheetId="78" r:id="rId8"/>
    <sheet name="8" sheetId="79" r:id="rId9"/>
    <sheet name="9" sheetId="80" r:id="rId10"/>
    <sheet name="10" sheetId="82" r:id="rId11"/>
    <sheet name="11" sheetId="83" r:id="rId12"/>
    <sheet name="12" sheetId="84" r:id="rId13"/>
    <sheet name="13" sheetId="85" r:id="rId14"/>
    <sheet name="14" sheetId="86" r:id="rId15"/>
    <sheet name="15" sheetId="87" r:id="rId16"/>
    <sheet name="2" sheetId="73" r:id="rId17"/>
    <sheet name="16" sheetId="88" r:id="rId18"/>
    <sheet name="17" sheetId="89" r:id="rId19"/>
    <sheet name="18" sheetId="90" r:id="rId20"/>
    <sheet name="19" sheetId="91" r:id="rId21"/>
    <sheet name="20" sheetId="92" r:id="rId22"/>
    <sheet name="21" sheetId="93" r:id="rId23"/>
    <sheet name="22" sheetId="94" r:id="rId24"/>
    <sheet name="23" sheetId="95" r:id="rId25"/>
    <sheet name="24" sheetId="96" r:id="rId26"/>
    <sheet name="25" sheetId="97" r:id="rId27"/>
    <sheet name="26" sheetId="98" r:id="rId28"/>
    <sheet name="27" sheetId="99" r:id="rId29"/>
    <sheet name="28" sheetId="100" r:id="rId30"/>
    <sheet name="29" sheetId="101" r:id="rId31"/>
    <sheet name="30" sheetId="102" r:id="rId32"/>
    <sheet name="31" sheetId="103" r:id="rId33"/>
    <sheet name="32" sheetId="104" r:id="rId34"/>
    <sheet name="33" sheetId="105" r:id="rId35"/>
    <sheet name="34" sheetId="106" r:id="rId36"/>
    <sheet name="35" sheetId="107" r:id="rId37"/>
    <sheet name="36" sheetId="108" r:id="rId38"/>
    <sheet name="37" sheetId="109" r:id="rId39"/>
    <sheet name="38" sheetId="110" r:id="rId40"/>
    <sheet name="39" sheetId="111" r:id="rId41"/>
    <sheet name="40" sheetId="112" r:id="rId42"/>
    <sheet name="41" sheetId="113" r:id="rId43"/>
    <sheet name="42" sheetId="114" r:id="rId44"/>
    <sheet name="43" sheetId="115" r:id="rId45"/>
    <sheet name="Generator" sheetId="5" r:id="rId46"/>
    <sheet name="M001" sheetId="67" r:id="rId47"/>
    <sheet name="base" sheetId="72" r:id="rId48"/>
  </sheets>
  <functionGroups builtInGroupCount="19"/>
  <externalReferences>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s>
  <definedNames>
    <definedName name="___CHK01">#REF!</definedName>
    <definedName name="___CHK02">#REF!</definedName>
    <definedName name="___CHK03">#REF!</definedName>
    <definedName name="___CHK04">#REF!</definedName>
    <definedName name="___CHK05" localSheetId="10">#REF!</definedName>
    <definedName name="___CHK05" localSheetId="11">#REF!</definedName>
    <definedName name="___CHK05" localSheetId="12">#REF!</definedName>
    <definedName name="___CHK05" localSheetId="13">#REF!</definedName>
    <definedName name="___CHK05" localSheetId="14">#REF!</definedName>
    <definedName name="___CHK05" localSheetId="15">#REF!</definedName>
    <definedName name="___CHK05" localSheetId="17">#REF!</definedName>
    <definedName name="___CHK05" localSheetId="18">#REF!</definedName>
    <definedName name="___CHK05" localSheetId="19">#REF!</definedName>
    <definedName name="___CHK05" localSheetId="20">#REF!</definedName>
    <definedName name="___CHK05" localSheetId="16">#REF!</definedName>
    <definedName name="___CHK05" localSheetId="21">#REF!</definedName>
    <definedName name="___CHK05" localSheetId="22">#REF!</definedName>
    <definedName name="___CHK05" localSheetId="23">#REF!</definedName>
    <definedName name="___CHK05" localSheetId="24">#REF!</definedName>
    <definedName name="___CHK05" localSheetId="25">#REF!</definedName>
    <definedName name="___CHK05" localSheetId="26">#REF!</definedName>
    <definedName name="___CHK05" localSheetId="27">#REF!</definedName>
    <definedName name="___CHK05" localSheetId="28">#REF!</definedName>
    <definedName name="___CHK05" localSheetId="29">#REF!</definedName>
    <definedName name="___CHK05" localSheetId="30">#REF!</definedName>
    <definedName name="___CHK05" localSheetId="3">#REF!</definedName>
    <definedName name="___CHK05" localSheetId="31">#REF!</definedName>
    <definedName name="___CHK05" localSheetId="32">#REF!</definedName>
    <definedName name="___CHK05" localSheetId="33">#REF!</definedName>
    <definedName name="___CHK05" localSheetId="34">#REF!</definedName>
    <definedName name="___CHK05" localSheetId="35">#REF!</definedName>
    <definedName name="___CHK05" localSheetId="36">#REF!</definedName>
    <definedName name="___CHK05" localSheetId="37">#REF!</definedName>
    <definedName name="___CHK05" localSheetId="38">#REF!</definedName>
    <definedName name="___CHK05" localSheetId="39">#REF!</definedName>
    <definedName name="___CHK05" localSheetId="40">#REF!</definedName>
    <definedName name="___CHK05" localSheetId="4">#REF!</definedName>
    <definedName name="___CHK05" localSheetId="41">#REF!</definedName>
    <definedName name="___CHK05" localSheetId="42">#REF!</definedName>
    <definedName name="___CHK05" localSheetId="43">#REF!</definedName>
    <definedName name="___CHK05" localSheetId="44">#REF!</definedName>
    <definedName name="___CHK05" localSheetId="5">#REF!</definedName>
    <definedName name="___CHK05" localSheetId="6">#REF!</definedName>
    <definedName name="___CHK05" localSheetId="7">#REF!</definedName>
    <definedName name="___CHK05" localSheetId="8">#REF!</definedName>
    <definedName name="___CHK05" localSheetId="9">#REF!</definedName>
    <definedName name="___CHK05">#REF!</definedName>
    <definedName name="__CHK01">#REF!</definedName>
    <definedName name="__CHK02">#REF!</definedName>
    <definedName name="__CHK03">#REF!</definedName>
    <definedName name="__CHK04">#REF!</definedName>
    <definedName name="__CHK05" localSheetId="10">#REF!</definedName>
    <definedName name="__CHK05" localSheetId="11">#REF!</definedName>
    <definedName name="__CHK05" localSheetId="12">#REF!</definedName>
    <definedName name="__CHK05" localSheetId="13">#REF!</definedName>
    <definedName name="__CHK05" localSheetId="14">#REF!</definedName>
    <definedName name="__CHK05" localSheetId="15">#REF!</definedName>
    <definedName name="__CHK05" localSheetId="17">#REF!</definedName>
    <definedName name="__CHK05" localSheetId="18">#REF!</definedName>
    <definedName name="__CHK05" localSheetId="19">#REF!</definedName>
    <definedName name="__CHK05" localSheetId="20">#REF!</definedName>
    <definedName name="__CHK05" localSheetId="16">#REF!</definedName>
    <definedName name="__CHK05" localSheetId="21">#REF!</definedName>
    <definedName name="__CHK05" localSheetId="22">#REF!</definedName>
    <definedName name="__CHK05" localSheetId="23">#REF!</definedName>
    <definedName name="__CHK05" localSheetId="24">#REF!</definedName>
    <definedName name="__CHK05" localSheetId="25">#REF!</definedName>
    <definedName name="__CHK05" localSheetId="26">#REF!</definedName>
    <definedName name="__CHK05" localSheetId="27">#REF!</definedName>
    <definedName name="__CHK05" localSheetId="28">#REF!</definedName>
    <definedName name="__CHK05" localSheetId="29">#REF!</definedName>
    <definedName name="__CHK05" localSheetId="30">#REF!</definedName>
    <definedName name="__CHK05" localSheetId="3">#REF!</definedName>
    <definedName name="__CHK05" localSheetId="31">#REF!</definedName>
    <definedName name="__CHK05" localSheetId="32">#REF!</definedName>
    <definedName name="__CHK05" localSheetId="33">#REF!</definedName>
    <definedName name="__CHK05" localSheetId="34">#REF!</definedName>
    <definedName name="__CHK05" localSheetId="35">#REF!</definedName>
    <definedName name="__CHK05" localSheetId="36">#REF!</definedName>
    <definedName name="__CHK05" localSheetId="37">#REF!</definedName>
    <definedName name="__CHK05" localSheetId="38">#REF!</definedName>
    <definedName name="__CHK05" localSheetId="39">#REF!</definedName>
    <definedName name="__CHK05" localSheetId="40">#REF!</definedName>
    <definedName name="__CHK05" localSheetId="4">#REF!</definedName>
    <definedName name="__CHK05" localSheetId="41">#REF!</definedName>
    <definedName name="__CHK05" localSheetId="42">#REF!</definedName>
    <definedName name="__CHK05" localSheetId="43">#REF!</definedName>
    <definedName name="__CHK05" localSheetId="44">#REF!</definedName>
    <definedName name="__CHK05" localSheetId="5">#REF!</definedName>
    <definedName name="__CHK05" localSheetId="6">#REF!</definedName>
    <definedName name="__CHK05" localSheetId="7">#REF!</definedName>
    <definedName name="__CHK05" localSheetId="8">#REF!</definedName>
    <definedName name="__CHK05" localSheetId="9">#REF!</definedName>
    <definedName name="__CHK05">#REF!</definedName>
    <definedName name="_CHK01" localSheetId="10">#REF!</definedName>
    <definedName name="_CHK01" localSheetId="11">#REF!</definedName>
    <definedName name="_CHK01" localSheetId="12">#REF!</definedName>
    <definedName name="_CHK01" localSheetId="13">#REF!</definedName>
    <definedName name="_CHK01" localSheetId="14">#REF!</definedName>
    <definedName name="_CHK01" localSheetId="15">#REF!</definedName>
    <definedName name="_CHK01" localSheetId="17">#REF!</definedName>
    <definedName name="_CHK01" localSheetId="18">#REF!</definedName>
    <definedName name="_CHK01" localSheetId="19">#REF!</definedName>
    <definedName name="_CHK01" localSheetId="20">#REF!</definedName>
    <definedName name="_CHK01" localSheetId="16">#REF!</definedName>
    <definedName name="_CHK01" localSheetId="21">#REF!</definedName>
    <definedName name="_CHK01" localSheetId="22">#REF!</definedName>
    <definedName name="_CHK01" localSheetId="23">#REF!</definedName>
    <definedName name="_CHK01" localSheetId="24">#REF!</definedName>
    <definedName name="_CHK01" localSheetId="25">#REF!</definedName>
    <definedName name="_CHK01" localSheetId="26">#REF!</definedName>
    <definedName name="_CHK01" localSheetId="27">#REF!</definedName>
    <definedName name="_CHK01" localSheetId="28">#REF!</definedName>
    <definedName name="_CHK01" localSheetId="29">#REF!</definedName>
    <definedName name="_CHK01" localSheetId="30">#REF!</definedName>
    <definedName name="_CHK01" localSheetId="3">#REF!</definedName>
    <definedName name="_CHK01" localSheetId="31">#REF!</definedName>
    <definedName name="_CHK01" localSheetId="32">#REF!</definedName>
    <definedName name="_CHK01" localSheetId="33">#REF!</definedName>
    <definedName name="_CHK01" localSheetId="34">#REF!</definedName>
    <definedName name="_CHK01" localSheetId="35">#REF!</definedName>
    <definedName name="_CHK01" localSheetId="36">#REF!</definedName>
    <definedName name="_CHK01" localSheetId="37">#REF!</definedName>
    <definedName name="_CHK01" localSheetId="38">#REF!</definedName>
    <definedName name="_CHK01" localSheetId="39">#REF!</definedName>
    <definedName name="_CHK01" localSheetId="40">#REF!</definedName>
    <definedName name="_CHK01" localSheetId="4">#REF!</definedName>
    <definedName name="_CHK01" localSheetId="41">#REF!</definedName>
    <definedName name="_CHK01" localSheetId="42">#REF!</definedName>
    <definedName name="_CHK01" localSheetId="43">#REF!</definedName>
    <definedName name="_CHK01" localSheetId="44">#REF!</definedName>
    <definedName name="_CHK01" localSheetId="5">#REF!</definedName>
    <definedName name="_CHK01" localSheetId="6">#REF!</definedName>
    <definedName name="_CHK01" localSheetId="7">#REF!</definedName>
    <definedName name="_CHK01" localSheetId="8">#REF!</definedName>
    <definedName name="_CHK01" localSheetId="9">#REF!</definedName>
    <definedName name="_CHK01">#REF!</definedName>
    <definedName name="_CHK02" localSheetId="10">#REF!</definedName>
    <definedName name="_CHK02" localSheetId="11">#REF!</definedName>
    <definedName name="_CHK02" localSheetId="12">#REF!</definedName>
    <definedName name="_CHK02" localSheetId="13">#REF!</definedName>
    <definedName name="_CHK02" localSheetId="14">#REF!</definedName>
    <definedName name="_CHK02" localSheetId="15">#REF!</definedName>
    <definedName name="_CHK02" localSheetId="17">#REF!</definedName>
    <definedName name="_CHK02" localSheetId="18">#REF!</definedName>
    <definedName name="_CHK02" localSheetId="19">#REF!</definedName>
    <definedName name="_CHK02" localSheetId="20">#REF!</definedName>
    <definedName name="_CHK02" localSheetId="16">#REF!</definedName>
    <definedName name="_CHK02" localSheetId="21">#REF!</definedName>
    <definedName name="_CHK02" localSheetId="22">#REF!</definedName>
    <definedName name="_CHK02" localSheetId="23">#REF!</definedName>
    <definedName name="_CHK02" localSheetId="24">#REF!</definedName>
    <definedName name="_CHK02" localSheetId="25">#REF!</definedName>
    <definedName name="_CHK02" localSheetId="26">#REF!</definedName>
    <definedName name="_CHK02" localSheetId="27">#REF!</definedName>
    <definedName name="_CHK02" localSheetId="28">#REF!</definedName>
    <definedName name="_CHK02" localSheetId="29">#REF!</definedName>
    <definedName name="_CHK02" localSheetId="30">#REF!</definedName>
    <definedName name="_CHK02" localSheetId="3">#REF!</definedName>
    <definedName name="_CHK02" localSheetId="31">#REF!</definedName>
    <definedName name="_CHK02" localSheetId="32">#REF!</definedName>
    <definedName name="_CHK02" localSheetId="33">#REF!</definedName>
    <definedName name="_CHK02" localSheetId="34">#REF!</definedName>
    <definedName name="_CHK02" localSheetId="35">#REF!</definedName>
    <definedName name="_CHK02" localSheetId="36">#REF!</definedName>
    <definedName name="_CHK02" localSheetId="37">#REF!</definedName>
    <definedName name="_CHK02" localSheetId="38">#REF!</definedName>
    <definedName name="_CHK02" localSheetId="39">#REF!</definedName>
    <definedName name="_CHK02" localSheetId="40">#REF!</definedName>
    <definedName name="_CHK02" localSheetId="4">#REF!</definedName>
    <definedName name="_CHK02" localSheetId="41">#REF!</definedName>
    <definedName name="_CHK02" localSheetId="42">#REF!</definedName>
    <definedName name="_CHK02" localSheetId="43">#REF!</definedName>
    <definedName name="_CHK02" localSheetId="44">#REF!</definedName>
    <definedName name="_CHK02" localSheetId="5">#REF!</definedName>
    <definedName name="_CHK02" localSheetId="6">#REF!</definedName>
    <definedName name="_CHK02" localSheetId="7">#REF!</definedName>
    <definedName name="_CHK02" localSheetId="8">#REF!</definedName>
    <definedName name="_CHK02" localSheetId="9">#REF!</definedName>
    <definedName name="_CHK02">#REF!</definedName>
    <definedName name="_CHK03" localSheetId="10">#REF!</definedName>
    <definedName name="_CHK03" localSheetId="11">#REF!</definedName>
    <definedName name="_CHK03" localSheetId="12">#REF!</definedName>
    <definedName name="_CHK03" localSheetId="13">#REF!</definedName>
    <definedName name="_CHK03" localSheetId="14">#REF!</definedName>
    <definedName name="_CHK03" localSheetId="15">#REF!</definedName>
    <definedName name="_CHK03" localSheetId="17">#REF!</definedName>
    <definedName name="_CHK03" localSheetId="18">#REF!</definedName>
    <definedName name="_CHK03" localSheetId="19">#REF!</definedName>
    <definedName name="_CHK03" localSheetId="20">#REF!</definedName>
    <definedName name="_CHK03" localSheetId="16">#REF!</definedName>
    <definedName name="_CHK03" localSheetId="21">#REF!</definedName>
    <definedName name="_CHK03" localSheetId="22">#REF!</definedName>
    <definedName name="_CHK03" localSheetId="23">#REF!</definedName>
    <definedName name="_CHK03" localSheetId="24">#REF!</definedName>
    <definedName name="_CHK03" localSheetId="25">#REF!</definedName>
    <definedName name="_CHK03" localSheetId="26">#REF!</definedName>
    <definedName name="_CHK03" localSheetId="27">#REF!</definedName>
    <definedName name="_CHK03" localSheetId="28">#REF!</definedName>
    <definedName name="_CHK03" localSheetId="29">#REF!</definedName>
    <definedName name="_CHK03" localSheetId="30">#REF!</definedName>
    <definedName name="_CHK03" localSheetId="3">#REF!</definedName>
    <definedName name="_CHK03" localSheetId="31">#REF!</definedName>
    <definedName name="_CHK03" localSheetId="32">#REF!</definedName>
    <definedName name="_CHK03" localSheetId="33">#REF!</definedName>
    <definedName name="_CHK03" localSheetId="34">#REF!</definedName>
    <definedName name="_CHK03" localSheetId="35">#REF!</definedName>
    <definedName name="_CHK03" localSheetId="36">#REF!</definedName>
    <definedName name="_CHK03" localSheetId="37">#REF!</definedName>
    <definedName name="_CHK03" localSheetId="38">#REF!</definedName>
    <definedName name="_CHK03" localSheetId="39">#REF!</definedName>
    <definedName name="_CHK03" localSheetId="40">#REF!</definedName>
    <definedName name="_CHK03" localSheetId="4">#REF!</definedName>
    <definedName name="_CHK03" localSheetId="41">#REF!</definedName>
    <definedName name="_CHK03" localSheetId="42">#REF!</definedName>
    <definedName name="_CHK03" localSheetId="43">#REF!</definedName>
    <definedName name="_CHK03" localSheetId="44">#REF!</definedName>
    <definedName name="_CHK03" localSheetId="5">#REF!</definedName>
    <definedName name="_CHK03" localSheetId="6">#REF!</definedName>
    <definedName name="_CHK03" localSheetId="7">#REF!</definedName>
    <definedName name="_CHK03" localSheetId="8">#REF!</definedName>
    <definedName name="_CHK03" localSheetId="9">#REF!</definedName>
    <definedName name="_CHK03">#REF!</definedName>
    <definedName name="_CHK04" localSheetId="10">#REF!</definedName>
    <definedName name="_CHK04" localSheetId="11">#REF!</definedName>
    <definedName name="_CHK04" localSheetId="12">#REF!</definedName>
    <definedName name="_CHK04" localSheetId="13">#REF!</definedName>
    <definedName name="_CHK04" localSheetId="14">#REF!</definedName>
    <definedName name="_CHK04" localSheetId="15">#REF!</definedName>
    <definedName name="_CHK04" localSheetId="17">#REF!</definedName>
    <definedName name="_CHK04" localSheetId="18">#REF!</definedName>
    <definedName name="_CHK04" localSheetId="19">#REF!</definedName>
    <definedName name="_CHK04" localSheetId="20">#REF!</definedName>
    <definedName name="_CHK04" localSheetId="16">#REF!</definedName>
    <definedName name="_CHK04" localSheetId="21">#REF!</definedName>
    <definedName name="_CHK04" localSheetId="22">#REF!</definedName>
    <definedName name="_CHK04" localSheetId="23">#REF!</definedName>
    <definedName name="_CHK04" localSheetId="24">#REF!</definedName>
    <definedName name="_CHK04" localSheetId="25">#REF!</definedName>
    <definedName name="_CHK04" localSheetId="26">#REF!</definedName>
    <definedName name="_CHK04" localSheetId="27">#REF!</definedName>
    <definedName name="_CHK04" localSheetId="28">#REF!</definedName>
    <definedName name="_CHK04" localSheetId="29">#REF!</definedName>
    <definedName name="_CHK04" localSheetId="30">#REF!</definedName>
    <definedName name="_CHK04" localSheetId="3">#REF!</definedName>
    <definedName name="_CHK04" localSheetId="31">#REF!</definedName>
    <definedName name="_CHK04" localSheetId="32">#REF!</definedName>
    <definedName name="_CHK04" localSheetId="33">#REF!</definedName>
    <definedName name="_CHK04" localSheetId="34">#REF!</definedName>
    <definedName name="_CHK04" localSheetId="35">#REF!</definedName>
    <definedName name="_CHK04" localSheetId="36">#REF!</definedName>
    <definedName name="_CHK04" localSheetId="37">#REF!</definedName>
    <definedName name="_CHK04" localSheetId="38">#REF!</definedName>
    <definedName name="_CHK04" localSheetId="39">#REF!</definedName>
    <definedName name="_CHK04" localSheetId="40">#REF!</definedName>
    <definedName name="_CHK04" localSheetId="4">#REF!</definedName>
    <definedName name="_CHK04" localSheetId="41">#REF!</definedName>
    <definedName name="_CHK04" localSheetId="42">#REF!</definedName>
    <definedName name="_CHK04" localSheetId="43">#REF!</definedName>
    <definedName name="_CHK04" localSheetId="44">#REF!</definedName>
    <definedName name="_CHK04" localSheetId="5">#REF!</definedName>
    <definedName name="_CHK04" localSheetId="6">#REF!</definedName>
    <definedName name="_CHK04" localSheetId="7">#REF!</definedName>
    <definedName name="_CHK04" localSheetId="8">#REF!</definedName>
    <definedName name="_CHK04" localSheetId="9">#REF!</definedName>
    <definedName name="_CHK04">#REF!</definedName>
    <definedName name="_CHK05" localSheetId="10">#REF!</definedName>
    <definedName name="_CHK05" localSheetId="11">#REF!</definedName>
    <definedName name="_CHK05" localSheetId="12">#REF!</definedName>
    <definedName name="_CHK05" localSheetId="13">#REF!</definedName>
    <definedName name="_CHK05" localSheetId="14">#REF!</definedName>
    <definedName name="_CHK05" localSheetId="15">#REF!</definedName>
    <definedName name="_CHK05" localSheetId="17">#REF!</definedName>
    <definedName name="_CHK05" localSheetId="18">#REF!</definedName>
    <definedName name="_CHK05" localSheetId="19">#REF!</definedName>
    <definedName name="_CHK05" localSheetId="20">#REF!</definedName>
    <definedName name="_CHK05" localSheetId="16">#REF!</definedName>
    <definedName name="_CHK05" localSheetId="21">#REF!</definedName>
    <definedName name="_CHK05" localSheetId="22">#REF!</definedName>
    <definedName name="_CHK05" localSheetId="23">#REF!</definedName>
    <definedName name="_CHK05" localSheetId="24">#REF!</definedName>
    <definedName name="_CHK05" localSheetId="25">#REF!</definedName>
    <definedName name="_CHK05" localSheetId="26">#REF!</definedName>
    <definedName name="_CHK05" localSheetId="27">#REF!</definedName>
    <definedName name="_CHK05" localSheetId="28">#REF!</definedName>
    <definedName name="_CHK05" localSheetId="29">#REF!</definedName>
    <definedName name="_CHK05" localSheetId="30">#REF!</definedName>
    <definedName name="_CHK05" localSheetId="3">#REF!</definedName>
    <definedName name="_CHK05" localSheetId="31">#REF!</definedName>
    <definedName name="_CHK05" localSheetId="32">#REF!</definedName>
    <definedName name="_CHK05" localSheetId="33">#REF!</definedName>
    <definedName name="_CHK05" localSheetId="34">#REF!</definedName>
    <definedName name="_CHK05" localSheetId="35">#REF!</definedName>
    <definedName name="_CHK05" localSheetId="36">#REF!</definedName>
    <definedName name="_CHK05" localSheetId="37">#REF!</definedName>
    <definedName name="_CHK05" localSheetId="38">#REF!</definedName>
    <definedName name="_CHK05" localSheetId="39">#REF!</definedName>
    <definedName name="_CHK05" localSheetId="40">#REF!</definedName>
    <definedName name="_CHK05" localSheetId="4">#REF!</definedName>
    <definedName name="_CHK05" localSheetId="41">#REF!</definedName>
    <definedName name="_CHK05" localSheetId="42">#REF!</definedName>
    <definedName name="_CHK05" localSheetId="43">#REF!</definedName>
    <definedName name="_CHK05" localSheetId="44">#REF!</definedName>
    <definedName name="_CHK05" localSheetId="5">#REF!</definedName>
    <definedName name="_CHK05" localSheetId="6">#REF!</definedName>
    <definedName name="_CHK05" localSheetId="7">#REF!</definedName>
    <definedName name="_CHK05" localSheetId="8">#REF!</definedName>
    <definedName name="_CHK05" localSheetId="9">#REF!</definedName>
    <definedName name="_CHK05">#REF!</definedName>
    <definedName name="_D">#REF!</definedName>
    <definedName name="_E">[1]Sheet1!$EZ$2:$EZ$2</definedName>
    <definedName name="_Fill" hidden="1">#REF!</definedName>
    <definedName name="_xlnm._FilterDatabase" hidden="1">#REF!</definedName>
    <definedName name="_Key1" hidden="1">#REF!</definedName>
    <definedName name="_Order1" hidden="1">255</definedName>
    <definedName name="_Regression_X" localSheetId="10" hidden="1">#REF!</definedName>
    <definedName name="_Regression_X" localSheetId="11" hidden="1">#REF!</definedName>
    <definedName name="_Regression_X" localSheetId="12" hidden="1">#REF!</definedName>
    <definedName name="_Regression_X" localSheetId="13" hidden="1">#REF!</definedName>
    <definedName name="_Regression_X" localSheetId="14" hidden="1">#REF!</definedName>
    <definedName name="_Regression_X" localSheetId="15" hidden="1">#REF!</definedName>
    <definedName name="_Regression_X" localSheetId="17" hidden="1">#REF!</definedName>
    <definedName name="_Regression_X" localSheetId="18" hidden="1">#REF!</definedName>
    <definedName name="_Regression_X" localSheetId="19" hidden="1">#REF!</definedName>
    <definedName name="_Regression_X" localSheetId="20" hidden="1">#REF!</definedName>
    <definedName name="_Regression_X" localSheetId="16" hidden="1">#REF!</definedName>
    <definedName name="_Regression_X" localSheetId="21" hidden="1">#REF!</definedName>
    <definedName name="_Regression_X" localSheetId="22" hidden="1">#REF!</definedName>
    <definedName name="_Regression_X" localSheetId="23" hidden="1">#REF!</definedName>
    <definedName name="_Regression_X" localSheetId="24" hidden="1">#REF!</definedName>
    <definedName name="_Regression_X" localSheetId="25" hidden="1">#REF!</definedName>
    <definedName name="_Regression_X" localSheetId="26" hidden="1">#REF!</definedName>
    <definedName name="_Regression_X" localSheetId="27" hidden="1">#REF!</definedName>
    <definedName name="_Regression_X" localSheetId="28" hidden="1">#REF!</definedName>
    <definedName name="_Regression_X" localSheetId="29" hidden="1">#REF!</definedName>
    <definedName name="_Regression_X" localSheetId="30" hidden="1">#REF!</definedName>
    <definedName name="_Regression_X" localSheetId="3" hidden="1">#REF!</definedName>
    <definedName name="_Regression_X" localSheetId="31" hidden="1">#REF!</definedName>
    <definedName name="_Regression_X" localSheetId="32" hidden="1">#REF!</definedName>
    <definedName name="_Regression_X" localSheetId="33" hidden="1">#REF!</definedName>
    <definedName name="_Regression_X" localSheetId="34" hidden="1">#REF!</definedName>
    <definedName name="_Regression_X" localSheetId="35" hidden="1">#REF!</definedName>
    <definedName name="_Regression_X" localSheetId="36" hidden="1">#REF!</definedName>
    <definedName name="_Regression_X" localSheetId="37" hidden="1">#REF!</definedName>
    <definedName name="_Regression_X" localSheetId="38" hidden="1">#REF!</definedName>
    <definedName name="_Regression_X" localSheetId="39" hidden="1">#REF!</definedName>
    <definedName name="_Regression_X" localSheetId="40" hidden="1">#REF!</definedName>
    <definedName name="_Regression_X" localSheetId="4" hidden="1">#REF!</definedName>
    <definedName name="_Regression_X" localSheetId="41" hidden="1">#REF!</definedName>
    <definedName name="_Regression_X" localSheetId="42" hidden="1">#REF!</definedName>
    <definedName name="_Regression_X" localSheetId="43" hidden="1">#REF!</definedName>
    <definedName name="_Regression_X" localSheetId="44" hidden="1">#REF!</definedName>
    <definedName name="_Regression_X" localSheetId="5" hidden="1">#REF!</definedName>
    <definedName name="_Regression_X" localSheetId="6" hidden="1">#REF!</definedName>
    <definedName name="_Regression_X" localSheetId="7" hidden="1">#REF!</definedName>
    <definedName name="_Regression_X" localSheetId="8" hidden="1">#REF!</definedName>
    <definedName name="_Regression_X" localSheetId="9" hidden="1">#REF!</definedName>
    <definedName name="_Regression_X" hidden="1">#REF!</definedName>
    <definedName name="_Sort" hidden="1">#REF!</definedName>
    <definedName name="aaaaa">#REF!</definedName>
    <definedName name="ADSL">#REF!</definedName>
    <definedName name="ADSL数">#REF!</definedName>
    <definedName name="CATEGORY">#REF!</definedName>
    <definedName name="caza">#REF!</definedName>
    <definedName name="ｃｃｃ" localSheetId="10">[2]!Sort確認用</definedName>
    <definedName name="ｃｃｃ" localSheetId="11">[2]!Sort確認用</definedName>
    <definedName name="ｃｃｃ" localSheetId="12">[2]!Sort確認用</definedName>
    <definedName name="ｃｃｃ" localSheetId="13">[2]!Sort確認用</definedName>
    <definedName name="ｃｃｃ" localSheetId="14">[2]!Sort確認用</definedName>
    <definedName name="ｃｃｃ" localSheetId="15">[2]!Sort確認用</definedName>
    <definedName name="ｃｃｃ" localSheetId="17">[2]!Sort確認用</definedName>
    <definedName name="ｃｃｃ" localSheetId="18">[2]!Sort確認用</definedName>
    <definedName name="ｃｃｃ" localSheetId="19">[2]!Sort確認用</definedName>
    <definedName name="ｃｃｃ" localSheetId="20">[2]!Sort確認用</definedName>
    <definedName name="ｃｃｃ" localSheetId="16">[2]!Sort確認用</definedName>
    <definedName name="ｃｃｃ" localSheetId="21">[2]!Sort確認用</definedName>
    <definedName name="ｃｃｃ" localSheetId="22">[2]!Sort確認用</definedName>
    <definedName name="ｃｃｃ" localSheetId="23">[2]!Sort確認用</definedName>
    <definedName name="ｃｃｃ" localSheetId="24">[2]!Sort確認用</definedName>
    <definedName name="ｃｃｃ" localSheetId="25">[2]!Sort確認用</definedName>
    <definedName name="ｃｃｃ" localSheetId="26">[2]!Sort確認用</definedName>
    <definedName name="ｃｃｃ" localSheetId="27">[2]!Sort確認用</definedName>
    <definedName name="ｃｃｃ" localSheetId="28">[2]!Sort確認用</definedName>
    <definedName name="ｃｃｃ" localSheetId="29">[2]!Sort確認用</definedName>
    <definedName name="ｃｃｃ" localSheetId="30">[2]!Sort確認用</definedName>
    <definedName name="ｃｃｃ" localSheetId="3">[2]!Sort確認用</definedName>
    <definedName name="ｃｃｃ" localSheetId="31">[2]!Sort確認用</definedName>
    <definedName name="ｃｃｃ" localSheetId="32">[2]!Sort確認用</definedName>
    <definedName name="ｃｃｃ" localSheetId="33">[2]!Sort確認用</definedName>
    <definedName name="ｃｃｃ" localSheetId="34">[2]!Sort確認用</definedName>
    <definedName name="ｃｃｃ" localSheetId="35">[2]!Sort確認用</definedName>
    <definedName name="ｃｃｃ" localSheetId="36">[2]!Sort確認用</definedName>
    <definedName name="ｃｃｃ" localSheetId="37">[2]!Sort確認用</definedName>
    <definedName name="ｃｃｃ" localSheetId="38">[2]!Sort確認用</definedName>
    <definedName name="ｃｃｃ" localSheetId="39">[2]!Sort確認用</definedName>
    <definedName name="ｃｃｃ" localSheetId="40">[2]!Sort確認用</definedName>
    <definedName name="ｃｃｃ" localSheetId="4">[2]!Sort確認用</definedName>
    <definedName name="ｃｃｃ" localSheetId="41">[2]!Sort確認用</definedName>
    <definedName name="ｃｃｃ" localSheetId="42">[2]!Sort確認用</definedName>
    <definedName name="ｃｃｃ" localSheetId="43">[2]!Sort確認用</definedName>
    <definedName name="ｃｃｃ" localSheetId="44">[2]!Sort確認用</definedName>
    <definedName name="ｃｃｃ" localSheetId="5">[2]!Sort確認用</definedName>
    <definedName name="ｃｃｃ" localSheetId="6">[2]!Sort確認用</definedName>
    <definedName name="ｃｃｃ" localSheetId="7">[2]!Sort確認用</definedName>
    <definedName name="ｃｃｃ" localSheetId="8">[2]!Sort確認用</definedName>
    <definedName name="ｃｃｃ" localSheetId="9">[2]!Sort確認用</definedName>
    <definedName name="ｃｃｃ">[2]!Sort確認用</definedName>
    <definedName name="CHECK">[3]会社ﾏｽﾀ!$J$8</definedName>
    <definedName name="CreateSQL" localSheetId="10">[4]!CreateSQL</definedName>
    <definedName name="CreateSQL" localSheetId="11">[4]!CreateSQL</definedName>
    <definedName name="CreateSQL" localSheetId="12">[4]!CreateSQL</definedName>
    <definedName name="CreateSQL" localSheetId="13">[4]!CreateSQL</definedName>
    <definedName name="CreateSQL" localSheetId="14">[4]!CreateSQL</definedName>
    <definedName name="CreateSQL" localSheetId="15">[4]!CreateSQL</definedName>
    <definedName name="CreateSQL" localSheetId="17">[4]!CreateSQL</definedName>
    <definedName name="CreateSQL" localSheetId="18">[4]!CreateSQL</definedName>
    <definedName name="CreateSQL" localSheetId="19">[4]!CreateSQL</definedName>
    <definedName name="CreateSQL" localSheetId="20">[4]!CreateSQL</definedName>
    <definedName name="CreateSQL" localSheetId="16">[4]!CreateSQL</definedName>
    <definedName name="CreateSQL" localSheetId="21">[4]!CreateSQL</definedName>
    <definedName name="CreateSQL" localSheetId="22">[4]!CreateSQL</definedName>
    <definedName name="CreateSQL" localSheetId="23">[4]!CreateSQL</definedName>
    <definedName name="CreateSQL" localSheetId="24">[4]!CreateSQL</definedName>
    <definedName name="CreateSQL" localSheetId="25">[4]!CreateSQL</definedName>
    <definedName name="CreateSQL" localSheetId="26">[4]!CreateSQL</definedName>
    <definedName name="CreateSQL" localSheetId="27">[4]!CreateSQL</definedName>
    <definedName name="CreateSQL" localSheetId="28">[4]!CreateSQL</definedName>
    <definedName name="CreateSQL" localSheetId="29">[4]!CreateSQL</definedName>
    <definedName name="CreateSQL" localSheetId="30">[4]!CreateSQL</definedName>
    <definedName name="CreateSQL" localSheetId="3">[4]!CreateSQL</definedName>
    <definedName name="CreateSQL" localSheetId="31">[4]!CreateSQL</definedName>
    <definedName name="CreateSQL" localSheetId="32">[4]!CreateSQL</definedName>
    <definedName name="CreateSQL" localSheetId="33">[4]!CreateSQL</definedName>
    <definedName name="CreateSQL" localSheetId="34">[4]!CreateSQL</definedName>
    <definedName name="CreateSQL" localSheetId="35">[4]!CreateSQL</definedName>
    <definedName name="CreateSQL" localSheetId="36">[4]!CreateSQL</definedName>
    <definedName name="CreateSQL" localSheetId="37">[4]!CreateSQL</definedName>
    <definedName name="CreateSQL" localSheetId="38">[4]!CreateSQL</definedName>
    <definedName name="CreateSQL" localSheetId="39">[4]!CreateSQL</definedName>
    <definedName name="CreateSQL" localSheetId="40">[4]!CreateSQL</definedName>
    <definedName name="CreateSQL" localSheetId="4">[4]!CreateSQL</definedName>
    <definedName name="CreateSQL" localSheetId="41">[4]!CreateSQL</definedName>
    <definedName name="CreateSQL" localSheetId="42">[4]!CreateSQL</definedName>
    <definedName name="CreateSQL" localSheetId="43">[4]!CreateSQL</definedName>
    <definedName name="CreateSQL" localSheetId="44">[4]!CreateSQL</definedName>
    <definedName name="CreateSQL" localSheetId="5">[4]!CreateSQL</definedName>
    <definedName name="CreateSQL" localSheetId="6">[4]!CreateSQL</definedName>
    <definedName name="CreateSQL" localSheetId="7">[4]!CreateSQL</definedName>
    <definedName name="CreateSQL" localSheetId="8">[4]!CreateSQL</definedName>
    <definedName name="CreateSQL" localSheetId="9">[4]!CreateSQL</definedName>
    <definedName name="CreateSQL">[4]!CreateSQL</definedName>
    <definedName name="dbcount">#REF!</definedName>
    <definedName name="DU">#REF!</definedName>
    <definedName name="DU数">#REF!</definedName>
    <definedName name="ERRMSG">[5]errMsg一覧!$C$7:$C$14</definedName>
    <definedName name="FromConcordeLS" localSheetId="10">#REF!,#REF!,#REF!,#REF!,#REF!</definedName>
    <definedName name="FromConcordeLS" localSheetId="11">#REF!,#REF!,#REF!,#REF!,#REF!</definedName>
    <definedName name="FromConcordeLS" localSheetId="12">#REF!,#REF!,#REF!,#REF!,#REF!</definedName>
    <definedName name="FromConcordeLS" localSheetId="13">#REF!,#REF!,#REF!,#REF!,#REF!</definedName>
    <definedName name="FromConcordeLS" localSheetId="14">#REF!,#REF!,#REF!,#REF!,#REF!</definedName>
    <definedName name="FromConcordeLS" localSheetId="15">#REF!,#REF!,#REF!,#REF!,#REF!</definedName>
    <definedName name="FromConcordeLS" localSheetId="17">#REF!,#REF!,#REF!,#REF!,#REF!</definedName>
    <definedName name="FromConcordeLS" localSheetId="18">#REF!,#REF!,#REF!,#REF!,#REF!</definedName>
    <definedName name="FromConcordeLS" localSheetId="19">#REF!,#REF!,#REF!,#REF!,#REF!</definedName>
    <definedName name="FromConcordeLS" localSheetId="20">#REF!,#REF!,#REF!,#REF!,#REF!</definedName>
    <definedName name="FromConcordeLS" localSheetId="16">#REF!,#REF!,#REF!,#REF!,#REF!</definedName>
    <definedName name="FromConcordeLS" localSheetId="21">#REF!,#REF!,#REF!,#REF!,#REF!</definedName>
    <definedName name="FromConcordeLS" localSheetId="22">#REF!,#REF!,#REF!,#REF!,#REF!</definedName>
    <definedName name="FromConcordeLS" localSheetId="23">#REF!,#REF!,#REF!,#REF!,#REF!</definedName>
    <definedName name="FromConcordeLS" localSheetId="24">#REF!,#REF!,#REF!,#REF!,#REF!</definedName>
    <definedName name="FromConcordeLS" localSheetId="25">#REF!,#REF!,#REF!,#REF!,#REF!</definedName>
    <definedName name="FromConcordeLS" localSheetId="26">#REF!,#REF!,#REF!,#REF!,#REF!</definedName>
    <definedName name="FromConcordeLS" localSheetId="27">#REF!,#REF!,#REF!,#REF!,#REF!</definedName>
    <definedName name="FromConcordeLS" localSheetId="28">#REF!,#REF!,#REF!,#REF!,#REF!</definedName>
    <definedName name="FromConcordeLS" localSheetId="29">#REF!,#REF!,#REF!,#REF!,#REF!</definedName>
    <definedName name="FromConcordeLS" localSheetId="30">#REF!,#REF!,#REF!,#REF!,#REF!</definedName>
    <definedName name="FromConcordeLS" localSheetId="3">#REF!,#REF!,#REF!,#REF!,#REF!</definedName>
    <definedName name="FromConcordeLS" localSheetId="31">#REF!,#REF!,#REF!,#REF!,#REF!</definedName>
    <definedName name="FromConcordeLS" localSheetId="32">#REF!,#REF!,#REF!,#REF!,#REF!</definedName>
    <definedName name="FromConcordeLS" localSheetId="33">#REF!,#REF!,#REF!,#REF!,#REF!</definedName>
    <definedName name="FromConcordeLS" localSheetId="34">#REF!,#REF!,#REF!,#REF!,#REF!</definedName>
    <definedName name="FromConcordeLS" localSheetId="35">#REF!,#REF!,#REF!,#REF!,#REF!</definedName>
    <definedName name="FromConcordeLS" localSheetId="36">#REF!,#REF!,#REF!,#REF!,#REF!</definedName>
    <definedName name="FromConcordeLS" localSheetId="37">#REF!,#REF!,#REF!,#REF!,#REF!</definedName>
    <definedName name="FromConcordeLS" localSheetId="38">#REF!,#REF!,#REF!,#REF!,#REF!</definedName>
    <definedName name="FromConcordeLS" localSheetId="39">#REF!,#REF!,#REF!,#REF!,#REF!</definedName>
    <definedName name="FromConcordeLS" localSheetId="40">#REF!,#REF!,#REF!,#REF!,#REF!</definedName>
    <definedName name="FromConcordeLS" localSheetId="4">#REF!,#REF!,#REF!,#REF!,#REF!</definedName>
    <definedName name="FromConcordeLS" localSheetId="41">#REF!,#REF!,#REF!,#REF!,#REF!</definedName>
    <definedName name="FromConcordeLS" localSheetId="42">#REF!,#REF!,#REF!,#REF!,#REF!</definedName>
    <definedName name="FromConcordeLS" localSheetId="43">#REF!,#REF!,#REF!,#REF!,#REF!</definedName>
    <definedName name="FromConcordeLS" localSheetId="44">#REF!,#REF!,#REF!,#REF!,#REF!</definedName>
    <definedName name="FromConcordeLS" localSheetId="5">#REF!,#REF!,#REF!,#REF!,#REF!</definedName>
    <definedName name="FromConcordeLS" localSheetId="6">#REF!,#REF!,#REF!,#REF!,#REF!</definedName>
    <definedName name="FromConcordeLS" localSheetId="7">#REF!,#REF!,#REF!,#REF!,#REF!</definedName>
    <definedName name="FromConcordeLS" localSheetId="8">#REF!,#REF!,#REF!,#REF!,#REF!</definedName>
    <definedName name="FromConcordeLS" localSheetId="9">#REF!,#REF!,#REF!,#REF!,#REF!</definedName>
    <definedName name="FromConcordeLS">#REF!,#REF!,#REF!,#REF!,#REF!</definedName>
    <definedName name="IDX_NEXT">[3]会社ﾏｽﾀ!$N$23</definedName>
    <definedName name="IDX_PctFree">[3]会社ﾏｽﾀ!$N$21</definedName>
    <definedName name="IDX_SPACE">[3]会社ﾏｽﾀ!$N$20</definedName>
    <definedName name="IDX_Storage">[3]会社ﾏｽﾀ!$N$22</definedName>
    <definedName name="IFGS" localSheetId="10">#REF!</definedName>
    <definedName name="IFGS" localSheetId="11">#REF!</definedName>
    <definedName name="IFGS" localSheetId="12">#REF!</definedName>
    <definedName name="IFGS" localSheetId="13">#REF!</definedName>
    <definedName name="IFGS" localSheetId="14">#REF!</definedName>
    <definedName name="IFGS" localSheetId="15">#REF!</definedName>
    <definedName name="IFGS" localSheetId="17">#REF!</definedName>
    <definedName name="IFGS" localSheetId="18">#REF!</definedName>
    <definedName name="IFGS" localSheetId="19">#REF!</definedName>
    <definedName name="IFGS" localSheetId="20">#REF!</definedName>
    <definedName name="IFGS" localSheetId="16">#REF!</definedName>
    <definedName name="IFGS" localSheetId="21">#REF!</definedName>
    <definedName name="IFGS" localSheetId="22">#REF!</definedName>
    <definedName name="IFGS" localSheetId="23">#REF!</definedName>
    <definedName name="IFGS" localSheetId="24">#REF!</definedName>
    <definedName name="IFGS" localSheetId="25">#REF!</definedName>
    <definedName name="IFGS" localSheetId="26">#REF!</definedName>
    <definedName name="IFGS" localSheetId="27">#REF!</definedName>
    <definedName name="IFGS" localSheetId="28">#REF!</definedName>
    <definedName name="IFGS" localSheetId="29">#REF!</definedName>
    <definedName name="IFGS" localSheetId="30">#REF!</definedName>
    <definedName name="IFGS" localSheetId="3">#REF!</definedName>
    <definedName name="IFGS" localSheetId="31">#REF!</definedName>
    <definedName name="IFGS" localSheetId="32">#REF!</definedName>
    <definedName name="IFGS" localSheetId="33">#REF!</definedName>
    <definedName name="IFGS" localSheetId="34">#REF!</definedName>
    <definedName name="IFGS" localSheetId="35">#REF!</definedName>
    <definedName name="IFGS" localSheetId="36">#REF!</definedName>
    <definedName name="IFGS" localSheetId="37">#REF!</definedName>
    <definedName name="IFGS" localSheetId="38">#REF!</definedName>
    <definedName name="IFGS" localSheetId="39">#REF!</definedName>
    <definedName name="IFGS" localSheetId="40">#REF!</definedName>
    <definedName name="IFGS" localSheetId="4">#REF!</definedName>
    <definedName name="IFGS" localSheetId="41">#REF!</definedName>
    <definedName name="IFGS" localSheetId="42">#REF!</definedName>
    <definedName name="IFGS" localSheetId="43">#REF!</definedName>
    <definedName name="IFGS" localSheetId="44">#REF!</definedName>
    <definedName name="IFGS" localSheetId="5">#REF!</definedName>
    <definedName name="IFGS" localSheetId="6">#REF!</definedName>
    <definedName name="IFGS" localSheetId="7">#REF!</definedName>
    <definedName name="IFGS" localSheetId="8">#REF!</definedName>
    <definedName name="IFGS" localSheetId="9">#REF!</definedName>
    <definedName name="IFGS">#REF!</definedName>
    <definedName name="IFLS">#REF!</definedName>
    <definedName name="IFMALGS">#REF!</definedName>
    <definedName name="IFMALLS">#REF!</definedName>
    <definedName name="IFVPN">#REF!</definedName>
    <definedName name="in_ＡＤＳＬ利用">#REF!</definedName>
    <definedName name="in_PBﾀﾞｲﾔﾙｲﾝ・ﾓﾃﾞﾑﾀﾞｲﾔﾙｲﾝ">#REF!</definedName>
    <definedName name="in_ダイヤルイン桁数指定">#REF!</definedName>
    <definedName name="in_回線種別">#REF!</definedName>
    <definedName name="in_実回線・追加番号">#REF!</definedName>
    <definedName name="in_接続方式">#REF!</definedName>
    <definedName name="in_代表グループ">#REF!</definedName>
    <definedName name="in_代表ハント方式">#REF!</definedName>
    <definedName name="in_代表順位">#REF!</definedName>
    <definedName name="in_発着信専用">#REF!</definedName>
    <definedName name="in_利用有無">#REF!</definedName>
    <definedName name="INDEX">[3]会社ﾏｽﾀ!$H$8</definedName>
    <definedName name="Index_Length">[3]会社ﾏｽﾀ!$N$19</definedName>
    <definedName name="INITVALUE">[3]会社ﾏｽﾀ!$I$8</definedName>
    <definedName name="ITEM">[3]会社ﾏｽﾀ!$C$8</definedName>
    <definedName name="k" localSheetId="10" hidden="1">#REF!</definedName>
    <definedName name="k" localSheetId="11" hidden="1">#REF!</definedName>
    <definedName name="k" localSheetId="12" hidden="1">#REF!</definedName>
    <definedName name="k" localSheetId="13" hidden="1">#REF!</definedName>
    <definedName name="k" localSheetId="14" hidden="1">#REF!</definedName>
    <definedName name="k" localSheetId="15" hidden="1">#REF!</definedName>
    <definedName name="k" localSheetId="17" hidden="1">#REF!</definedName>
    <definedName name="k" localSheetId="18" hidden="1">#REF!</definedName>
    <definedName name="k" localSheetId="19" hidden="1">#REF!</definedName>
    <definedName name="k" localSheetId="20" hidden="1">#REF!</definedName>
    <definedName name="k" localSheetId="16" hidden="1">#REF!</definedName>
    <definedName name="k" localSheetId="21" hidden="1">#REF!</definedName>
    <definedName name="k" localSheetId="22" hidden="1">#REF!</definedName>
    <definedName name="k" localSheetId="23" hidden="1">#REF!</definedName>
    <definedName name="k" localSheetId="24" hidden="1">#REF!</definedName>
    <definedName name="k" localSheetId="25" hidden="1">#REF!</definedName>
    <definedName name="k" localSheetId="26" hidden="1">#REF!</definedName>
    <definedName name="k" localSheetId="27" hidden="1">#REF!</definedName>
    <definedName name="k" localSheetId="28" hidden="1">#REF!</definedName>
    <definedName name="k" localSheetId="29" hidden="1">#REF!</definedName>
    <definedName name="k" localSheetId="30" hidden="1">#REF!</definedName>
    <definedName name="k" localSheetId="3" hidden="1">#REF!</definedName>
    <definedName name="k" localSheetId="31" hidden="1">#REF!</definedName>
    <definedName name="k" localSheetId="32" hidden="1">#REF!</definedName>
    <definedName name="k" localSheetId="33" hidden="1">#REF!</definedName>
    <definedName name="k" localSheetId="34" hidden="1">#REF!</definedName>
    <definedName name="k" localSheetId="35" hidden="1">#REF!</definedName>
    <definedName name="k" localSheetId="36" hidden="1">#REF!</definedName>
    <definedName name="k" localSheetId="37" hidden="1">#REF!</definedName>
    <definedName name="k" localSheetId="38" hidden="1">#REF!</definedName>
    <definedName name="k" localSheetId="39" hidden="1">#REF!</definedName>
    <definedName name="k" localSheetId="40" hidden="1">#REF!</definedName>
    <definedName name="k" localSheetId="4" hidden="1">#REF!</definedName>
    <definedName name="k" localSheetId="41" hidden="1">#REF!</definedName>
    <definedName name="k" localSheetId="42" hidden="1">#REF!</definedName>
    <definedName name="k" localSheetId="43" hidden="1">#REF!</definedName>
    <definedName name="k" localSheetId="44" hidden="1">#REF!</definedName>
    <definedName name="k" localSheetId="5" hidden="1">#REF!</definedName>
    <definedName name="k" localSheetId="6" hidden="1">#REF!</definedName>
    <definedName name="k" localSheetId="7" hidden="1">#REF!</definedName>
    <definedName name="k" localSheetId="8" hidden="1">#REF!</definedName>
    <definedName name="k" localSheetId="9" hidden="1">#REF!</definedName>
    <definedName name="k" hidden="1">#REF!</definedName>
    <definedName name="KEITAI">#REF!</definedName>
    <definedName name="KETA">[3]会社ﾏｽﾀ!$E$8</definedName>
    <definedName name="KEY">[3]会社ﾏｽﾀ!$F$8</definedName>
    <definedName name="KOUTEI">#REF!</definedName>
    <definedName name="LANG">#REF!</definedName>
    <definedName name="Layout_Exp_Set" localSheetId="0">テスト観点!Layout_Exp_Set</definedName>
    <definedName name="Layout_Exp_Set" localSheetId="1">異業種商材申込情報抽出!Layout_Exp_Set</definedName>
    <definedName name="Layout_Exp_Set">[0]!Layout_Exp_Set</definedName>
    <definedName name="Layout_Exp_Set2" localSheetId="0">テスト観点!Layout_Exp_Set2</definedName>
    <definedName name="Layout_Exp_Set2" localSheetId="1">異業種商材申込情報抽出!Layout_Exp_Set2</definedName>
    <definedName name="Layout_Exp_Set2">[0]!Layout_Exp_Set2</definedName>
    <definedName name="Layout_Exp_Set3" localSheetId="0">テスト観点!Layout_Exp_Set3</definedName>
    <definedName name="Layout_Exp_Set3" localSheetId="1">異業種商材申込情報抽出!Layout_Exp_Set3</definedName>
    <definedName name="Layout_Exp_Set3">[0]!Layout_Exp_Set3</definedName>
    <definedName name="LIST_ACTION">#REF!</definedName>
    <definedName name="LIST_EVENT">#REF!</definedName>
    <definedName name="LIST_FORM">#REF!</definedName>
    <definedName name="LIST_IO">#REF!</definedName>
    <definedName name="LIST_JPTBL">#REF!</definedName>
    <definedName name="LIST_OBJ">#REF!</definedName>
    <definedName name="LIST_SIZE">#REF!</definedName>
    <definedName name="LIST_TABLE">#REF!</definedName>
    <definedName name="LIST_VAL">#REF!</definedName>
    <definedName name="LIST_WIN">#REF!</definedName>
    <definedName name="maica">#REF!</definedName>
    <definedName name="NewBook☆" localSheetId="10">[2]!NewBook☆</definedName>
    <definedName name="NewBook☆" localSheetId="11">[2]!NewBook☆</definedName>
    <definedName name="NewBook☆" localSheetId="12">[2]!NewBook☆</definedName>
    <definedName name="NewBook☆" localSheetId="13">[2]!NewBook☆</definedName>
    <definedName name="NewBook☆" localSheetId="14">[2]!NewBook☆</definedName>
    <definedName name="NewBook☆" localSheetId="15">[2]!NewBook☆</definedName>
    <definedName name="NewBook☆" localSheetId="17">[2]!NewBook☆</definedName>
    <definedName name="NewBook☆" localSheetId="18">[2]!NewBook☆</definedName>
    <definedName name="NewBook☆" localSheetId="19">[2]!NewBook☆</definedName>
    <definedName name="NewBook☆" localSheetId="20">[2]!NewBook☆</definedName>
    <definedName name="NewBook☆" localSheetId="16">[2]!NewBook☆</definedName>
    <definedName name="NewBook☆" localSheetId="21">[2]!NewBook☆</definedName>
    <definedName name="NewBook☆" localSheetId="22">[2]!NewBook☆</definedName>
    <definedName name="NewBook☆" localSheetId="23">[2]!NewBook☆</definedName>
    <definedName name="NewBook☆" localSheetId="24">[2]!NewBook☆</definedName>
    <definedName name="NewBook☆" localSheetId="25">[2]!NewBook☆</definedName>
    <definedName name="NewBook☆" localSheetId="26">[2]!NewBook☆</definedName>
    <definedName name="NewBook☆" localSheetId="27">[2]!NewBook☆</definedName>
    <definedName name="NewBook☆" localSheetId="28">[2]!NewBook☆</definedName>
    <definedName name="NewBook☆" localSheetId="29">[2]!NewBook☆</definedName>
    <definedName name="NewBook☆" localSheetId="30">[2]!NewBook☆</definedName>
    <definedName name="NewBook☆" localSheetId="3">[2]!NewBook☆</definedName>
    <definedName name="NewBook☆" localSheetId="31">[2]!NewBook☆</definedName>
    <definedName name="NewBook☆" localSheetId="32">[2]!NewBook☆</definedName>
    <definedName name="NewBook☆" localSheetId="33">[2]!NewBook☆</definedName>
    <definedName name="NewBook☆" localSheetId="34">[2]!NewBook☆</definedName>
    <definedName name="NewBook☆" localSheetId="35">[2]!NewBook☆</definedName>
    <definedName name="NewBook☆" localSheetId="36">[2]!NewBook☆</definedName>
    <definedName name="NewBook☆" localSheetId="37">[2]!NewBook☆</definedName>
    <definedName name="NewBook☆" localSheetId="38">[2]!NewBook☆</definedName>
    <definedName name="NewBook☆" localSheetId="39">[2]!NewBook☆</definedName>
    <definedName name="NewBook☆" localSheetId="40">[2]!NewBook☆</definedName>
    <definedName name="NewBook☆" localSheetId="4">[2]!NewBook☆</definedName>
    <definedName name="NewBook☆" localSheetId="41">[2]!NewBook☆</definedName>
    <definedName name="NewBook☆" localSheetId="42">[2]!NewBook☆</definedName>
    <definedName name="NewBook☆" localSheetId="43">[2]!NewBook☆</definedName>
    <definedName name="NewBook☆" localSheetId="44">[2]!NewBook☆</definedName>
    <definedName name="NewBook☆" localSheetId="5">[2]!NewBook☆</definedName>
    <definedName name="NewBook☆" localSheetId="6">[2]!NewBook☆</definedName>
    <definedName name="NewBook☆" localSheetId="7">[2]!NewBook☆</definedName>
    <definedName name="NewBook☆" localSheetId="8">[2]!NewBook☆</definedName>
    <definedName name="NewBook☆" localSheetId="9">[2]!NewBook☆</definedName>
    <definedName name="NewBook☆">[2]!NewBook☆</definedName>
    <definedName name="NewBook★" localSheetId="10">[2]!NewBook★</definedName>
    <definedName name="NewBook★" localSheetId="11">[2]!NewBook★</definedName>
    <definedName name="NewBook★" localSheetId="12">[2]!NewBook★</definedName>
    <definedName name="NewBook★" localSheetId="13">[2]!NewBook★</definedName>
    <definedName name="NewBook★" localSheetId="14">[2]!NewBook★</definedName>
    <definedName name="NewBook★" localSheetId="15">[2]!NewBook★</definedName>
    <definedName name="NewBook★" localSheetId="17">[2]!NewBook★</definedName>
    <definedName name="NewBook★" localSheetId="18">[2]!NewBook★</definedName>
    <definedName name="NewBook★" localSheetId="19">[2]!NewBook★</definedName>
    <definedName name="NewBook★" localSheetId="20">[2]!NewBook★</definedName>
    <definedName name="NewBook★" localSheetId="16">[2]!NewBook★</definedName>
    <definedName name="NewBook★" localSheetId="21">[2]!NewBook★</definedName>
    <definedName name="NewBook★" localSheetId="22">[2]!NewBook★</definedName>
    <definedName name="NewBook★" localSheetId="23">[2]!NewBook★</definedName>
    <definedName name="NewBook★" localSheetId="24">[2]!NewBook★</definedName>
    <definedName name="NewBook★" localSheetId="25">[2]!NewBook★</definedName>
    <definedName name="NewBook★" localSheetId="26">[2]!NewBook★</definedName>
    <definedName name="NewBook★" localSheetId="27">[2]!NewBook★</definedName>
    <definedName name="NewBook★" localSheetId="28">[2]!NewBook★</definedName>
    <definedName name="NewBook★" localSheetId="29">[2]!NewBook★</definedName>
    <definedName name="NewBook★" localSheetId="30">[2]!NewBook★</definedName>
    <definedName name="NewBook★" localSheetId="3">[2]!NewBook★</definedName>
    <definedName name="NewBook★" localSheetId="31">[2]!NewBook★</definedName>
    <definedName name="NewBook★" localSheetId="32">[2]!NewBook★</definedName>
    <definedName name="NewBook★" localSheetId="33">[2]!NewBook★</definedName>
    <definedName name="NewBook★" localSheetId="34">[2]!NewBook★</definedName>
    <definedName name="NewBook★" localSheetId="35">[2]!NewBook★</definedName>
    <definedName name="NewBook★" localSheetId="36">[2]!NewBook★</definedName>
    <definedName name="NewBook★" localSheetId="37">[2]!NewBook★</definedName>
    <definedName name="NewBook★" localSheetId="38">[2]!NewBook★</definedName>
    <definedName name="NewBook★" localSheetId="39">[2]!NewBook★</definedName>
    <definedName name="NewBook★" localSheetId="40">[2]!NewBook★</definedName>
    <definedName name="NewBook★" localSheetId="4">[2]!NewBook★</definedName>
    <definedName name="NewBook★" localSheetId="41">[2]!NewBook★</definedName>
    <definedName name="NewBook★" localSheetId="42">[2]!NewBook★</definedName>
    <definedName name="NewBook★" localSheetId="43">[2]!NewBook★</definedName>
    <definedName name="NewBook★" localSheetId="44">[2]!NewBook★</definedName>
    <definedName name="NewBook★" localSheetId="5">[2]!NewBook★</definedName>
    <definedName name="NewBook★" localSheetId="6">[2]!NewBook★</definedName>
    <definedName name="NewBook★" localSheetId="7">[2]!NewBook★</definedName>
    <definedName name="NewBook★" localSheetId="8">[2]!NewBook★</definedName>
    <definedName name="NewBook★" localSheetId="9">[2]!NewBook★</definedName>
    <definedName name="NewBook★">[2]!NewBook★</definedName>
    <definedName name="NOTNULL">[3]会社ﾏｽﾀ!$G$8</definedName>
    <definedName name="OBJ003_SYSCONTROL">#REF!</definedName>
    <definedName name="P_ALL">#REF!</definedName>
    <definedName name="P_LOG">#REF!</definedName>
    <definedName name="ｐｒｉｎｔ">#REF!</definedName>
    <definedName name="_xlnm.Print_Area" localSheetId="10">#REF!</definedName>
    <definedName name="_xlnm.Print_Area" localSheetId="11">#REF!</definedName>
    <definedName name="_xlnm.Print_Area" localSheetId="12">#REF!</definedName>
    <definedName name="_xlnm.Print_Area" localSheetId="13">#REF!</definedName>
    <definedName name="_xlnm.Print_Area" localSheetId="14">#REF!</definedName>
    <definedName name="_xlnm.Print_Area" localSheetId="15">#REF!</definedName>
    <definedName name="_xlnm.Print_Area" localSheetId="17">#REF!</definedName>
    <definedName name="_xlnm.Print_Area" localSheetId="18">#REF!</definedName>
    <definedName name="_xlnm.Print_Area" localSheetId="19">#REF!</definedName>
    <definedName name="_xlnm.Print_Area" localSheetId="20">#REF!</definedName>
    <definedName name="_xlnm.Print_Area" localSheetId="16">#REF!</definedName>
    <definedName name="_xlnm.Print_Area" localSheetId="21">#REF!</definedName>
    <definedName name="_xlnm.Print_Area" localSheetId="22">#REF!</definedName>
    <definedName name="_xlnm.Print_Area" localSheetId="23">#REF!</definedName>
    <definedName name="_xlnm.Print_Area" localSheetId="24">#REF!</definedName>
    <definedName name="_xlnm.Print_Area" localSheetId="25">#REF!</definedName>
    <definedName name="_xlnm.Print_Area" localSheetId="26">#REF!</definedName>
    <definedName name="_xlnm.Print_Area" localSheetId="27">#REF!</definedName>
    <definedName name="_xlnm.Print_Area" localSheetId="28">#REF!</definedName>
    <definedName name="_xlnm.Print_Area" localSheetId="29">#REF!</definedName>
    <definedName name="_xlnm.Print_Area" localSheetId="30">#REF!</definedName>
    <definedName name="_xlnm.Print_Area" localSheetId="3">#REF!</definedName>
    <definedName name="_xlnm.Print_Area" localSheetId="31">#REF!</definedName>
    <definedName name="_xlnm.Print_Area" localSheetId="32">#REF!</definedName>
    <definedName name="_xlnm.Print_Area" localSheetId="33">#REF!</definedName>
    <definedName name="_xlnm.Print_Area" localSheetId="34">#REF!</definedName>
    <definedName name="_xlnm.Print_Area" localSheetId="35">#REF!</definedName>
    <definedName name="_xlnm.Print_Area" localSheetId="36">#REF!</definedName>
    <definedName name="_xlnm.Print_Area" localSheetId="37">#REF!</definedName>
    <definedName name="_xlnm.Print_Area" localSheetId="38">#REF!</definedName>
    <definedName name="_xlnm.Print_Area" localSheetId="39">#REF!</definedName>
    <definedName name="_xlnm.Print_Area" localSheetId="40">#REF!</definedName>
    <definedName name="_xlnm.Print_Area" localSheetId="4">#REF!</definedName>
    <definedName name="_xlnm.Print_Area" localSheetId="41">#REF!</definedName>
    <definedName name="_xlnm.Print_Area" localSheetId="42">#REF!</definedName>
    <definedName name="_xlnm.Print_Area" localSheetId="43">#REF!</definedName>
    <definedName name="_xlnm.Print_Area" localSheetId="44">#REF!</definedName>
    <definedName name="_xlnm.Print_Area" localSheetId="5">#REF!</definedName>
    <definedName name="_xlnm.Print_Area" localSheetId="6">#REF!</definedName>
    <definedName name="_xlnm.Print_Area" localSheetId="7">#REF!</definedName>
    <definedName name="_xlnm.Print_Area" localSheetId="8">#REF!</definedName>
    <definedName name="_xlnm.Print_Area" localSheetId="9">#REF!</definedName>
    <definedName name="_xlnm.Print_Area" localSheetId="1">異業種商材申込情報抽出!$A$1:$BL$209</definedName>
    <definedName name="_xlnm.Print_Area">#REF!</definedName>
    <definedName name="Print_Title">#REF!</definedName>
    <definedName name="_xlnm.Print_Titles" localSheetId="1">異業種商材申込情報抽出!$A:$T,異業種商材申込情報抽出!$1:$8</definedName>
    <definedName name="_xlnm.Print_Titles">#N/A</definedName>
    <definedName name="Print_Titles_MI">#REF!</definedName>
    <definedName name="Q">#REF!</definedName>
    <definedName name="ｑｑｑ" localSheetId="10">[2]!Sort完了予定</definedName>
    <definedName name="ｑｑｑ" localSheetId="11">[2]!Sort完了予定</definedName>
    <definedName name="ｑｑｑ" localSheetId="12">[2]!Sort完了予定</definedName>
    <definedName name="ｑｑｑ" localSheetId="13">[2]!Sort完了予定</definedName>
    <definedName name="ｑｑｑ" localSheetId="14">[2]!Sort完了予定</definedName>
    <definedName name="ｑｑｑ" localSheetId="15">[2]!Sort完了予定</definedName>
    <definedName name="ｑｑｑ" localSheetId="17">[2]!Sort完了予定</definedName>
    <definedName name="ｑｑｑ" localSheetId="18">[2]!Sort完了予定</definedName>
    <definedName name="ｑｑｑ" localSheetId="19">[2]!Sort完了予定</definedName>
    <definedName name="ｑｑｑ" localSheetId="20">[2]!Sort完了予定</definedName>
    <definedName name="ｑｑｑ" localSheetId="16">[2]!Sort完了予定</definedName>
    <definedName name="ｑｑｑ" localSheetId="21">[2]!Sort完了予定</definedName>
    <definedName name="ｑｑｑ" localSheetId="22">[2]!Sort完了予定</definedName>
    <definedName name="ｑｑｑ" localSheetId="23">[2]!Sort完了予定</definedName>
    <definedName name="ｑｑｑ" localSheetId="24">[2]!Sort完了予定</definedName>
    <definedName name="ｑｑｑ" localSheetId="25">[2]!Sort完了予定</definedName>
    <definedName name="ｑｑｑ" localSheetId="26">[2]!Sort完了予定</definedName>
    <definedName name="ｑｑｑ" localSheetId="27">[2]!Sort完了予定</definedName>
    <definedName name="ｑｑｑ" localSheetId="28">[2]!Sort完了予定</definedName>
    <definedName name="ｑｑｑ" localSheetId="29">[2]!Sort完了予定</definedName>
    <definedName name="ｑｑｑ" localSheetId="30">[2]!Sort完了予定</definedName>
    <definedName name="ｑｑｑ" localSheetId="3">[2]!Sort完了予定</definedName>
    <definedName name="ｑｑｑ" localSheetId="31">[2]!Sort完了予定</definedName>
    <definedName name="ｑｑｑ" localSheetId="32">[2]!Sort完了予定</definedName>
    <definedName name="ｑｑｑ" localSheetId="33">[2]!Sort完了予定</definedName>
    <definedName name="ｑｑｑ" localSheetId="34">[2]!Sort完了予定</definedName>
    <definedName name="ｑｑｑ" localSheetId="35">[2]!Sort完了予定</definedName>
    <definedName name="ｑｑｑ" localSheetId="36">[2]!Sort完了予定</definedName>
    <definedName name="ｑｑｑ" localSheetId="37">[2]!Sort完了予定</definedName>
    <definedName name="ｑｑｑ" localSheetId="38">[2]!Sort完了予定</definedName>
    <definedName name="ｑｑｑ" localSheetId="39">[2]!Sort完了予定</definedName>
    <definedName name="ｑｑｑ" localSheetId="40">[2]!Sort完了予定</definedName>
    <definedName name="ｑｑｑ" localSheetId="4">[2]!Sort完了予定</definedName>
    <definedName name="ｑｑｑ" localSheetId="41">[2]!Sort完了予定</definedName>
    <definedName name="ｑｑｑ" localSheetId="42">[2]!Sort完了予定</definedName>
    <definedName name="ｑｑｑ" localSheetId="43">[2]!Sort完了予定</definedName>
    <definedName name="ｑｑｑ" localSheetId="44">[2]!Sort完了予定</definedName>
    <definedName name="ｑｑｑ" localSheetId="5">[2]!Sort完了予定</definedName>
    <definedName name="ｑｑｑ" localSheetId="6">[2]!Sort完了予定</definedName>
    <definedName name="ｑｑｑ" localSheetId="7">[2]!Sort完了予定</definedName>
    <definedName name="ｑｑｑ" localSheetId="8">[2]!Sort完了予定</definedName>
    <definedName name="ｑｑｑ" localSheetId="9">[2]!Sort完了予定</definedName>
    <definedName name="ｑｑｑ">[2]!Sort完了予定</definedName>
    <definedName name="R_LOG">#REF!</definedName>
    <definedName name="Rec_Length">[3]会社ﾏｽﾀ!$N$9</definedName>
    <definedName name="Return_Menu" localSheetId="0">テスト観点!Return_Menu</definedName>
    <definedName name="Return_Menu" localSheetId="1">異業種商材申込情報抽出!Return_Menu</definedName>
    <definedName name="Return_Menu">[0]!Return_Menu</definedName>
    <definedName name="Return_Menu2" localSheetId="0">テスト観点!Return_Menu2</definedName>
    <definedName name="Return_Menu2" localSheetId="1">異業種商材申込情報抽出!Return_Menu2</definedName>
    <definedName name="Return_Menu2">[0]!Return_Menu2</definedName>
    <definedName name="SortNewBook" localSheetId="10">[2]!SortNewBook</definedName>
    <definedName name="SortNewBook" localSheetId="11">[2]!SortNewBook</definedName>
    <definedName name="SortNewBook" localSheetId="12">[2]!SortNewBook</definedName>
    <definedName name="SortNewBook" localSheetId="13">[2]!SortNewBook</definedName>
    <definedName name="SortNewBook" localSheetId="14">[2]!SortNewBook</definedName>
    <definedName name="SortNewBook" localSheetId="15">[2]!SortNewBook</definedName>
    <definedName name="SortNewBook" localSheetId="17">[2]!SortNewBook</definedName>
    <definedName name="SortNewBook" localSheetId="18">[2]!SortNewBook</definedName>
    <definedName name="SortNewBook" localSheetId="19">[2]!SortNewBook</definedName>
    <definedName name="SortNewBook" localSheetId="20">[2]!SortNewBook</definedName>
    <definedName name="SortNewBook" localSheetId="16">[2]!SortNewBook</definedName>
    <definedName name="SortNewBook" localSheetId="21">[2]!SortNewBook</definedName>
    <definedName name="SortNewBook" localSheetId="22">[2]!SortNewBook</definedName>
    <definedName name="SortNewBook" localSheetId="23">[2]!SortNewBook</definedName>
    <definedName name="SortNewBook" localSheetId="24">[2]!SortNewBook</definedName>
    <definedName name="SortNewBook" localSheetId="25">[2]!SortNewBook</definedName>
    <definedName name="SortNewBook" localSheetId="26">[2]!SortNewBook</definedName>
    <definedName name="SortNewBook" localSheetId="27">[2]!SortNewBook</definedName>
    <definedName name="SortNewBook" localSheetId="28">[2]!SortNewBook</definedName>
    <definedName name="SortNewBook" localSheetId="29">[2]!SortNewBook</definedName>
    <definedName name="SortNewBook" localSheetId="30">[2]!SortNewBook</definedName>
    <definedName name="SortNewBook" localSheetId="3">[2]!SortNewBook</definedName>
    <definedName name="SortNewBook" localSheetId="31">[2]!SortNewBook</definedName>
    <definedName name="SortNewBook" localSheetId="32">[2]!SortNewBook</definedName>
    <definedName name="SortNewBook" localSheetId="33">[2]!SortNewBook</definedName>
    <definedName name="SortNewBook" localSheetId="34">[2]!SortNewBook</definedName>
    <definedName name="SortNewBook" localSheetId="35">[2]!SortNewBook</definedName>
    <definedName name="SortNewBook" localSheetId="36">[2]!SortNewBook</definedName>
    <definedName name="SortNewBook" localSheetId="37">[2]!SortNewBook</definedName>
    <definedName name="SortNewBook" localSheetId="38">[2]!SortNewBook</definedName>
    <definedName name="SortNewBook" localSheetId="39">[2]!SortNewBook</definedName>
    <definedName name="SortNewBook" localSheetId="40">[2]!SortNewBook</definedName>
    <definedName name="SortNewBook" localSheetId="4">[2]!SortNewBook</definedName>
    <definedName name="SortNewBook" localSheetId="41">[2]!SortNewBook</definedName>
    <definedName name="SortNewBook" localSheetId="42">[2]!SortNewBook</definedName>
    <definedName name="SortNewBook" localSheetId="43">[2]!SortNewBook</definedName>
    <definedName name="SortNewBook" localSheetId="44">[2]!SortNewBook</definedName>
    <definedName name="SortNewBook" localSheetId="5">[2]!SortNewBook</definedName>
    <definedName name="SortNewBook" localSheetId="6">[2]!SortNewBook</definedName>
    <definedName name="SortNewBook" localSheetId="7">[2]!SortNewBook</definedName>
    <definedName name="SortNewBook" localSheetId="8">[2]!SortNewBook</definedName>
    <definedName name="SortNewBook" localSheetId="9">[2]!SortNewBook</definedName>
    <definedName name="SortNewBook">[2]!SortNewBook</definedName>
    <definedName name="SortモジュｰルID" localSheetId="10">[2]!SortモジュｰルID</definedName>
    <definedName name="SortモジュｰルID" localSheetId="11">[2]!SortモジュｰルID</definedName>
    <definedName name="SortモジュｰルID" localSheetId="12">[2]!SortモジュｰルID</definedName>
    <definedName name="SortモジュｰルID" localSheetId="13">[2]!SortモジュｰルID</definedName>
    <definedName name="SortモジュｰルID" localSheetId="14">[2]!SortモジュｰルID</definedName>
    <definedName name="SortモジュｰルID" localSheetId="15">[2]!SortモジュｰルID</definedName>
    <definedName name="SortモジュｰルID" localSheetId="17">[2]!SortモジュｰルID</definedName>
    <definedName name="SortモジュｰルID" localSheetId="18">[2]!SortモジュｰルID</definedName>
    <definedName name="SortモジュｰルID" localSheetId="19">[2]!SortモジュｰルID</definedName>
    <definedName name="SortモジュｰルID" localSheetId="20">[2]!SortモジュｰルID</definedName>
    <definedName name="SortモジュｰルID" localSheetId="16">[2]!SortモジュｰルID</definedName>
    <definedName name="SortモジュｰルID" localSheetId="21">[2]!SortモジュｰルID</definedName>
    <definedName name="SortモジュｰルID" localSheetId="22">[2]!SortモジュｰルID</definedName>
    <definedName name="SortモジュｰルID" localSheetId="23">[2]!SortモジュｰルID</definedName>
    <definedName name="SortモジュｰルID" localSheetId="24">[2]!SortモジュｰルID</definedName>
    <definedName name="SortモジュｰルID" localSheetId="25">[2]!SortモジュｰルID</definedName>
    <definedName name="SortモジュｰルID" localSheetId="26">[2]!SortモジュｰルID</definedName>
    <definedName name="SortモジュｰルID" localSheetId="27">[2]!SortモジュｰルID</definedName>
    <definedName name="SortモジュｰルID" localSheetId="28">[2]!SortモジュｰルID</definedName>
    <definedName name="SortモジュｰルID" localSheetId="29">[2]!SortモジュｰルID</definedName>
    <definedName name="SortモジュｰルID" localSheetId="30">[2]!SortモジュｰルID</definedName>
    <definedName name="SortモジュｰルID" localSheetId="3">[2]!SortモジュｰルID</definedName>
    <definedName name="SortモジュｰルID" localSheetId="31">[2]!SortモジュｰルID</definedName>
    <definedName name="SortモジュｰルID" localSheetId="32">[2]!SortモジュｰルID</definedName>
    <definedName name="SortモジュｰルID" localSheetId="33">[2]!SortモジュｰルID</definedName>
    <definedName name="SortモジュｰルID" localSheetId="34">[2]!SortモジュｰルID</definedName>
    <definedName name="SortモジュｰルID" localSheetId="35">[2]!SortモジュｰルID</definedName>
    <definedName name="SortモジュｰルID" localSheetId="36">[2]!SortモジュｰルID</definedName>
    <definedName name="SortモジュｰルID" localSheetId="37">[2]!SortモジュｰルID</definedName>
    <definedName name="SortモジュｰルID" localSheetId="38">[2]!SortモジュｰルID</definedName>
    <definedName name="SortモジュｰルID" localSheetId="39">[2]!SortモジュｰルID</definedName>
    <definedName name="SortモジュｰルID" localSheetId="40">[2]!SortモジュｰルID</definedName>
    <definedName name="SortモジュｰルID" localSheetId="4">[2]!SortモジュｰルID</definedName>
    <definedName name="SortモジュｰルID" localSheetId="41">[2]!SortモジュｰルID</definedName>
    <definedName name="SortモジュｰルID" localSheetId="42">[2]!SortモジュｰルID</definedName>
    <definedName name="SortモジュｰルID" localSheetId="43">[2]!SortモジュｰルID</definedName>
    <definedName name="SortモジュｰルID" localSheetId="44">[2]!SortモジュｰルID</definedName>
    <definedName name="SortモジュｰルID" localSheetId="5">[2]!SortモジュｰルID</definedName>
    <definedName name="SortモジュｰルID" localSheetId="6">[2]!SortモジュｰルID</definedName>
    <definedName name="SortモジュｰルID" localSheetId="7">[2]!SortモジュｰルID</definedName>
    <definedName name="SortモジュｰルID" localSheetId="8">[2]!SortモジュｰルID</definedName>
    <definedName name="SortモジュｰルID" localSheetId="9">[2]!SortモジュｰルID</definedName>
    <definedName name="SortモジュｰルID">[2]!SortモジュｰルID</definedName>
    <definedName name="Sort確認用" localSheetId="10">[2]!Sort確認用</definedName>
    <definedName name="Sort確認用" localSheetId="11">[2]!Sort確認用</definedName>
    <definedName name="Sort確認用" localSheetId="12">[2]!Sort確認用</definedName>
    <definedName name="Sort確認用" localSheetId="13">[2]!Sort確認用</definedName>
    <definedName name="Sort確認用" localSheetId="14">[2]!Sort確認用</definedName>
    <definedName name="Sort確認用" localSheetId="15">[2]!Sort確認用</definedName>
    <definedName name="Sort確認用" localSheetId="17">[2]!Sort確認用</definedName>
    <definedName name="Sort確認用" localSheetId="18">[2]!Sort確認用</definedName>
    <definedName name="Sort確認用" localSheetId="19">[2]!Sort確認用</definedName>
    <definedName name="Sort確認用" localSheetId="20">[2]!Sort確認用</definedName>
    <definedName name="Sort確認用" localSheetId="16">[2]!Sort確認用</definedName>
    <definedName name="Sort確認用" localSheetId="21">[2]!Sort確認用</definedName>
    <definedName name="Sort確認用" localSheetId="22">[2]!Sort確認用</definedName>
    <definedName name="Sort確認用" localSheetId="23">[2]!Sort確認用</definedName>
    <definedName name="Sort確認用" localSheetId="24">[2]!Sort確認用</definedName>
    <definedName name="Sort確認用" localSheetId="25">[2]!Sort確認用</definedName>
    <definedName name="Sort確認用" localSheetId="26">[2]!Sort確認用</definedName>
    <definedName name="Sort確認用" localSheetId="27">[2]!Sort確認用</definedName>
    <definedName name="Sort確認用" localSheetId="28">[2]!Sort確認用</definedName>
    <definedName name="Sort確認用" localSheetId="29">[2]!Sort確認用</definedName>
    <definedName name="Sort確認用" localSheetId="30">[2]!Sort確認用</definedName>
    <definedName name="Sort確認用" localSheetId="3">[2]!Sort確認用</definedName>
    <definedName name="Sort確認用" localSheetId="31">[2]!Sort確認用</definedName>
    <definedName name="Sort確認用" localSheetId="32">[2]!Sort確認用</definedName>
    <definedName name="Sort確認用" localSheetId="33">[2]!Sort確認用</definedName>
    <definedName name="Sort確認用" localSheetId="34">[2]!Sort確認用</definedName>
    <definedName name="Sort確認用" localSheetId="35">[2]!Sort確認用</definedName>
    <definedName name="Sort確認用" localSheetId="36">[2]!Sort確認用</definedName>
    <definedName name="Sort確認用" localSheetId="37">[2]!Sort確認用</definedName>
    <definedName name="Sort確認用" localSheetId="38">[2]!Sort確認用</definedName>
    <definedName name="Sort確認用" localSheetId="39">[2]!Sort確認用</definedName>
    <definedName name="Sort確認用" localSheetId="40">[2]!Sort確認用</definedName>
    <definedName name="Sort確認用" localSheetId="4">[2]!Sort確認用</definedName>
    <definedName name="Sort確認用" localSheetId="41">[2]!Sort確認用</definedName>
    <definedName name="Sort確認用" localSheetId="42">[2]!Sort確認用</definedName>
    <definedName name="Sort確認用" localSheetId="43">[2]!Sort確認用</definedName>
    <definedName name="Sort確認用" localSheetId="44">[2]!Sort確認用</definedName>
    <definedName name="Sort確認用" localSheetId="5">[2]!Sort確認用</definedName>
    <definedName name="Sort確認用" localSheetId="6">[2]!Sort確認用</definedName>
    <definedName name="Sort確認用" localSheetId="7">[2]!Sort確認用</definedName>
    <definedName name="Sort確認用" localSheetId="8">[2]!Sort確認用</definedName>
    <definedName name="Sort確認用" localSheetId="9">[2]!Sort確認用</definedName>
    <definedName name="Sort確認用">[2]!Sort確認用</definedName>
    <definedName name="Sort完了予定" localSheetId="10">[2]!Sort完了予定</definedName>
    <definedName name="Sort完了予定" localSheetId="11">[2]!Sort完了予定</definedName>
    <definedName name="Sort完了予定" localSheetId="12">[2]!Sort完了予定</definedName>
    <definedName name="Sort完了予定" localSheetId="13">[2]!Sort完了予定</definedName>
    <definedName name="Sort完了予定" localSheetId="14">[2]!Sort完了予定</definedName>
    <definedName name="Sort完了予定" localSheetId="15">[2]!Sort完了予定</definedName>
    <definedName name="Sort完了予定" localSheetId="17">[2]!Sort完了予定</definedName>
    <definedName name="Sort完了予定" localSheetId="18">[2]!Sort完了予定</definedName>
    <definedName name="Sort完了予定" localSheetId="19">[2]!Sort完了予定</definedName>
    <definedName name="Sort完了予定" localSheetId="20">[2]!Sort完了予定</definedName>
    <definedName name="Sort完了予定" localSheetId="16">[2]!Sort完了予定</definedName>
    <definedName name="Sort完了予定" localSheetId="21">[2]!Sort完了予定</definedName>
    <definedName name="Sort完了予定" localSheetId="22">[2]!Sort完了予定</definedName>
    <definedName name="Sort完了予定" localSheetId="23">[2]!Sort完了予定</definedName>
    <definedName name="Sort完了予定" localSheetId="24">[2]!Sort完了予定</definedName>
    <definedName name="Sort完了予定" localSheetId="25">[2]!Sort完了予定</definedName>
    <definedName name="Sort完了予定" localSheetId="26">[2]!Sort完了予定</definedName>
    <definedName name="Sort完了予定" localSheetId="27">[2]!Sort完了予定</definedName>
    <definedName name="Sort完了予定" localSheetId="28">[2]!Sort完了予定</definedName>
    <definedName name="Sort完了予定" localSheetId="29">[2]!Sort完了予定</definedName>
    <definedName name="Sort完了予定" localSheetId="30">[2]!Sort完了予定</definedName>
    <definedName name="Sort完了予定" localSheetId="3">[2]!Sort完了予定</definedName>
    <definedName name="Sort完了予定" localSheetId="31">[2]!Sort完了予定</definedName>
    <definedName name="Sort完了予定" localSheetId="32">[2]!Sort完了予定</definedName>
    <definedName name="Sort完了予定" localSheetId="33">[2]!Sort完了予定</definedName>
    <definedName name="Sort完了予定" localSheetId="34">[2]!Sort完了予定</definedName>
    <definedName name="Sort完了予定" localSheetId="35">[2]!Sort完了予定</definedName>
    <definedName name="Sort完了予定" localSheetId="36">[2]!Sort完了予定</definedName>
    <definedName name="Sort完了予定" localSheetId="37">[2]!Sort完了予定</definedName>
    <definedName name="Sort完了予定" localSheetId="38">[2]!Sort完了予定</definedName>
    <definedName name="Sort完了予定" localSheetId="39">[2]!Sort完了予定</definedName>
    <definedName name="Sort完了予定" localSheetId="40">[2]!Sort完了予定</definedName>
    <definedName name="Sort完了予定" localSheetId="4">[2]!Sort完了予定</definedName>
    <definedName name="Sort完了予定" localSheetId="41">[2]!Sort完了予定</definedName>
    <definedName name="Sort完了予定" localSheetId="42">[2]!Sort完了予定</definedName>
    <definedName name="Sort完了予定" localSheetId="43">[2]!Sort完了予定</definedName>
    <definedName name="Sort完了予定" localSheetId="44">[2]!Sort完了予定</definedName>
    <definedName name="Sort完了予定" localSheetId="5">[2]!Sort完了予定</definedName>
    <definedName name="Sort完了予定" localSheetId="6">[2]!Sort完了予定</definedName>
    <definedName name="Sort完了予定" localSheetId="7">[2]!Sort完了予定</definedName>
    <definedName name="Sort完了予定" localSheetId="8">[2]!Sort完了予定</definedName>
    <definedName name="Sort完了予定" localSheetId="9">[2]!Sort完了予定</definedName>
    <definedName name="Sort完了予定">[2]!Sort完了予定</definedName>
    <definedName name="Sort管理No" localSheetId="10">[2]!Sort管理No</definedName>
    <definedName name="Sort管理No" localSheetId="11">[2]!Sort管理No</definedName>
    <definedName name="Sort管理No" localSheetId="12">[2]!Sort管理No</definedName>
    <definedName name="Sort管理No" localSheetId="13">[2]!Sort管理No</definedName>
    <definedName name="Sort管理No" localSheetId="14">[2]!Sort管理No</definedName>
    <definedName name="Sort管理No" localSheetId="15">[2]!Sort管理No</definedName>
    <definedName name="Sort管理No" localSheetId="17">[2]!Sort管理No</definedName>
    <definedName name="Sort管理No" localSheetId="18">[2]!Sort管理No</definedName>
    <definedName name="Sort管理No" localSheetId="19">[2]!Sort管理No</definedName>
    <definedName name="Sort管理No" localSheetId="20">[2]!Sort管理No</definedName>
    <definedName name="Sort管理No" localSheetId="16">[2]!Sort管理No</definedName>
    <definedName name="Sort管理No" localSheetId="21">[2]!Sort管理No</definedName>
    <definedName name="Sort管理No" localSheetId="22">[2]!Sort管理No</definedName>
    <definedName name="Sort管理No" localSheetId="23">[2]!Sort管理No</definedName>
    <definedName name="Sort管理No" localSheetId="24">[2]!Sort管理No</definedName>
    <definedName name="Sort管理No" localSheetId="25">[2]!Sort管理No</definedName>
    <definedName name="Sort管理No" localSheetId="26">[2]!Sort管理No</definedName>
    <definedName name="Sort管理No" localSheetId="27">[2]!Sort管理No</definedName>
    <definedName name="Sort管理No" localSheetId="28">[2]!Sort管理No</definedName>
    <definedName name="Sort管理No" localSheetId="29">[2]!Sort管理No</definedName>
    <definedName name="Sort管理No" localSheetId="30">[2]!Sort管理No</definedName>
    <definedName name="Sort管理No" localSheetId="3">[2]!Sort管理No</definedName>
    <definedName name="Sort管理No" localSheetId="31">[2]!Sort管理No</definedName>
    <definedName name="Sort管理No" localSheetId="32">[2]!Sort管理No</definedName>
    <definedName name="Sort管理No" localSheetId="33">[2]!Sort管理No</definedName>
    <definedName name="Sort管理No" localSheetId="34">[2]!Sort管理No</definedName>
    <definedName name="Sort管理No" localSheetId="35">[2]!Sort管理No</definedName>
    <definedName name="Sort管理No" localSheetId="36">[2]!Sort管理No</definedName>
    <definedName name="Sort管理No" localSheetId="37">[2]!Sort管理No</definedName>
    <definedName name="Sort管理No" localSheetId="38">[2]!Sort管理No</definedName>
    <definedName name="Sort管理No" localSheetId="39">[2]!Sort管理No</definedName>
    <definedName name="Sort管理No" localSheetId="40">[2]!Sort管理No</definedName>
    <definedName name="Sort管理No" localSheetId="4">[2]!Sort管理No</definedName>
    <definedName name="Sort管理No" localSheetId="41">[2]!Sort管理No</definedName>
    <definedName name="Sort管理No" localSheetId="42">[2]!Sort管理No</definedName>
    <definedName name="Sort管理No" localSheetId="43">[2]!Sort管理No</definedName>
    <definedName name="Sort管理No" localSheetId="44">[2]!Sort管理No</definedName>
    <definedName name="Sort管理No" localSheetId="5">[2]!Sort管理No</definedName>
    <definedName name="Sort管理No" localSheetId="6">[2]!Sort管理No</definedName>
    <definedName name="Sort管理No" localSheetId="7">[2]!Sort管理No</definedName>
    <definedName name="Sort管理No" localSheetId="8">[2]!Sort管理No</definedName>
    <definedName name="Sort管理No" localSheetId="9">[2]!Sort管理No</definedName>
    <definedName name="Sort管理No">[2]!Sort管理No</definedName>
    <definedName name="SPUSER_SERVER_SHUBETSU">#REF!</definedName>
    <definedName name="TBL_NEXT">[3]会社ﾏｽﾀ!$N$15</definedName>
    <definedName name="TBL_PctFree">[3]会社ﾏｽﾀ!$N$12</definedName>
    <definedName name="TBL_PctUsed">[3]会社ﾏｽﾀ!$N$13</definedName>
    <definedName name="TBL_SPACE">[3]会社ﾏｽﾀ!$N$11</definedName>
    <definedName name="TBL_Storage">[3]会社ﾏｽﾀ!$N$14</definedName>
    <definedName name="TEKIYOU">#REF!</definedName>
    <definedName name="Ｔｐ名称">[6]Ｔｐ資料!$A$1:$A$120</definedName>
    <definedName name="TYPE">[3]会社ﾏｽﾀ!$D$8</definedName>
    <definedName name="UserID" localSheetId="10">[7]data!#REF!</definedName>
    <definedName name="UserID" localSheetId="11">[7]data!#REF!</definedName>
    <definedName name="UserID" localSheetId="12">[7]data!#REF!</definedName>
    <definedName name="UserID" localSheetId="13">[7]data!#REF!</definedName>
    <definedName name="UserID" localSheetId="14">[7]data!#REF!</definedName>
    <definedName name="UserID" localSheetId="15">[7]data!#REF!</definedName>
    <definedName name="UserID" localSheetId="17">[7]data!#REF!</definedName>
    <definedName name="UserID" localSheetId="18">[7]data!#REF!</definedName>
    <definedName name="UserID" localSheetId="19">[7]data!#REF!</definedName>
    <definedName name="UserID" localSheetId="20">[7]data!#REF!</definedName>
    <definedName name="UserID" localSheetId="16">[7]data!#REF!</definedName>
    <definedName name="UserID" localSheetId="21">[7]data!#REF!</definedName>
    <definedName name="UserID" localSheetId="22">[7]data!#REF!</definedName>
    <definedName name="UserID" localSheetId="23">[7]data!#REF!</definedName>
    <definedName name="UserID" localSheetId="24">[7]data!#REF!</definedName>
    <definedName name="UserID" localSheetId="25">[7]data!#REF!</definedName>
    <definedName name="UserID" localSheetId="26">[7]data!#REF!</definedName>
    <definedName name="UserID" localSheetId="27">[7]data!#REF!</definedName>
    <definedName name="UserID" localSheetId="28">[7]data!#REF!</definedName>
    <definedName name="UserID" localSheetId="29">[7]data!#REF!</definedName>
    <definedName name="UserID" localSheetId="30">[7]data!#REF!</definedName>
    <definedName name="UserID" localSheetId="3">[7]data!#REF!</definedName>
    <definedName name="UserID" localSheetId="31">[7]data!#REF!</definedName>
    <definedName name="UserID" localSheetId="32">[7]data!#REF!</definedName>
    <definedName name="UserID" localSheetId="33">[7]data!#REF!</definedName>
    <definedName name="UserID" localSheetId="34">[7]data!#REF!</definedName>
    <definedName name="UserID" localSheetId="35">[7]data!#REF!</definedName>
    <definedName name="UserID" localSheetId="36">[7]data!#REF!</definedName>
    <definedName name="UserID" localSheetId="37">[7]data!#REF!</definedName>
    <definedName name="UserID" localSheetId="38">[7]data!#REF!</definedName>
    <definedName name="UserID" localSheetId="39">[7]data!#REF!</definedName>
    <definedName name="UserID" localSheetId="40">[7]data!#REF!</definedName>
    <definedName name="UserID" localSheetId="4">[7]data!#REF!</definedName>
    <definedName name="UserID" localSheetId="41">[7]data!#REF!</definedName>
    <definedName name="UserID" localSheetId="42">[7]data!#REF!</definedName>
    <definedName name="UserID" localSheetId="43">[7]data!#REF!</definedName>
    <definedName name="UserID" localSheetId="44">[7]data!#REF!</definedName>
    <definedName name="UserID" localSheetId="5">[7]data!#REF!</definedName>
    <definedName name="UserID" localSheetId="6">[7]data!#REF!</definedName>
    <definedName name="UserID" localSheetId="7">[7]data!#REF!</definedName>
    <definedName name="UserID" localSheetId="8">[7]data!#REF!</definedName>
    <definedName name="UserID" localSheetId="9">[7]data!#REF!</definedName>
    <definedName name="UserID">[7]data!#REF!</definedName>
    <definedName name="ああ">#REF!</definedName>
    <definedName name="さああ">[3]会社ﾏｽﾀ!$J$8</definedName>
    <definedName name="テーブル物理名称">OFFSET([8]テーブル定義!$A$1,0,0,1,COUNTA([8]テーブル定義!$A$1:$IV$1))</definedName>
    <definedName name="ね表紙" localSheetId="10" hidden="1">#REF!</definedName>
    <definedName name="ね表紙" localSheetId="11" hidden="1">#REF!</definedName>
    <definedName name="ね表紙" localSheetId="12" hidden="1">#REF!</definedName>
    <definedName name="ね表紙" localSheetId="13" hidden="1">#REF!</definedName>
    <definedName name="ね表紙" localSheetId="14" hidden="1">#REF!</definedName>
    <definedName name="ね表紙" localSheetId="15" hidden="1">#REF!</definedName>
    <definedName name="ね表紙" localSheetId="17" hidden="1">#REF!</definedName>
    <definedName name="ね表紙" localSheetId="18" hidden="1">#REF!</definedName>
    <definedName name="ね表紙" localSheetId="19" hidden="1">#REF!</definedName>
    <definedName name="ね表紙" localSheetId="20" hidden="1">#REF!</definedName>
    <definedName name="ね表紙" localSheetId="16" hidden="1">#REF!</definedName>
    <definedName name="ね表紙" localSheetId="21" hidden="1">#REF!</definedName>
    <definedName name="ね表紙" localSheetId="22" hidden="1">#REF!</definedName>
    <definedName name="ね表紙" localSheetId="23" hidden="1">#REF!</definedName>
    <definedName name="ね表紙" localSheetId="24" hidden="1">#REF!</definedName>
    <definedName name="ね表紙" localSheetId="25" hidden="1">#REF!</definedName>
    <definedName name="ね表紙" localSheetId="26" hidden="1">#REF!</definedName>
    <definedName name="ね表紙" localSheetId="27" hidden="1">#REF!</definedName>
    <definedName name="ね表紙" localSheetId="28" hidden="1">#REF!</definedName>
    <definedName name="ね表紙" localSheetId="29" hidden="1">#REF!</definedName>
    <definedName name="ね表紙" localSheetId="30" hidden="1">#REF!</definedName>
    <definedName name="ね表紙" localSheetId="3" hidden="1">#REF!</definedName>
    <definedName name="ね表紙" localSheetId="31" hidden="1">#REF!</definedName>
    <definedName name="ね表紙" localSheetId="32" hidden="1">#REF!</definedName>
    <definedName name="ね表紙" localSheetId="33" hidden="1">#REF!</definedName>
    <definedName name="ね表紙" localSheetId="34" hidden="1">#REF!</definedName>
    <definedName name="ね表紙" localSheetId="35" hidden="1">#REF!</definedName>
    <definedName name="ね表紙" localSheetId="36" hidden="1">#REF!</definedName>
    <definedName name="ね表紙" localSheetId="37" hidden="1">#REF!</definedName>
    <definedName name="ね表紙" localSheetId="38" hidden="1">#REF!</definedName>
    <definedName name="ね表紙" localSheetId="39" hidden="1">#REF!</definedName>
    <definedName name="ね表紙" localSheetId="40" hidden="1">#REF!</definedName>
    <definedName name="ね表紙" localSheetId="4" hidden="1">#REF!</definedName>
    <definedName name="ね表紙" localSheetId="41" hidden="1">#REF!</definedName>
    <definedName name="ね表紙" localSheetId="42" hidden="1">#REF!</definedName>
    <definedName name="ね表紙" localSheetId="43" hidden="1">#REF!</definedName>
    <definedName name="ね表紙" localSheetId="44" hidden="1">#REF!</definedName>
    <definedName name="ね表紙" localSheetId="5" hidden="1">#REF!</definedName>
    <definedName name="ね表紙" localSheetId="6" hidden="1">#REF!</definedName>
    <definedName name="ね表紙" localSheetId="7" hidden="1">#REF!</definedName>
    <definedName name="ね表紙" localSheetId="8" hidden="1">#REF!</definedName>
    <definedName name="ね表紙" localSheetId="9" hidden="1">#REF!</definedName>
    <definedName name="ね表紙" hidden="1">#REF!</definedName>
    <definedName name="バリデータ">[5]選択!$A$2:$A$6</definedName>
    <definedName name="プロジェクト名">[9]表紙!$N$2</definedName>
    <definedName name="ﾛｰｶﾙ得意先マスタ">#REF!</definedName>
    <definedName name="ﾛｰｶﾙ得意先商品マスタ">#REF!</definedName>
    <definedName name="科目コード表抽出クエリ">#REF!</definedName>
    <definedName name="回線">#REF!</definedName>
    <definedName name="回線数">#REF!</definedName>
    <definedName name="勘定科目①">[10]Sheet1!$F$4:$F$6</definedName>
    <definedName name="関連表" localSheetId="10" hidden="1">#REF!</definedName>
    <definedName name="関連表" localSheetId="11" hidden="1">#REF!</definedName>
    <definedName name="関連表" localSheetId="12" hidden="1">#REF!</definedName>
    <definedName name="関連表" localSheetId="13" hidden="1">#REF!</definedName>
    <definedName name="関連表" localSheetId="14" hidden="1">#REF!</definedName>
    <definedName name="関連表" localSheetId="15" hidden="1">#REF!</definedName>
    <definedName name="関連表" localSheetId="17" hidden="1">#REF!</definedName>
    <definedName name="関連表" localSheetId="18" hidden="1">#REF!</definedName>
    <definedName name="関連表" localSheetId="19" hidden="1">#REF!</definedName>
    <definedName name="関連表" localSheetId="20" hidden="1">#REF!</definedName>
    <definedName name="関連表" localSheetId="16" hidden="1">#REF!</definedName>
    <definedName name="関連表" localSheetId="21" hidden="1">#REF!</definedName>
    <definedName name="関連表" localSheetId="22" hidden="1">#REF!</definedName>
    <definedName name="関連表" localSheetId="23" hidden="1">#REF!</definedName>
    <definedName name="関連表" localSheetId="24" hidden="1">#REF!</definedName>
    <definedName name="関連表" localSheetId="25" hidden="1">#REF!</definedName>
    <definedName name="関連表" localSheetId="26" hidden="1">#REF!</definedName>
    <definedName name="関連表" localSheetId="27" hidden="1">#REF!</definedName>
    <definedName name="関連表" localSheetId="28" hidden="1">#REF!</definedName>
    <definedName name="関連表" localSheetId="29" hidden="1">#REF!</definedName>
    <definedName name="関連表" localSheetId="30" hidden="1">#REF!</definedName>
    <definedName name="関連表" localSheetId="3" hidden="1">#REF!</definedName>
    <definedName name="関連表" localSheetId="31" hidden="1">#REF!</definedName>
    <definedName name="関連表" localSheetId="32" hidden="1">#REF!</definedName>
    <definedName name="関連表" localSheetId="33" hidden="1">#REF!</definedName>
    <definedName name="関連表" localSheetId="34" hidden="1">#REF!</definedName>
    <definedName name="関連表" localSheetId="35" hidden="1">#REF!</definedName>
    <definedName name="関連表" localSheetId="36" hidden="1">#REF!</definedName>
    <definedName name="関連表" localSheetId="37" hidden="1">#REF!</definedName>
    <definedName name="関連表" localSheetId="38" hidden="1">#REF!</definedName>
    <definedName name="関連表" localSheetId="39" hidden="1">#REF!</definedName>
    <definedName name="関連表" localSheetId="40" hidden="1">#REF!</definedName>
    <definedName name="関連表" localSheetId="4" hidden="1">#REF!</definedName>
    <definedName name="関連表" localSheetId="41" hidden="1">#REF!</definedName>
    <definedName name="関連表" localSheetId="42" hidden="1">#REF!</definedName>
    <definedName name="関連表" localSheetId="43" hidden="1">#REF!</definedName>
    <definedName name="関連表" localSheetId="44" hidden="1">#REF!</definedName>
    <definedName name="関連表" localSheetId="5" hidden="1">#REF!</definedName>
    <definedName name="関連表" localSheetId="6" hidden="1">#REF!</definedName>
    <definedName name="関連表" localSheetId="7" hidden="1">#REF!</definedName>
    <definedName name="関連表" localSheetId="8" hidden="1">#REF!</definedName>
    <definedName name="関連表" localSheetId="9" hidden="1">#REF!</definedName>
    <definedName name="関連表" hidden="1">#REF!</definedName>
    <definedName name="項番１" localSheetId="10">#REF!</definedName>
    <definedName name="項番１" localSheetId="11">#REF!</definedName>
    <definedName name="項番１" localSheetId="12">#REF!</definedName>
    <definedName name="項番１" localSheetId="13">#REF!</definedName>
    <definedName name="項番１" localSheetId="14">#REF!</definedName>
    <definedName name="項番１" localSheetId="15">#REF!</definedName>
    <definedName name="項番１" localSheetId="17">#REF!</definedName>
    <definedName name="項番１" localSheetId="18">#REF!</definedName>
    <definedName name="項番１" localSheetId="19">#REF!</definedName>
    <definedName name="項番１" localSheetId="20">#REF!</definedName>
    <definedName name="項番１" localSheetId="16">#REF!</definedName>
    <definedName name="項番１" localSheetId="21">#REF!</definedName>
    <definedName name="項番１" localSheetId="22">#REF!</definedName>
    <definedName name="項番１" localSheetId="23">#REF!</definedName>
    <definedName name="項番１" localSheetId="24">#REF!</definedName>
    <definedName name="項番１" localSheetId="25">#REF!</definedName>
    <definedName name="項番１" localSheetId="26">#REF!</definedName>
    <definedName name="項番１" localSheetId="27">#REF!</definedName>
    <definedName name="項番１" localSheetId="28">#REF!</definedName>
    <definedName name="項番１" localSheetId="29">#REF!</definedName>
    <definedName name="項番１" localSheetId="30">#REF!</definedName>
    <definedName name="項番１" localSheetId="3">#REF!</definedName>
    <definedName name="項番１" localSheetId="31">#REF!</definedName>
    <definedName name="項番１" localSheetId="32">#REF!</definedName>
    <definedName name="項番１" localSheetId="33">#REF!</definedName>
    <definedName name="項番１" localSheetId="34">#REF!</definedName>
    <definedName name="項番１" localSheetId="35">#REF!</definedName>
    <definedName name="項番１" localSheetId="36">#REF!</definedName>
    <definedName name="項番１" localSheetId="37">#REF!</definedName>
    <definedName name="項番１" localSheetId="38">#REF!</definedName>
    <definedName name="項番１" localSheetId="39">#REF!</definedName>
    <definedName name="項番１" localSheetId="40">#REF!</definedName>
    <definedName name="項番１" localSheetId="4">#REF!</definedName>
    <definedName name="項番１" localSheetId="41">#REF!</definedName>
    <definedName name="項番１" localSheetId="42">#REF!</definedName>
    <definedName name="項番１" localSheetId="43">#REF!</definedName>
    <definedName name="項番１" localSheetId="44">#REF!</definedName>
    <definedName name="項番１" localSheetId="5">#REF!</definedName>
    <definedName name="項番１" localSheetId="6">#REF!</definedName>
    <definedName name="項番１" localSheetId="7">#REF!</definedName>
    <definedName name="項番１" localSheetId="8">#REF!</definedName>
    <definedName name="項番１" localSheetId="9">#REF!</definedName>
    <definedName name="項番１">#REF!</definedName>
    <definedName name="項目☆" localSheetId="10">[2]!項目☆</definedName>
    <definedName name="項目☆" localSheetId="11">[2]!項目☆</definedName>
    <definedName name="項目☆" localSheetId="12">[2]!項目☆</definedName>
    <definedName name="項目☆" localSheetId="13">[2]!項目☆</definedName>
    <definedName name="項目☆" localSheetId="14">[2]!項目☆</definedName>
    <definedName name="項目☆" localSheetId="15">[2]!項目☆</definedName>
    <definedName name="項目☆" localSheetId="17">[2]!項目☆</definedName>
    <definedName name="項目☆" localSheetId="18">[2]!項目☆</definedName>
    <definedName name="項目☆" localSheetId="19">[2]!項目☆</definedName>
    <definedName name="項目☆" localSheetId="20">[2]!項目☆</definedName>
    <definedName name="項目☆" localSheetId="16">[2]!項目☆</definedName>
    <definedName name="項目☆" localSheetId="21">[2]!項目☆</definedName>
    <definedName name="項目☆" localSheetId="22">[2]!項目☆</definedName>
    <definedName name="項目☆" localSheetId="23">[2]!項目☆</definedName>
    <definedName name="項目☆" localSheetId="24">[2]!項目☆</definedName>
    <definedName name="項目☆" localSheetId="25">[2]!項目☆</definedName>
    <definedName name="項目☆" localSheetId="26">[2]!項目☆</definedName>
    <definedName name="項目☆" localSheetId="27">[2]!項目☆</definedName>
    <definedName name="項目☆" localSheetId="28">[2]!項目☆</definedName>
    <definedName name="項目☆" localSheetId="29">[2]!項目☆</definedName>
    <definedName name="項目☆" localSheetId="30">[2]!項目☆</definedName>
    <definedName name="項目☆" localSheetId="3">[2]!項目☆</definedName>
    <definedName name="項目☆" localSheetId="31">[2]!項目☆</definedName>
    <definedName name="項目☆" localSheetId="32">[2]!項目☆</definedName>
    <definedName name="項目☆" localSheetId="33">[2]!項目☆</definedName>
    <definedName name="項目☆" localSheetId="34">[2]!項目☆</definedName>
    <definedName name="項目☆" localSheetId="35">[2]!項目☆</definedName>
    <definedName name="項目☆" localSheetId="36">[2]!項目☆</definedName>
    <definedName name="項目☆" localSheetId="37">[2]!項目☆</definedName>
    <definedName name="項目☆" localSheetId="38">[2]!項目☆</definedName>
    <definedName name="項目☆" localSheetId="39">[2]!項目☆</definedName>
    <definedName name="項目☆" localSheetId="40">[2]!項目☆</definedName>
    <definedName name="項目☆" localSheetId="4">[2]!項目☆</definedName>
    <definedName name="項目☆" localSheetId="41">[2]!項目☆</definedName>
    <definedName name="項目☆" localSheetId="42">[2]!項目☆</definedName>
    <definedName name="項目☆" localSheetId="43">[2]!項目☆</definedName>
    <definedName name="項目☆" localSheetId="44">[2]!項目☆</definedName>
    <definedName name="項目☆" localSheetId="5">[2]!項目☆</definedName>
    <definedName name="項目☆" localSheetId="6">[2]!項目☆</definedName>
    <definedName name="項目☆" localSheetId="7">[2]!項目☆</definedName>
    <definedName name="項目☆" localSheetId="8">[2]!項目☆</definedName>
    <definedName name="項目☆" localSheetId="9">[2]!項目☆</definedName>
    <definedName name="項目☆">[2]!項目☆</definedName>
    <definedName name="項目ＤＢ">[11]項目一覧!$A$3:$D$2998</definedName>
    <definedName name="項目一覧">[12]項目一覧!$C$7:$C$28</definedName>
    <definedName name="作成者">[9]表紙!$N$7</definedName>
    <definedName name="作成日">[9]表紙!$N$9</definedName>
    <definedName name="集計" localSheetId="10">[2]!集計</definedName>
    <definedName name="集計" localSheetId="11">[2]!集計</definedName>
    <definedName name="集計" localSheetId="12">[2]!集計</definedName>
    <definedName name="集計" localSheetId="13">[2]!集計</definedName>
    <definedName name="集計" localSheetId="14">[2]!集計</definedName>
    <definedName name="集計" localSheetId="15">[2]!集計</definedName>
    <definedName name="集計" localSheetId="17">[2]!集計</definedName>
    <definedName name="集計" localSheetId="18">[2]!集計</definedName>
    <definedName name="集計" localSheetId="19">[2]!集計</definedName>
    <definedName name="集計" localSheetId="20">[2]!集計</definedName>
    <definedName name="集計" localSheetId="16">[2]!集計</definedName>
    <definedName name="集計" localSheetId="21">[2]!集計</definedName>
    <definedName name="集計" localSheetId="22">[2]!集計</definedName>
    <definedName name="集計" localSheetId="23">[2]!集計</definedName>
    <definedName name="集計" localSheetId="24">[2]!集計</definedName>
    <definedName name="集計" localSheetId="25">[2]!集計</definedName>
    <definedName name="集計" localSheetId="26">[2]!集計</definedName>
    <definedName name="集計" localSheetId="27">[2]!集計</definedName>
    <definedName name="集計" localSheetId="28">[2]!集計</definedName>
    <definedName name="集計" localSheetId="29">[2]!集計</definedName>
    <definedName name="集計" localSheetId="30">[2]!集計</definedName>
    <definedName name="集計" localSheetId="3">[2]!集計</definedName>
    <definedName name="集計" localSheetId="31">[2]!集計</definedName>
    <definedName name="集計" localSheetId="32">[2]!集計</definedName>
    <definedName name="集計" localSheetId="33">[2]!集計</definedName>
    <definedName name="集計" localSheetId="34">[2]!集計</definedName>
    <definedName name="集計" localSheetId="35">[2]!集計</definedName>
    <definedName name="集計" localSheetId="36">[2]!集計</definedName>
    <definedName name="集計" localSheetId="37">[2]!集計</definedName>
    <definedName name="集計" localSheetId="38">[2]!集計</definedName>
    <definedName name="集計" localSheetId="39">[2]!集計</definedName>
    <definedName name="集計" localSheetId="40">[2]!集計</definedName>
    <definedName name="集計" localSheetId="4">[2]!集計</definedName>
    <definedName name="集計" localSheetId="41">[2]!集計</definedName>
    <definedName name="集計" localSheetId="42">[2]!集計</definedName>
    <definedName name="集計" localSheetId="43">[2]!集計</definedName>
    <definedName name="集計" localSheetId="44">[2]!集計</definedName>
    <definedName name="集計" localSheetId="5">[2]!集計</definedName>
    <definedName name="集計" localSheetId="6">[2]!集計</definedName>
    <definedName name="集計" localSheetId="7">[2]!集計</definedName>
    <definedName name="集計" localSheetId="8">[2]!集計</definedName>
    <definedName name="集計" localSheetId="9">[2]!集計</definedName>
    <definedName name="集計">[2]!集計</definedName>
    <definedName name="重複">[8]凡例!$C$8:$C$9</definedName>
    <definedName name="条件式">#REF!</definedName>
    <definedName name="申込数">#REF!</definedName>
    <definedName name="請求ＤＢ">#REF!</definedName>
    <definedName name="電話帳数">#REF!</definedName>
    <definedName name="版数">[9]表紙!$N$6</definedName>
    <definedName name="品目コード表抽出クエリ_GATE">#REF!</definedName>
    <definedName name="分析ﾃﾞｰﾀ">[13]データ!$A$1:$B$60</definedName>
    <definedName name="文書名">[9]表紙!$N$4</definedName>
    <definedName name="料金科目TBL">[14]料金科目テーブル!$F$1:$N$190</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T35" i="67" l="1"/>
  <c r="BU35" i="67" s="1"/>
  <c r="BX35" i="67"/>
  <c r="BY35" i="67" s="1"/>
  <c r="CB35" i="67"/>
  <c r="CC35" i="67" s="1"/>
  <c r="CF35" i="67"/>
  <c r="CG35" i="67" s="1"/>
  <c r="CJ35" i="67"/>
  <c r="CK35" i="67" s="1"/>
  <c r="CN35" i="67"/>
  <c r="CO35" i="67" s="1"/>
  <c r="CR35" i="67"/>
  <c r="CS35" i="67" s="1"/>
  <c r="CV35" i="67"/>
  <c r="CW35" i="67" s="1"/>
  <c r="CZ35" i="67"/>
  <c r="DA35" i="67" s="1"/>
  <c r="DD35" i="67"/>
  <c r="DE35" i="67" s="1"/>
  <c r="DH35" i="67"/>
  <c r="DI35" i="67" s="1"/>
  <c r="DL35" i="67"/>
  <c r="DM35" i="67" s="1"/>
  <c r="DP35" i="67"/>
  <c r="DQ35" i="67" s="1"/>
  <c r="DT35" i="67"/>
  <c r="DU35" i="67" s="1"/>
  <c r="DX35" i="67"/>
  <c r="DY35" i="67" s="1"/>
  <c r="EB35" i="67"/>
  <c r="EC35" i="67" s="1"/>
  <c r="EF35" i="67"/>
  <c r="EG35" i="67" s="1"/>
  <c r="EJ35" i="67"/>
  <c r="EK35" i="67" s="1"/>
  <c r="EN35" i="67"/>
  <c r="EO35" i="67" s="1"/>
  <c r="ER35" i="67"/>
  <c r="ES35" i="67" s="1"/>
  <c r="EV35" i="67"/>
  <c r="EW35" i="67" s="1"/>
  <c r="EZ35" i="67"/>
  <c r="FA35" i="67" s="1"/>
  <c r="FD35" i="67"/>
  <c r="FE35" i="67" s="1"/>
  <c r="FH35" i="67"/>
  <c r="FI35" i="67" s="1"/>
  <c r="FL35" i="67"/>
  <c r="FM35" i="67" s="1"/>
  <c r="FP35" i="67"/>
  <c r="FQ35" i="67" s="1"/>
  <c r="FT35" i="67"/>
  <c r="FU35" i="67" s="1"/>
  <c r="FX35" i="67"/>
  <c r="FY35" i="67" s="1"/>
  <c r="GB35" i="67"/>
  <c r="GC35" i="67" s="1"/>
  <c r="GF35" i="67"/>
  <c r="GG35" i="67" s="1"/>
  <c r="GJ35" i="67"/>
  <c r="GK35" i="67" s="1"/>
  <c r="GN35" i="67"/>
  <c r="GO35" i="67" s="1"/>
  <c r="BP35" i="67"/>
  <c r="BQ35" i="67" s="1"/>
  <c r="GS81" i="67"/>
  <c r="GS80" i="67"/>
  <c r="GR79" i="67"/>
  <c r="GS79" i="67" s="1"/>
  <c r="GS78" i="67"/>
  <c r="GR77" i="67"/>
  <c r="GS77" i="67" s="1"/>
  <c r="GR76" i="67"/>
  <c r="GS76" i="67" s="1"/>
  <c r="GR75" i="67"/>
  <c r="GS75" i="67" s="1"/>
  <c r="GR74" i="67"/>
  <c r="GS74" i="67" s="1"/>
  <c r="GR73" i="67"/>
  <c r="GS73" i="67"/>
  <c r="GR72" i="67"/>
  <c r="GS72" i="67" s="1"/>
  <c r="GR71" i="67"/>
  <c r="GS71" i="67"/>
  <c r="GR70" i="67"/>
  <c r="GS70" i="67" s="1"/>
  <c r="GR69" i="67"/>
  <c r="GS69" i="67"/>
  <c r="GR68" i="67"/>
  <c r="GS68" i="67" s="1"/>
  <c r="GR67" i="67"/>
  <c r="GS67" i="67" s="1"/>
  <c r="GR66" i="67"/>
  <c r="GS66" i="67" s="1"/>
  <c r="GR65" i="67"/>
  <c r="GS65" i="67"/>
  <c r="GR64" i="67"/>
  <c r="GS64" i="67" s="1"/>
  <c r="GR63" i="67"/>
  <c r="GS63" i="67" s="1"/>
  <c r="GR62" i="67"/>
  <c r="GS62" i="67" s="1"/>
  <c r="GR61" i="67"/>
  <c r="GS61" i="67" s="1"/>
  <c r="GR60" i="67"/>
  <c r="GS60" i="67" s="1"/>
  <c r="GR59" i="67"/>
  <c r="GS59" i="67" s="1"/>
  <c r="GR58" i="67"/>
  <c r="GS58" i="67"/>
  <c r="GR57" i="67"/>
  <c r="GS57" i="67"/>
  <c r="GR56" i="67"/>
  <c r="GS56" i="67"/>
  <c r="GR55" i="67"/>
  <c r="GS55" i="67" s="1"/>
  <c r="GR54" i="67"/>
  <c r="GS54" i="67" s="1"/>
  <c r="GR53" i="67"/>
  <c r="GS53" i="67" s="1"/>
  <c r="GR52" i="67"/>
  <c r="GS52" i="67" s="1"/>
  <c r="GR51" i="67"/>
  <c r="GS51" i="67" s="1"/>
  <c r="GR50" i="67"/>
  <c r="GS50" i="67"/>
  <c r="GR49" i="67"/>
  <c r="GS49" i="67"/>
  <c r="GR48" i="67"/>
  <c r="GS48" i="67"/>
  <c r="GR47" i="67"/>
  <c r="GS47" i="67" s="1"/>
  <c r="GR46" i="67"/>
  <c r="GS46" i="67" s="1"/>
  <c r="GR45" i="67"/>
  <c r="GS45" i="67" s="1"/>
  <c r="GS44" i="67"/>
  <c r="GR43" i="67"/>
  <c r="GS43" i="67" s="1"/>
  <c r="GR42" i="67"/>
  <c r="GS42" i="67" s="1"/>
  <c r="GS41" i="67"/>
  <c r="GR40" i="67"/>
  <c r="GS40" i="67" s="1"/>
  <c r="GR39" i="67"/>
  <c r="GS39" i="67" s="1"/>
  <c r="GR38" i="67"/>
  <c r="GS38" i="67" s="1"/>
  <c r="GR37" i="67"/>
  <c r="GS37" i="67"/>
  <c r="GR36" i="67"/>
  <c r="GS36" i="67"/>
  <c r="GR35" i="67"/>
  <c r="GS35" i="67"/>
  <c r="GR34" i="67"/>
  <c r="GS34" i="67" s="1"/>
  <c r="GR33" i="67"/>
  <c r="GS33" i="67" s="1"/>
  <c r="GR32" i="67"/>
  <c r="GS32" i="67" s="1"/>
  <c r="GR31" i="67"/>
  <c r="GS31" i="67" s="1"/>
  <c r="GR30" i="67"/>
  <c r="GS30" i="67" s="1"/>
  <c r="GR29" i="67"/>
  <c r="GS29" i="67" s="1"/>
  <c r="GR28" i="67"/>
  <c r="GS28" i="67" s="1"/>
  <c r="GR27" i="67"/>
  <c r="GS27" i="67" s="1"/>
  <c r="GR26" i="67"/>
  <c r="GS26" i="67" s="1"/>
  <c r="GR25" i="67"/>
  <c r="GS25" i="67"/>
  <c r="GS24" i="67"/>
  <c r="GR23" i="67"/>
  <c r="GS23" i="67" s="1"/>
  <c r="GR22" i="67"/>
  <c r="GS22" i="67" s="1"/>
  <c r="GS21" i="67"/>
  <c r="GR20" i="67"/>
  <c r="GS20" i="67"/>
  <c r="GR19" i="67"/>
  <c r="GS19" i="67"/>
  <c r="GR18" i="67"/>
  <c r="GS18" i="67"/>
  <c r="GR17" i="67"/>
  <c r="GS17" i="67" s="1"/>
  <c r="GR16" i="67"/>
  <c r="GS16" i="67" s="1"/>
  <c r="GR15" i="67"/>
  <c r="GS15" i="67" s="1"/>
  <c r="GS14" i="67"/>
  <c r="GR13" i="67"/>
  <c r="GS13" i="67" s="1"/>
  <c r="GR12" i="67"/>
  <c r="GS12" i="67" s="1"/>
  <c r="GR11" i="67"/>
  <c r="GS11" i="67" s="1"/>
  <c r="GR10" i="67"/>
  <c r="GS10" i="67" s="1"/>
  <c r="GR9" i="67"/>
  <c r="GS9" i="67" s="1"/>
  <c r="GR8" i="67"/>
  <c r="GS8" i="67" s="1"/>
  <c r="GQ7" i="67"/>
  <c r="GP7" i="67"/>
  <c r="GF70" i="67"/>
  <c r="GG70" i="67" s="1"/>
  <c r="GJ70" i="67"/>
  <c r="GK70" i="67" s="1"/>
  <c r="GF71" i="67"/>
  <c r="GG71" i="67" s="1"/>
  <c r="GJ71" i="67"/>
  <c r="GK71" i="67" s="1"/>
  <c r="GO81" i="67"/>
  <c r="GK81" i="67"/>
  <c r="GG81" i="67"/>
  <c r="GO80" i="67"/>
  <c r="GK80" i="67"/>
  <c r="GG80" i="67"/>
  <c r="GN79" i="67"/>
  <c r="GO79" i="67" s="1"/>
  <c r="GJ79" i="67"/>
  <c r="GK79" i="67" s="1"/>
  <c r="GF79" i="67"/>
  <c r="GG79" i="67" s="1"/>
  <c r="GO78" i="67"/>
  <c r="GK78" i="67"/>
  <c r="GG78" i="67"/>
  <c r="GN77" i="67"/>
  <c r="GO77" i="67" s="1"/>
  <c r="GJ77" i="67"/>
  <c r="GK77" i="67" s="1"/>
  <c r="GF77" i="67"/>
  <c r="GG77" i="67" s="1"/>
  <c r="GN76" i="67"/>
  <c r="GO76" i="67"/>
  <c r="GK76" i="67"/>
  <c r="GJ76" i="67"/>
  <c r="GF76" i="67"/>
  <c r="GG76" i="67"/>
  <c r="GN75" i="67"/>
  <c r="GO75" i="67" s="1"/>
  <c r="GJ75" i="67"/>
  <c r="GK75" i="67"/>
  <c r="GF75" i="67"/>
  <c r="GG75" i="67" s="1"/>
  <c r="GN74" i="67"/>
  <c r="GO74" i="67" s="1"/>
  <c r="GJ74" i="67"/>
  <c r="GK74" i="67" s="1"/>
  <c r="GF74" i="67"/>
  <c r="GG74" i="67" s="1"/>
  <c r="GN73" i="67"/>
  <c r="GO73" i="67" s="1"/>
  <c r="GJ73" i="67"/>
  <c r="GK73" i="67" s="1"/>
  <c r="GF73" i="67"/>
  <c r="GG73" i="67" s="1"/>
  <c r="GN72" i="67"/>
  <c r="GO72" i="67"/>
  <c r="GJ72" i="67"/>
  <c r="GK72" i="67" s="1"/>
  <c r="GF72" i="67"/>
  <c r="GG72" i="67"/>
  <c r="GN71" i="67"/>
  <c r="GO71" i="67" s="1"/>
  <c r="GN70" i="67"/>
  <c r="GO70" i="67" s="1"/>
  <c r="GN69" i="67"/>
  <c r="GO69" i="67" s="1"/>
  <c r="GJ69" i="67"/>
  <c r="GK69" i="67" s="1"/>
  <c r="GF69" i="67"/>
  <c r="GG69" i="67" s="1"/>
  <c r="GN68" i="67"/>
  <c r="GO68" i="67" s="1"/>
  <c r="GJ68" i="67"/>
  <c r="GK68" i="67" s="1"/>
  <c r="GF68" i="67"/>
  <c r="GG68" i="67" s="1"/>
  <c r="GN67" i="67"/>
  <c r="GO67" i="67" s="1"/>
  <c r="GJ67" i="67"/>
  <c r="GK67" i="67"/>
  <c r="GF67" i="67"/>
  <c r="GG67" i="67" s="1"/>
  <c r="GN66" i="67"/>
  <c r="GO66" i="67"/>
  <c r="GJ66" i="67"/>
  <c r="GK66" i="67" s="1"/>
  <c r="GF66" i="67"/>
  <c r="GG66" i="67" s="1"/>
  <c r="GN65" i="67"/>
  <c r="GO65" i="67" s="1"/>
  <c r="GJ65" i="67"/>
  <c r="GK65" i="67" s="1"/>
  <c r="GF65" i="67"/>
  <c r="GG65" i="67" s="1"/>
  <c r="GN64" i="67"/>
  <c r="GO64" i="67" s="1"/>
  <c r="GJ64" i="67"/>
  <c r="GK64" i="67" s="1"/>
  <c r="GF64" i="67"/>
  <c r="GG64" i="67"/>
  <c r="GN63" i="67"/>
  <c r="GO63" i="67" s="1"/>
  <c r="GJ63" i="67"/>
  <c r="GK63" i="67"/>
  <c r="GF63" i="67"/>
  <c r="GG63" i="67" s="1"/>
  <c r="GN62" i="67"/>
  <c r="GO62" i="67" s="1"/>
  <c r="GJ62" i="67"/>
  <c r="GK62" i="67" s="1"/>
  <c r="GF62" i="67"/>
  <c r="GG62" i="67" s="1"/>
  <c r="GN61" i="67"/>
  <c r="GO61" i="67" s="1"/>
  <c r="GJ61" i="67"/>
  <c r="GK61" i="67" s="1"/>
  <c r="GF61" i="67"/>
  <c r="GG61" i="67" s="1"/>
  <c r="GN60" i="67"/>
  <c r="GO60" i="67"/>
  <c r="GJ60" i="67"/>
  <c r="GK60" i="67" s="1"/>
  <c r="GF60" i="67"/>
  <c r="GG60" i="67"/>
  <c r="GN59" i="67"/>
  <c r="GO59" i="67" s="1"/>
  <c r="GJ59" i="67"/>
  <c r="GK59" i="67" s="1"/>
  <c r="GF59" i="67"/>
  <c r="GG59" i="67" s="1"/>
  <c r="GN58" i="67"/>
  <c r="GO58" i="67" s="1"/>
  <c r="GJ58" i="67"/>
  <c r="GK58" i="67" s="1"/>
  <c r="GF58" i="67"/>
  <c r="GG58" i="67"/>
  <c r="GO57" i="67"/>
  <c r="GN57" i="67"/>
  <c r="GJ57" i="67"/>
  <c r="GK57" i="67"/>
  <c r="GF57" i="67"/>
  <c r="GG57" i="67" s="1"/>
  <c r="GN56" i="67"/>
  <c r="GO56" i="67"/>
  <c r="GJ56" i="67"/>
  <c r="GK56" i="67" s="1"/>
  <c r="GF56" i="67"/>
  <c r="GG56" i="67" s="1"/>
  <c r="GN55" i="67"/>
  <c r="GO55" i="67" s="1"/>
  <c r="GJ55" i="67"/>
  <c r="GK55" i="67" s="1"/>
  <c r="GF55" i="67"/>
  <c r="GG55" i="67" s="1"/>
  <c r="GN54" i="67"/>
  <c r="GO54" i="67" s="1"/>
  <c r="GJ54" i="67"/>
  <c r="GK54" i="67" s="1"/>
  <c r="GF54" i="67"/>
  <c r="GG54" i="67"/>
  <c r="GO53" i="67"/>
  <c r="GN53" i="67"/>
  <c r="GJ53" i="67"/>
  <c r="GK53" i="67"/>
  <c r="GF53" i="67"/>
  <c r="GG53" i="67" s="1"/>
  <c r="GN52" i="67"/>
  <c r="GO52" i="67"/>
  <c r="GJ52" i="67"/>
  <c r="GK52" i="67" s="1"/>
  <c r="GF52" i="67"/>
  <c r="GG52" i="67" s="1"/>
  <c r="GN51" i="67"/>
  <c r="GO51" i="67" s="1"/>
  <c r="GJ51" i="67"/>
  <c r="GK51" i="67" s="1"/>
  <c r="GF51" i="67"/>
  <c r="GG51" i="67" s="1"/>
  <c r="GN50" i="67"/>
  <c r="GO50" i="67"/>
  <c r="GJ50" i="67"/>
  <c r="GK50" i="67" s="1"/>
  <c r="GF50" i="67"/>
  <c r="GG50" i="67"/>
  <c r="GO49" i="67"/>
  <c r="GN49" i="67"/>
  <c r="GJ49" i="67"/>
  <c r="GK49" i="67"/>
  <c r="GF49" i="67"/>
  <c r="GG49" i="67" s="1"/>
  <c r="GN48" i="67"/>
  <c r="GO48" i="67" s="1"/>
  <c r="GJ48" i="67"/>
  <c r="GK48" i="67" s="1"/>
  <c r="GF48" i="67"/>
  <c r="GG48" i="67" s="1"/>
  <c r="GN47" i="67"/>
  <c r="GO47" i="67" s="1"/>
  <c r="GJ47" i="67"/>
  <c r="GK47" i="67"/>
  <c r="GG47" i="67"/>
  <c r="GF47" i="67"/>
  <c r="GN46" i="67"/>
  <c r="GO46" i="67"/>
  <c r="GJ46" i="67"/>
  <c r="GK46" i="67" s="1"/>
  <c r="GF46" i="67"/>
  <c r="GG46" i="67"/>
  <c r="GO45" i="67"/>
  <c r="GN45" i="67"/>
  <c r="GJ45" i="67"/>
  <c r="GK45" i="67"/>
  <c r="GF45" i="67"/>
  <c r="GG45" i="67" s="1"/>
  <c r="GO44" i="67"/>
  <c r="GK44" i="67"/>
  <c r="GG44" i="67"/>
  <c r="GN43" i="67"/>
  <c r="GO43" i="67" s="1"/>
  <c r="GJ43" i="67"/>
  <c r="GK43" i="67" s="1"/>
  <c r="GF43" i="67"/>
  <c r="GG43" i="67" s="1"/>
  <c r="GN42" i="67"/>
  <c r="GO42" i="67"/>
  <c r="GJ42" i="67"/>
  <c r="GK42" i="67" s="1"/>
  <c r="GF42" i="67"/>
  <c r="GG42" i="67"/>
  <c r="GO41" i="67"/>
  <c r="GK41" i="67"/>
  <c r="GG41" i="67"/>
  <c r="GN40" i="67"/>
  <c r="GO40" i="67" s="1"/>
  <c r="GJ40" i="67"/>
  <c r="GK40" i="67" s="1"/>
  <c r="GF40" i="67"/>
  <c r="GG40" i="67" s="1"/>
  <c r="GN39" i="67"/>
  <c r="GO39" i="67" s="1"/>
  <c r="GJ39" i="67"/>
  <c r="GK39" i="67" s="1"/>
  <c r="GF39" i="67"/>
  <c r="GG39" i="67" s="1"/>
  <c r="GN38" i="67"/>
  <c r="GO38" i="67" s="1"/>
  <c r="GJ38" i="67"/>
  <c r="GK38" i="67"/>
  <c r="GG38" i="67"/>
  <c r="GF38" i="67"/>
  <c r="GN37" i="67"/>
  <c r="GO37" i="67"/>
  <c r="GJ37" i="67"/>
  <c r="GK37" i="67" s="1"/>
  <c r="GF37" i="67"/>
  <c r="GG37" i="67"/>
  <c r="GO36" i="67"/>
  <c r="GN36" i="67"/>
  <c r="GJ36" i="67"/>
  <c r="GK36" i="67"/>
  <c r="GF36" i="67"/>
  <c r="GG36" i="67" s="1"/>
  <c r="GN34" i="67"/>
  <c r="GO34" i="67" s="1"/>
  <c r="GJ34" i="67"/>
  <c r="GK34" i="67" s="1"/>
  <c r="GF34" i="67"/>
  <c r="GG34" i="67" s="1"/>
  <c r="GN33" i="67"/>
  <c r="GO33" i="67" s="1"/>
  <c r="GJ33" i="67"/>
  <c r="GK33" i="67" s="1"/>
  <c r="GF33" i="67"/>
  <c r="GG33" i="67" s="1"/>
  <c r="GN32" i="67"/>
  <c r="GO32" i="67" s="1"/>
  <c r="GJ32" i="67"/>
  <c r="GK32" i="67" s="1"/>
  <c r="GF32" i="67"/>
  <c r="GG32" i="67" s="1"/>
  <c r="GN31" i="67"/>
  <c r="GO31" i="67" s="1"/>
  <c r="GJ31" i="67"/>
  <c r="GK31" i="67" s="1"/>
  <c r="GF31" i="67"/>
  <c r="GG31" i="67" s="1"/>
  <c r="GN30" i="67"/>
  <c r="GO30" i="67" s="1"/>
  <c r="GJ30" i="67"/>
  <c r="GK30" i="67" s="1"/>
  <c r="GF30" i="67"/>
  <c r="GG30" i="67" s="1"/>
  <c r="GN29" i="67"/>
  <c r="GO29" i="67" s="1"/>
  <c r="GJ29" i="67"/>
  <c r="GK29" i="67" s="1"/>
  <c r="GF29" i="67"/>
  <c r="GG29" i="67" s="1"/>
  <c r="GN28" i="67"/>
  <c r="GO28" i="67" s="1"/>
  <c r="GJ28" i="67"/>
  <c r="GK28" i="67" s="1"/>
  <c r="GF28" i="67"/>
  <c r="GG28" i="67" s="1"/>
  <c r="GN27" i="67"/>
  <c r="GO27" i="67" s="1"/>
  <c r="GJ27" i="67"/>
  <c r="GK27" i="67" s="1"/>
  <c r="GF27" i="67"/>
  <c r="GG27" i="67" s="1"/>
  <c r="GN26" i="67"/>
  <c r="GO26" i="67" s="1"/>
  <c r="GJ26" i="67"/>
  <c r="GK26" i="67" s="1"/>
  <c r="GF26" i="67"/>
  <c r="GG26" i="67" s="1"/>
  <c r="GN25" i="67"/>
  <c r="GO25" i="67" s="1"/>
  <c r="GJ25" i="67"/>
  <c r="GK25" i="67" s="1"/>
  <c r="GF25" i="67"/>
  <c r="GG25" i="67" s="1"/>
  <c r="GO24" i="67"/>
  <c r="GK24" i="67"/>
  <c r="GG24" i="67"/>
  <c r="GN23" i="67"/>
  <c r="GO23" i="67" s="1"/>
  <c r="GJ23" i="67"/>
  <c r="GK23" i="67" s="1"/>
  <c r="GF23" i="67"/>
  <c r="GG23" i="67"/>
  <c r="GN22" i="67"/>
  <c r="GO22" i="67" s="1"/>
  <c r="GJ22" i="67"/>
  <c r="GK22" i="67" s="1"/>
  <c r="GF22" i="67"/>
  <c r="GG22" i="67" s="1"/>
  <c r="GO21" i="67"/>
  <c r="GK21" i="67"/>
  <c r="GG21" i="67"/>
  <c r="GO20" i="67"/>
  <c r="GN20" i="67"/>
  <c r="GJ20" i="67"/>
  <c r="GK20" i="67" s="1"/>
  <c r="GG20" i="67"/>
  <c r="GF20" i="67"/>
  <c r="GN19" i="67"/>
  <c r="GO19" i="67" s="1"/>
  <c r="GK19" i="67"/>
  <c r="GJ19" i="67"/>
  <c r="GF19" i="67"/>
  <c r="GG19" i="67" s="1"/>
  <c r="GO18" i="67"/>
  <c r="GN18" i="67"/>
  <c r="GJ18" i="67"/>
  <c r="GK18" i="67" s="1"/>
  <c r="GG18" i="67"/>
  <c r="GF18" i="67"/>
  <c r="GN17" i="67"/>
  <c r="GO17" i="67" s="1"/>
  <c r="GK17" i="67"/>
  <c r="GJ17" i="67"/>
  <c r="GF17" i="67"/>
  <c r="GG17" i="67" s="1"/>
  <c r="GO16" i="67"/>
  <c r="GN16" i="67"/>
  <c r="GJ16" i="67"/>
  <c r="GK16" i="67" s="1"/>
  <c r="GG16" i="67"/>
  <c r="GF16" i="67"/>
  <c r="GN15" i="67"/>
  <c r="GO15" i="67" s="1"/>
  <c r="GK15" i="67"/>
  <c r="GJ15" i="67"/>
  <c r="GF15" i="67"/>
  <c r="GG15" i="67" s="1"/>
  <c r="GO14" i="67"/>
  <c r="GK14" i="67"/>
  <c r="GG14" i="67"/>
  <c r="GN13" i="67"/>
  <c r="GO13" i="67" s="1"/>
  <c r="GJ13" i="67"/>
  <c r="GK13" i="67" s="1"/>
  <c r="GF13" i="67"/>
  <c r="GG13" i="67" s="1"/>
  <c r="GN12" i="67"/>
  <c r="GO12" i="67"/>
  <c r="GJ12" i="67"/>
  <c r="GK12" i="67" s="1"/>
  <c r="GF12" i="67"/>
  <c r="GG12" i="67" s="1"/>
  <c r="GN11" i="67"/>
  <c r="GO11" i="67" s="1"/>
  <c r="GJ11" i="67"/>
  <c r="GK11" i="67" s="1"/>
  <c r="GF11" i="67"/>
  <c r="GG11" i="67" s="1"/>
  <c r="GN10" i="67"/>
  <c r="GO10" i="67" s="1"/>
  <c r="GJ10" i="67"/>
  <c r="GK10" i="67" s="1"/>
  <c r="GF10" i="67"/>
  <c r="GG10" i="67"/>
  <c r="GN9" i="67"/>
  <c r="GO9" i="67" s="1"/>
  <c r="GJ9" i="67"/>
  <c r="GK9" i="67" s="1"/>
  <c r="GF9" i="67"/>
  <c r="GG9" i="67" s="1"/>
  <c r="GN8" i="67"/>
  <c r="GO8" i="67" s="1"/>
  <c r="GJ8" i="67"/>
  <c r="GK8" i="67" s="1"/>
  <c r="GF8" i="67"/>
  <c r="GG8" i="67" s="1"/>
  <c r="GM7" i="67"/>
  <c r="GL7" i="67"/>
  <c r="GI7" i="67"/>
  <c r="GH7" i="67"/>
  <c r="GE7" i="67"/>
  <c r="GD7" i="67"/>
  <c r="FT69" i="67"/>
  <c r="FU69" i="67" s="1"/>
  <c r="FX69" i="67"/>
  <c r="FY69" i="67" s="1"/>
  <c r="FT70" i="67"/>
  <c r="FU70" i="67" s="1"/>
  <c r="FX70" i="67"/>
  <c r="FY70" i="67" s="1"/>
  <c r="GC81" i="67"/>
  <c r="FY81" i="67"/>
  <c r="FU81" i="67"/>
  <c r="GC80" i="67"/>
  <c r="FY80" i="67"/>
  <c r="FU80" i="67"/>
  <c r="GB79" i="67"/>
  <c r="GC79" i="67" s="1"/>
  <c r="FY79" i="67"/>
  <c r="FX79" i="67"/>
  <c r="FT79" i="67"/>
  <c r="FU79" i="67" s="1"/>
  <c r="GC78" i="67"/>
  <c r="FY78" i="67"/>
  <c r="FU78" i="67"/>
  <c r="GB77" i="67"/>
  <c r="GC77" i="67" s="1"/>
  <c r="FX77" i="67"/>
  <c r="FY77" i="67"/>
  <c r="FT77" i="67"/>
  <c r="FU77" i="67" s="1"/>
  <c r="GB76" i="67"/>
  <c r="GC76" i="67"/>
  <c r="FX76" i="67"/>
  <c r="FY76" i="67" s="1"/>
  <c r="FT76" i="67"/>
  <c r="FU76" i="67" s="1"/>
  <c r="GB75" i="67"/>
  <c r="GC75" i="67" s="1"/>
  <c r="FX75" i="67"/>
  <c r="FY75" i="67" s="1"/>
  <c r="FT75" i="67"/>
  <c r="FU75" i="67" s="1"/>
  <c r="GB74" i="67"/>
  <c r="GC74" i="67" s="1"/>
  <c r="FX74" i="67"/>
  <c r="FY74" i="67" s="1"/>
  <c r="FT74" i="67"/>
  <c r="FU74" i="67" s="1"/>
  <c r="GB73" i="67"/>
  <c r="GC73" i="67" s="1"/>
  <c r="FX73" i="67"/>
  <c r="FY73" i="67" s="1"/>
  <c r="FT73" i="67"/>
  <c r="FU73" i="67" s="1"/>
  <c r="GB72" i="67"/>
  <c r="GC72" i="67" s="1"/>
  <c r="FX72" i="67"/>
  <c r="FY72" i="67" s="1"/>
  <c r="FT72" i="67"/>
  <c r="FU72" i="67" s="1"/>
  <c r="GB71" i="67"/>
  <c r="GC71" i="67" s="1"/>
  <c r="FX71" i="67"/>
  <c r="FY71" i="67"/>
  <c r="FT71" i="67"/>
  <c r="FU71" i="67" s="1"/>
  <c r="GB70" i="67"/>
  <c r="GC70" i="67" s="1"/>
  <c r="GB69" i="67"/>
  <c r="GC69" i="67" s="1"/>
  <c r="GB68" i="67"/>
  <c r="GC68" i="67" s="1"/>
  <c r="FX68" i="67"/>
  <c r="FY68" i="67" s="1"/>
  <c r="FT68" i="67"/>
  <c r="FU68" i="67" s="1"/>
  <c r="GB67" i="67"/>
  <c r="GC67" i="67" s="1"/>
  <c r="FX67" i="67"/>
  <c r="FY67" i="67"/>
  <c r="FT67" i="67"/>
  <c r="FU67" i="67" s="1"/>
  <c r="GB66" i="67"/>
  <c r="GC66" i="67" s="1"/>
  <c r="FX66" i="67"/>
  <c r="FY66" i="67" s="1"/>
  <c r="FT66" i="67"/>
  <c r="FU66" i="67" s="1"/>
  <c r="GB65" i="67"/>
  <c r="GC65" i="67" s="1"/>
  <c r="FX65" i="67"/>
  <c r="FY65" i="67" s="1"/>
  <c r="FT65" i="67"/>
  <c r="FU65" i="67" s="1"/>
  <c r="GB64" i="67"/>
  <c r="GC64" i="67" s="1"/>
  <c r="FX64" i="67"/>
  <c r="FY64" i="67" s="1"/>
  <c r="FT64" i="67"/>
  <c r="FU64" i="67" s="1"/>
  <c r="GB63" i="67"/>
  <c r="GC63" i="67" s="1"/>
  <c r="FX63" i="67"/>
  <c r="FY63" i="67" s="1"/>
  <c r="FT63" i="67"/>
  <c r="FU63" i="67" s="1"/>
  <c r="GB62" i="67"/>
  <c r="GC62" i="67" s="1"/>
  <c r="FX62" i="67"/>
  <c r="FY62" i="67" s="1"/>
  <c r="FT62" i="67"/>
  <c r="FU62" i="67" s="1"/>
  <c r="GB61" i="67"/>
  <c r="GC61" i="67" s="1"/>
  <c r="FX61" i="67"/>
  <c r="FY61" i="67" s="1"/>
  <c r="FT61" i="67"/>
  <c r="FU61" i="67" s="1"/>
  <c r="GB60" i="67"/>
  <c r="GC60" i="67" s="1"/>
  <c r="FX60" i="67"/>
  <c r="FY60" i="67" s="1"/>
  <c r="FT60" i="67"/>
  <c r="FU60" i="67" s="1"/>
  <c r="GB59" i="67"/>
  <c r="GC59" i="67" s="1"/>
  <c r="FX59" i="67"/>
  <c r="FY59" i="67"/>
  <c r="FT59" i="67"/>
  <c r="FU59" i="67" s="1"/>
  <c r="GB58" i="67"/>
  <c r="GC58" i="67" s="1"/>
  <c r="FX58" i="67"/>
  <c r="FY58" i="67" s="1"/>
  <c r="FT58" i="67"/>
  <c r="FU58" i="67" s="1"/>
  <c r="GB57" i="67"/>
  <c r="GC57" i="67" s="1"/>
  <c r="FX57" i="67"/>
  <c r="FY57" i="67" s="1"/>
  <c r="FT57" i="67"/>
  <c r="FU57" i="67" s="1"/>
  <c r="GB56" i="67"/>
  <c r="GC56" i="67"/>
  <c r="FX56" i="67"/>
  <c r="FY56" i="67" s="1"/>
  <c r="FT56" i="67"/>
  <c r="FU56" i="67" s="1"/>
  <c r="GB55" i="67"/>
  <c r="GC55" i="67" s="1"/>
  <c r="FX55" i="67"/>
  <c r="FY55" i="67" s="1"/>
  <c r="FT55" i="67"/>
  <c r="FU55" i="67" s="1"/>
  <c r="GB54" i="67"/>
  <c r="GC54" i="67" s="1"/>
  <c r="FX54" i="67"/>
  <c r="FY54" i="67" s="1"/>
  <c r="FT54" i="67"/>
  <c r="FU54" i="67" s="1"/>
  <c r="GB53" i="67"/>
  <c r="GC53" i="67" s="1"/>
  <c r="FX53" i="67"/>
  <c r="FY53" i="67" s="1"/>
  <c r="FT53" i="67"/>
  <c r="FU53" i="67" s="1"/>
  <c r="GB52" i="67"/>
  <c r="GC52" i="67" s="1"/>
  <c r="FX52" i="67"/>
  <c r="FY52" i="67" s="1"/>
  <c r="FT52" i="67"/>
  <c r="FU52" i="67" s="1"/>
  <c r="GB51" i="67"/>
  <c r="GC51" i="67" s="1"/>
  <c r="FX51" i="67"/>
  <c r="FY51" i="67" s="1"/>
  <c r="FT51" i="67"/>
  <c r="FU51" i="67" s="1"/>
  <c r="GB50" i="67"/>
  <c r="GC50" i="67" s="1"/>
  <c r="FX50" i="67"/>
  <c r="FY50" i="67" s="1"/>
  <c r="FT50" i="67"/>
  <c r="FU50" i="67" s="1"/>
  <c r="GB49" i="67"/>
  <c r="GC49" i="67" s="1"/>
  <c r="FX49" i="67"/>
  <c r="FY49" i="67" s="1"/>
  <c r="FT49" i="67"/>
  <c r="FU49" i="67" s="1"/>
  <c r="GB48" i="67"/>
  <c r="GC48" i="67"/>
  <c r="FX48" i="67"/>
  <c r="FY48" i="67" s="1"/>
  <c r="FT48" i="67"/>
  <c r="FU48" i="67"/>
  <c r="GB47" i="67"/>
  <c r="GC47" i="67" s="1"/>
  <c r="FX47" i="67"/>
  <c r="FY47" i="67" s="1"/>
  <c r="FT47" i="67"/>
  <c r="FU47" i="67" s="1"/>
  <c r="GB46" i="67"/>
  <c r="GC46" i="67" s="1"/>
  <c r="FX46" i="67"/>
  <c r="FY46" i="67" s="1"/>
  <c r="FT46" i="67"/>
  <c r="FU46" i="67" s="1"/>
  <c r="GB45" i="67"/>
  <c r="GC45" i="67" s="1"/>
  <c r="FX45" i="67"/>
  <c r="FY45" i="67" s="1"/>
  <c r="FT45" i="67"/>
  <c r="FU45" i="67" s="1"/>
  <c r="GC44" i="67"/>
  <c r="FY44" i="67"/>
  <c r="FU44" i="67"/>
  <c r="GB43" i="67"/>
  <c r="GC43" i="67" s="1"/>
  <c r="FX43" i="67"/>
  <c r="FY43" i="67" s="1"/>
  <c r="FT43" i="67"/>
  <c r="FU43" i="67" s="1"/>
  <c r="GB42" i="67"/>
  <c r="GC42" i="67" s="1"/>
  <c r="FX42" i="67"/>
  <c r="FY42" i="67" s="1"/>
  <c r="FT42" i="67"/>
  <c r="FU42" i="67" s="1"/>
  <c r="GC41" i="67"/>
  <c r="FY41" i="67"/>
  <c r="FU41" i="67"/>
  <c r="GB40" i="67"/>
  <c r="GC40" i="67" s="1"/>
  <c r="FX40" i="67"/>
  <c r="FY40" i="67" s="1"/>
  <c r="FT40" i="67"/>
  <c r="FU40" i="67" s="1"/>
  <c r="GB39" i="67"/>
  <c r="GC39" i="67" s="1"/>
  <c r="FX39" i="67"/>
  <c r="FY39" i="67" s="1"/>
  <c r="FT39" i="67"/>
  <c r="FU39" i="67"/>
  <c r="GB38" i="67"/>
  <c r="GC38" i="67" s="1"/>
  <c r="FX38" i="67"/>
  <c r="FY38" i="67"/>
  <c r="FT38" i="67"/>
  <c r="FU38" i="67" s="1"/>
  <c r="GB37" i="67"/>
  <c r="GC37" i="67" s="1"/>
  <c r="FX37" i="67"/>
  <c r="FY37" i="67" s="1"/>
  <c r="FT37" i="67"/>
  <c r="FU37" i="67" s="1"/>
  <c r="GB36" i="67"/>
  <c r="GC36" i="67" s="1"/>
  <c r="FX36" i="67"/>
  <c r="FY36" i="67"/>
  <c r="FT36" i="67"/>
  <c r="FU36" i="67" s="1"/>
  <c r="GB34" i="67"/>
  <c r="GC34" i="67"/>
  <c r="FX34" i="67"/>
  <c r="FY34" i="67" s="1"/>
  <c r="FT34" i="67"/>
  <c r="FU34" i="67" s="1"/>
  <c r="GB33" i="67"/>
  <c r="GC33" i="67" s="1"/>
  <c r="FX33" i="67"/>
  <c r="FY33" i="67" s="1"/>
  <c r="FT33" i="67"/>
  <c r="FU33" i="67" s="1"/>
  <c r="GB32" i="67"/>
  <c r="GC32" i="67"/>
  <c r="FX32" i="67"/>
  <c r="FY32" i="67" s="1"/>
  <c r="FT32" i="67"/>
  <c r="FU32" i="67"/>
  <c r="GB31" i="67"/>
  <c r="GC31" i="67" s="1"/>
  <c r="FX31" i="67"/>
  <c r="FY31" i="67" s="1"/>
  <c r="FT31" i="67"/>
  <c r="FU31" i="67" s="1"/>
  <c r="GB30" i="67"/>
  <c r="GC30" i="67" s="1"/>
  <c r="FX30" i="67"/>
  <c r="FY30" i="67" s="1"/>
  <c r="FT30" i="67"/>
  <c r="FU30" i="67"/>
  <c r="GB29" i="67"/>
  <c r="GC29" i="67" s="1"/>
  <c r="FX29" i="67"/>
  <c r="FY29" i="67"/>
  <c r="FT29" i="67"/>
  <c r="FU29" i="67" s="1"/>
  <c r="GB28" i="67"/>
  <c r="GC28" i="67" s="1"/>
  <c r="FX28" i="67"/>
  <c r="FY28" i="67" s="1"/>
  <c r="FT28" i="67"/>
  <c r="FU28" i="67" s="1"/>
  <c r="GB27" i="67"/>
  <c r="GC27" i="67" s="1"/>
  <c r="FX27" i="67"/>
  <c r="FY27" i="67"/>
  <c r="FT27" i="67"/>
  <c r="FU27" i="67" s="1"/>
  <c r="GB26" i="67"/>
  <c r="GC26" i="67"/>
  <c r="FX26" i="67"/>
  <c r="FY26" i="67" s="1"/>
  <c r="FT26" i="67"/>
  <c r="FU26" i="67" s="1"/>
  <c r="GB25" i="67"/>
  <c r="GC25" i="67" s="1"/>
  <c r="FX25" i="67"/>
  <c r="FY25" i="67" s="1"/>
  <c r="FT25" i="67"/>
  <c r="FU25" i="67" s="1"/>
  <c r="GC24" i="67"/>
  <c r="FY24" i="67"/>
  <c r="FU24" i="67"/>
  <c r="GB23" i="67"/>
  <c r="GC23" i="67"/>
  <c r="FX23" i="67"/>
  <c r="FY23" i="67" s="1"/>
  <c r="FT23" i="67"/>
  <c r="FU23" i="67" s="1"/>
  <c r="GB22" i="67"/>
  <c r="GC22" i="67" s="1"/>
  <c r="FX22" i="67"/>
  <c r="FY22" i="67" s="1"/>
  <c r="FT22" i="67"/>
  <c r="FU22" i="67" s="1"/>
  <c r="GC21" i="67"/>
  <c r="FY21" i="67"/>
  <c r="FU21" i="67"/>
  <c r="GB20" i="67"/>
  <c r="GC20" i="67" s="1"/>
  <c r="FX20" i="67"/>
  <c r="FY20" i="67" s="1"/>
  <c r="FT20" i="67"/>
  <c r="FU20" i="67" s="1"/>
  <c r="GB19" i="67"/>
  <c r="GC19" i="67"/>
  <c r="FX19" i="67"/>
  <c r="FY19" i="67" s="1"/>
  <c r="FT19" i="67"/>
  <c r="FU19" i="67"/>
  <c r="GB18" i="67"/>
  <c r="GC18" i="67" s="1"/>
  <c r="FX18" i="67"/>
  <c r="FY18" i="67" s="1"/>
  <c r="FT18" i="67"/>
  <c r="FU18" i="67" s="1"/>
  <c r="GB17" i="67"/>
  <c r="GC17" i="67"/>
  <c r="FX17" i="67"/>
  <c r="FY17" i="67" s="1"/>
  <c r="FT17" i="67"/>
  <c r="FU17" i="67"/>
  <c r="GB16" i="67"/>
  <c r="GC16" i="67" s="1"/>
  <c r="FX16" i="67"/>
  <c r="FY16" i="67"/>
  <c r="FT16" i="67"/>
  <c r="FU16" i="67" s="1"/>
  <c r="GB15" i="67"/>
  <c r="GC15" i="67" s="1"/>
  <c r="FX15" i="67"/>
  <c r="FY15" i="67" s="1"/>
  <c r="FT15" i="67"/>
  <c r="FU15" i="67" s="1"/>
  <c r="GC14" i="67"/>
  <c r="FY14" i="67"/>
  <c r="FU14" i="67"/>
  <c r="GB13" i="67"/>
  <c r="GC13" i="67" s="1"/>
  <c r="FX13" i="67"/>
  <c r="FY13" i="67"/>
  <c r="FT13" i="67"/>
  <c r="FU13" i="67" s="1"/>
  <c r="GB12" i="67"/>
  <c r="GC12" i="67" s="1"/>
  <c r="FX12" i="67"/>
  <c r="FY12" i="67" s="1"/>
  <c r="FT12" i="67"/>
  <c r="FU12" i="67"/>
  <c r="GB11" i="67"/>
  <c r="GC11" i="67" s="1"/>
  <c r="FX11" i="67"/>
  <c r="FY11" i="67"/>
  <c r="FU11" i="67"/>
  <c r="FT11" i="67"/>
  <c r="GB10" i="67"/>
  <c r="GC10" i="67"/>
  <c r="FX10" i="67"/>
  <c r="FY10" i="67" s="1"/>
  <c r="FT10" i="67"/>
  <c r="FU10" i="67"/>
  <c r="GB9" i="67"/>
  <c r="GC9" i="67" s="1"/>
  <c r="FX9" i="67"/>
  <c r="FY9" i="67"/>
  <c r="FT9" i="67"/>
  <c r="FU9" i="67" s="1"/>
  <c r="GB8" i="67"/>
  <c r="GC8" i="67" s="1"/>
  <c r="FX8" i="67"/>
  <c r="FY8" i="67" s="1"/>
  <c r="FT8" i="67"/>
  <c r="FU8" i="67" s="1"/>
  <c r="GA7" i="67"/>
  <c r="FZ7" i="67"/>
  <c r="FW7" i="67"/>
  <c r="FV7" i="67"/>
  <c r="FS7" i="67"/>
  <c r="FR7" i="67"/>
  <c r="FH68" i="67"/>
  <c r="FI68" i="67" s="1"/>
  <c r="FL68" i="67"/>
  <c r="FM68" i="67" s="1"/>
  <c r="FH69" i="67"/>
  <c r="FI69" i="67"/>
  <c r="FL69" i="67"/>
  <c r="FM69" i="67" s="1"/>
  <c r="FQ81" i="67"/>
  <c r="FM81" i="67"/>
  <c r="FI81" i="67"/>
  <c r="FQ80" i="67"/>
  <c r="FM80" i="67"/>
  <c r="FI80" i="67"/>
  <c r="FP79" i="67"/>
  <c r="FQ79" i="67" s="1"/>
  <c r="FL79" i="67"/>
  <c r="FM79" i="67"/>
  <c r="FH79" i="67"/>
  <c r="FI79" i="67" s="1"/>
  <c r="FQ78" i="67"/>
  <c r="FM78" i="67"/>
  <c r="FI78" i="67"/>
  <c r="FP77" i="67"/>
  <c r="FQ77" i="67" s="1"/>
  <c r="FL77" i="67"/>
  <c r="FM77" i="67" s="1"/>
  <c r="FH77" i="67"/>
  <c r="FI77" i="67" s="1"/>
  <c r="FP76" i="67"/>
  <c r="FQ76" i="67"/>
  <c r="FL76" i="67"/>
  <c r="FM76" i="67" s="1"/>
  <c r="FH76" i="67"/>
  <c r="FI76" i="67"/>
  <c r="FP75" i="67"/>
  <c r="FQ75" i="67" s="1"/>
  <c r="FL75" i="67"/>
  <c r="FM75" i="67"/>
  <c r="FH75" i="67"/>
  <c r="FI75" i="67" s="1"/>
  <c r="FP74" i="67"/>
  <c r="FQ74" i="67" s="1"/>
  <c r="FL74" i="67"/>
  <c r="FM74" i="67" s="1"/>
  <c r="FH74" i="67"/>
  <c r="FI74" i="67"/>
  <c r="FP73" i="67"/>
  <c r="FQ73" i="67" s="1"/>
  <c r="FL73" i="67"/>
  <c r="FM73" i="67"/>
  <c r="FH73" i="67"/>
  <c r="FI73" i="67" s="1"/>
  <c r="FP72" i="67"/>
  <c r="FQ72" i="67"/>
  <c r="FL72" i="67"/>
  <c r="FM72" i="67" s="1"/>
  <c r="FH72" i="67"/>
  <c r="FI72" i="67" s="1"/>
  <c r="FP71" i="67"/>
  <c r="FQ71" i="67" s="1"/>
  <c r="FL71" i="67"/>
  <c r="FM71" i="67" s="1"/>
  <c r="FH71" i="67"/>
  <c r="FI71" i="67" s="1"/>
  <c r="FP70" i="67"/>
  <c r="FQ70" i="67"/>
  <c r="FL70" i="67"/>
  <c r="FM70" i="67" s="1"/>
  <c r="FH70" i="67"/>
  <c r="FI70" i="67"/>
  <c r="FP69" i="67"/>
  <c r="FQ69" i="67" s="1"/>
  <c r="FP68" i="67"/>
  <c r="FQ68" i="67" s="1"/>
  <c r="FP67" i="67"/>
  <c r="FQ67" i="67" s="1"/>
  <c r="FL67" i="67"/>
  <c r="FM67" i="67"/>
  <c r="FH67" i="67"/>
  <c r="FI67" i="67" s="1"/>
  <c r="FP66" i="67"/>
  <c r="FQ66" i="67"/>
  <c r="FL66" i="67"/>
  <c r="FM66" i="67" s="1"/>
  <c r="FH66" i="67"/>
  <c r="FI66" i="67"/>
  <c r="FP65" i="67"/>
  <c r="FQ65" i="67" s="1"/>
  <c r="FL65" i="67"/>
  <c r="FM65" i="67" s="1"/>
  <c r="FH65" i="67"/>
  <c r="FI65" i="67" s="1"/>
  <c r="FP64" i="67"/>
  <c r="FQ64" i="67"/>
  <c r="FL64" i="67"/>
  <c r="FM64" i="67" s="1"/>
  <c r="FH64" i="67"/>
  <c r="FI64" i="67"/>
  <c r="FP63" i="67"/>
  <c r="FQ63" i="67" s="1"/>
  <c r="FL63" i="67"/>
  <c r="FM63" i="67"/>
  <c r="FH63" i="67"/>
  <c r="FI63" i="67" s="1"/>
  <c r="FP62" i="67"/>
  <c r="FQ62" i="67" s="1"/>
  <c r="FL62" i="67"/>
  <c r="FM62" i="67" s="1"/>
  <c r="FH62" i="67"/>
  <c r="FI62" i="67"/>
  <c r="FP61" i="67"/>
  <c r="FQ61" i="67" s="1"/>
  <c r="FL61" i="67"/>
  <c r="FM61" i="67"/>
  <c r="FH61" i="67"/>
  <c r="FI61" i="67" s="1"/>
  <c r="FP60" i="67"/>
  <c r="FQ60" i="67"/>
  <c r="FL60" i="67"/>
  <c r="FM60" i="67" s="1"/>
  <c r="FH60" i="67"/>
  <c r="FI60" i="67" s="1"/>
  <c r="FP59" i="67"/>
  <c r="FQ59" i="67" s="1"/>
  <c r="FL59" i="67"/>
  <c r="FM59" i="67" s="1"/>
  <c r="FH59" i="67"/>
  <c r="FI59" i="67" s="1"/>
  <c r="FP58" i="67"/>
  <c r="FQ58" i="67"/>
  <c r="FL58" i="67"/>
  <c r="FM58" i="67" s="1"/>
  <c r="FH58" i="67"/>
  <c r="FI58" i="67"/>
  <c r="FP57" i="67"/>
  <c r="FQ57" i="67" s="1"/>
  <c r="FL57" i="67"/>
  <c r="FM57" i="67" s="1"/>
  <c r="FH57" i="67"/>
  <c r="FI57" i="67" s="1"/>
  <c r="FP56" i="67"/>
  <c r="FQ56" i="67"/>
  <c r="FL56" i="67"/>
  <c r="FM56" i="67" s="1"/>
  <c r="FH56" i="67"/>
  <c r="FI56" i="67"/>
  <c r="FP55" i="67"/>
  <c r="FQ55" i="67" s="1"/>
  <c r="FL55" i="67"/>
  <c r="FM55" i="67"/>
  <c r="FH55" i="67"/>
  <c r="FI55" i="67" s="1"/>
  <c r="FP54" i="67"/>
  <c r="FQ54" i="67" s="1"/>
  <c r="FL54" i="67"/>
  <c r="FM54" i="67" s="1"/>
  <c r="FH54" i="67"/>
  <c r="FI54" i="67"/>
  <c r="FP53" i="67"/>
  <c r="FQ53" i="67" s="1"/>
  <c r="FL53" i="67"/>
  <c r="FM53" i="67"/>
  <c r="FH53" i="67"/>
  <c r="FI53" i="67" s="1"/>
  <c r="FP52" i="67"/>
  <c r="FQ52" i="67"/>
  <c r="FL52" i="67"/>
  <c r="FM52" i="67" s="1"/>
  <c r="FH52" i="67"/>
  <c r="FI52" i="67" s="1"/>
  <c r="FP51" i="67"/>
  <c r="FQ51" i="67" s="1"/>
  <c r="FL51" i="67"/>
  <c r="FM51" i="67"/>
  <c r="FH51" i="67"/>
  <c r="FI51" i="67" s="1"/>
  <c r="FP50" i="67"/>
  <c r="FQ50" i="67"/>
  <c r="FL50" i="67"/>
  <c r="FM50" i="67" s="1"/>
  <c r="FH50" i="67"/>
  <c r="FI50" i="67"/>
  <c r="FP49" i="67"/>
  <c r="FQ49" i="67" s="1"/>
  <c r="FL49" i="67"/>
  <c r="FM49" i="67" s="1"/>
  <c r="FH49" i="67"/>
  <c r="FI49" i="67" s="1"/>
  <c r="FP48" i="67"/>
  <c r="FQ48" i="67" s="1"/>
  <c r="FL48" i="67"/>
  <c r="FM48" i="67" s="1"/>
  <c r="FH48" i="67"/>
  <c r="FI48" i="67"/>
  <c r="FP47" i="67"/>
  <c r="FQ47" i="67" s="1"/>
  <c r="FL47" i="67"/>
  <c r="FM47" i="67"/>
  <c r="FH47" i="67"/>
  <c r="FI47" i="67" s="1"/>
  <c r="FP46" i="67"/>
  <c r="FQ46" i="67" s="1"/>
  <c r="FL46" i="67"/>
  <c r="FM46" i="67" s="1"/>
  <c r="FH46" i="67"/>
  <c r="FI46" i="67"/>
  <c r="FP45" i="67"/>
  <c r="FQ45" i="67" s="1"/>
  <c r="FL45" i="67"/>
  <c r="FM45" i="67"/>
  <c r="FH45" i="67"/>
  <c r="FI45" i="67" s="1"/>
  <c r="FQ44" i="67"/>
  <c r="FM44" i="67"/>
  <c r="FI44" i="67"/>
  <c r="FP43" i="67"/>
  <c r="FQ43" i="67" s="1"/>
  <c r="FL43" i="67"/>
  <c r="FM43" i="67" s="1"/>
  <c r="FH43" i="67"/>
  <c r="FI43" i="67"/>
  <c r="FP42" i="67"/>
  <c r="FQ42" i="67" s="1"/>
  <c r="FL42" i="67"/>
  <c r="FM42" i="67"/>
  <c r="FH42" i="67"/>
  <c r="FI42" i="67" s="1"/>
  <c r="FQ41" i="67"/>
  <c r="FM41" i="67"/>
  <c r="FI41" i="67"/>
  <c r="FP40" i="67"/>
  <c r="FQ40" i="67" s="1"/>
  <c r="FL40" i="67"/>
  <c r="FM40" i="67"/>
  <c r="FH40" i="67"/>
  <c r="FI40" i="67" s="1"/>
  <c r="FP39" i="67"/>
  <c r="FQ39" i="67" s="1"/>
  <c r="FL39" i="67"/>
  <c r="FM39" i="67" s="1"/>
  <c r="FH39" i="67"/>
  <c r="FI39" i="67"/>
  <c r="FP38" i="67"/>
  <c r="FQ38" i="67" s="1"/>
  <c r="FL38" i="67"/>
  <c r="FM38" i="67"/>
  <c r="FH38" i="67"/>
  <c r="FI38" i="67" s="1"/>
  <c r="FP37" i="67"/>
  <c r="FQ37" i="67"/>
  <c r="FL37" i="67"/>
  <c r="FM37" i="67" s="1"/>
  <c r="FH37" i="67"/>
  <c r="FI37" i="67" s="1"/>
  <c r="FP36" i="67"/>
  <c r="FQ36" i="67" s="1"/>
  <c r="FL36" i="67"/>
  <c r="FM36" i="67"/>
  <c r="FH36" i="67"/>
  <c r="FI36" i="67" s="1"/>
  <c r="FP34" i="67"/>
  <c r="FQ34" i="67" s="1"/>
  <c r="FL34" i="67"/>
  <c r="FM34" i="67" s="1"/>
  <c r="FH34" i="67"/>
  <c r="FI34" i="67"/>
  <c r="FP33" i="67"/>
  <c r="FQ33" i="67" s="1"/>
  <c r="FL33" i="67"/>
  <c r="FM33" i="67" s="1"/>
  <c r="FH33" i="67"/>
  <c r="FI33" i="67" s="1"/>
  <c r="FP32" i="67"/>
  <c r="FQ32" i="67" s="1"/>
  <c r="FL32" i="67"/>
  <c r="FM32" i="67" s="1"/>
  <c r="FH32" i="67"/>
  <c r="FI32" i="67"/>
  <c r="FP31" i="67"/>
  <c r="FQ31" i="67" s="1"/>
  <c r="FL31" i="67"/>
  <c r="FM31" i="67"/>
  <c r="FH31" i="67"/>
  <c r="FI31" i="67" s="1"/>
  <c r="FP30" i="67"/>
  <c r="FQ30" i="67" s="1"/>
  <c r="FL30" i="67"/>
  <c r="FM30" i="67" s="1"/>
  <c r="FH30" i="67"/>
  <c r="FI30" i="67"/>
  <c r="FP29" i="67"/>
  <c r="FQ29" i="67" s="1"/>
  <c r="FL29" i="67"/>
  <c r="FM29" i="67" s="1"/>
  <c r="FH29" i="67"/>
  <c r="FI29" i="67" s="1"/>
  <c r="FP28" i="67"/>
  <c r="FQ28" i="67"/>
  <c r="FL28" i="67"/>
  <c r="FM28" i="67" s="1"/>
  <c r="FH28" i="67"/>
  <c r="FI28" i="67" s="1"/>
  <c r="FP27" i="67"/>
  <c r="FQ27" i="67" s="1"/>
  <c r="FL27" i="67"/>
  <c r="FM27" i="67" s="1"/>
  <c r="FH27" i="67"/>
  <c r="FI27" i="67" s="1"/>
  <c r="FP26" i="67"/>
  <c r="FQ26" i="67"/>
  <c r="FL26" i="67"/>
  <c r="FM26" i="67" s="1"/>
  <c r="FH26" i="67"/>
  <c r="FI26" i="67"/>
  <c r="FP25" i="67"/>
  <c r="FQ25" i="67" s="1"/>
  <c r="FL25" i="67"/>
  <c r="FM25" i="67" s="1"/>
  <c r="FH25" i="67"/>
  <c r="FI25" i="67" s="1"/>
  <c r="FQ24" i="67"/>
  <c r="FM24" i="67"/>
  <c r="FI24" i="67"/>
  <c r="FP23" i="67"/>
  <c r="FQ23" i="67" s="1"/>
  <c r="FL23" i="67"/>
  <c r="FM23" i="67" s="1"/>
  <c r="FH23" i="67"/>
  <c r="FI23" i="67"/>
  <c r="FP22" i="67"/>
  <c r="FQ22" i="67" s="1"/>
  <c r="FL22" i="67"/>
  <c r="FM22" i="67" s="1"/>
  <c r="FH22" i="67"/>
  <c r="FI22" i="67" s="1"/>
  <c r="FQ21" i="67"/>
  <c r="FM21" i="67"/>
  <c r="FI21" i="67"/>
  <c r="FP20" i="67"/>
  <c r="FQ20" i="67" s="1"/>
  <c r="FL20" i="67"/>
  <c r="FM20" i="67" s="1"/>
  <c r="FH20" i="67"/>
  <c r="FI20" i="67" s="1"/>
  <c r="FP19" i="67"/>
  <c r="FQ19" i="67"/>
  <c r="FL19" i="67"/>
  <c r="FM19" i="67" s="1"/>
  <c r="FH19" i="67"/>
  <c r="FI19" i="67"/>
  <c r="FP18" i="67"/>
  <c r="FQ18" i="67" s="1"/>
  <c r="FL18" i="67"/>
  <c r="FM18" i="67" s="1"/>
  <c r="FH18" i="67"/>
  <c r="FI18" i="67" s="1"/>
  <c r="FP17" i="67"/>
  <c r="FQ17" i="67"/>
  <c r="FL17" i="67"/>
  <c r="FM17" i="67" s="1"/>
  <c r="FH17" i="67"/>
  <c r="FI17" i="67" s="1"/>
  <c r="FP16" i="67"/>
  <c r="FQ16" i="67" s="1"/>
  <c r="FL16" i="67"/>
  <c r="FM16" i="67"/>
  <c r="FH16" i="67"/>
  <c r="FI16" i="67" s="1"/>
  <c r="FP15" i="67"/>
  <c r="FQ15" i="67" s="1"/>
  <c r="FL15" i="67"/>
  <c r="FM15" i="67" s="1"/>
  <c r="FH15" i="67"/>
  <c r="FI15" i="67"/>
  <c r="FQ14" i="67"/>
  <c r="FM14" i="67"/>
  <c r="FI14" i="67"/>
  <c r="FP13" i="67"/>
  <c r="FQ13" i="67" s="1"/>
  <c r="FL13" i="67"/>
  <c r="FM13" i="67" s="1"/>
  <c r="FH13" i="67"/>
  <c r="FI13" i="67" s="1"/>
  <c r="FP12" i="67"/>
  <c r="FQ12" i="67" s="1"/>
  <c r="FL12" i="67"/>
  <c r="FM12" i="67" s="1"/>
  <c r="FH12" i="67"/>
  <c r="FI12" i="67" s="1"/>
  <c r="FP11" i="67"/>
  <c r="FQ11" i="67" s="1"/>
  <c r="FL11" i="67"/>
  <c r="FM11" i="67" s="1"/>
  <c r="FH11" i="67"/>
  <c r="FI11" i="67" s="1"/>
  <c r="FP10" i="67"/>
  <c r="FQ10" i="67" s="1"/>
  <c r="FL10" i="67"/>
  <c r="FM10" i="67" s="1"/>
  <c r="FH10" i="67"/>
  <c r="FI10" i="67" s="1"/>
  <c r="FP9" i="67"/>
  <c r="FQ9" i="67" s="1"/>
  <c r="FL9" i="67"/>
  <c r="FM9" i="67" s="1"/>
  <c r="FH9" i="67"/>
  <c r="FI9" i="67" s="1"/>
  <c r="FP8" i="67"/>
  <c r="FQ8" i="67" s="1"/>
  <c r="FL8" i="67"/>
  <c r="FM8" i="67" s="1"/>
  <c r="FH8" i="67"/>
  <c r="FI8" i="67" s="1"/>
  <c r="FO7" i="67"/>
  <c r="FN7" i="67"/>
  <c r="FK7" i="67"/>
  <c r="FJ7" i="67"/>
  <c r="FG7" i="67"/>
  <c r="FF7" i="67"/>
  <c r="EV67" i="67"/>
  <c r="EW67" i="67" s="1"/>
  <c r="EZ67" i="67"/>
  <c r="FA67" i="67" s="1"/>
  <c r="EV68" i="67"/>
  <c r="EW68" i="67" s="1"/>
  <c r="EZ68" i="67"/>
  <c r="FA68" i="67" s="1"/>
  <c r="FE81" i="67"/>
  <c r="FA81" i="67"/>
  <c r="EW81" i="67"/>
  <c r="FE80" i="67"/>
  <c r="FA80" i="67"/>
  <c r="EW80" i="67"/>
  <c r="FD79" i="67"/>
  <c r="FE79" i="67" s="1"/>
  <c r="EZ79" i="67"/>
  <c r="FA79" i="67" s="1"/>
  <c r="EV79" i="67"/>
  <c r="EW79" i="67" s="1"/>
  <c r="FE78" i="67"/>
  <c r="FA78" i="67"/>
  <c r="EW78" i="67"/>
  <c r="FD77" i="67"/>
  <c r="FE77" i="67" s="1"/>
  <c r="EZ77" i="67"/>
  <c r="FA77" i="67" s="1"/>
  <c r="EV77" i="67"/>
  <c r="EW77" i="67" s="1"/>
  <c r="FD76" i="67"/>
  <c r="FE76" i="67" s="1"/>
  <c r="EZ76" i="67"/>
  <c r="FA76" i="67" s="1"/>
  <c r="EV76" i="67"/>
  <c r="EW76" i="67" s="1"/>
  <c r="FD75" i="67"/>
  <c r="FE75" i="67" s="1"/>
  <c r="EZ75" i="67"/>
  <c r="FA75" i="67"/>
  <c r="EV75" i="67"/>
  <c r="EW75" i="67" s="1"/>
  <c r="FD74" i="67"/>
  <c r="FE74" i="67" s="1"/>
  <c r="EZ74" i="67"/>
  <c r="FA74" i="67" s="1"/>
  <c r="EV74" i="67"/>
  <c r="EW74" i="67" s="1"/>
  <c r="FD73" i="67"/>
  <c r="FE73" i="67" s="1"/>
  <c r="EZ73" i="67"/>
  <c r="FA73" i="67" s="1"/>
  <c r="EV73" i="67"/>
  <c r="EW73" i="67" s="1"/>
  <c r="FD72" i="67"/>
  <c r="FE72" i="67"/>
  <c r="EZ72" i="67"/>
  <c r="FA72" i="67" s="1"/>
  <c r="EV72" i="67"/>
  <c r="EW72" i="67" s="1"/>
  <c r="FD71" i="67"/>
  <c r="FE71" i="67" s="1"/>
  <c r="EZ71" i="67"/>
  <c r="FA71" i="67" s="1"/>
  <c r="EV71" i="67"/>
  <c r="EW71" i="67" s="1"/>
  <c r="FD70" i="67"/>
  <c r="FE70" i="67" s="1"/>
  <c r="EZ70" i="67"/>
  <c r="FA70" i="67" s="1"/>
  <c r="EV70" i="67"/>
  <c r="EW70" i="67"/>
  <c r="FD69" i="67"/>
  <c r="FE69" i="67" s="1"/>
  <c r="EZ69" i="67"/>
  <c r="FA69" i="67" s="1"/>
  <c r="EV69" i="67"/>
  <c r="EW69" i="67" s="1"/>
  <c r="FD68" i="67"/>
  <c r="FE68" i="67" s="1"/>
  <c r="FD67" i="67"/>
  <c r="FE67" i="67" s="1"/>
  <c r="FD66" i="67"/>
  <c r="FE66" i="67" s="1"/>
  <c r="EZ66" i="67"/>
  <c r="FA66" i="67" s="1"/>
  <c r="EV66" i="67"/>
  <c r="EW66" i="67"/>
  <c r="FD65" i="67"/>
  <c r="FE65" i="67" s="1"/>
  <c r="EZ65" i="67"/>
  <c r="FA65" i="67" s="1"/>
  <c r="EV65" i="67"/>
  <c r="EW65" i="67" s="1"/>
  <c r="FD64" i="67"/>
  <c r="FE64" i="67" s="1"/>
  <c r="EZ64" i="67"/>
  <c r="FA64" i="67" s="1"/>
  <c r="EV64" i="67"/>
  <c r="EW64" i="67" s="1"/>
  <c r="FD63" i="67"/>
  <c r="FE63" i="67" s="1"/>
  <c r="EZ63" i="67"/>
  <c r="FA63" i="67"/>
  <c r="EV63" i="67"/>
  <c r="EW63" i="67" s="1"/>
  <c r="FD62" i="67"/>
  <c r="FE62" i="67" s="1"/>
  <c r="EZ62" i="67"/>
  <c r="FA62" i="67" s="1"/>
  <c r="EV62" i="67"/>
  <c r="EW62" i="67" s="1"/>
  <c r="FE61" i="67"/>
  <c r="FD61" i="67"/>
  <c r="EZ61" i="67"/>
  <c r="FA61" i="67" s="1"/>
  <c r="EV61" i="67"/>
  <c r="EW61" i="67" s="1"/>
  <c r="FD60" i="67"/>
  <c r="FE60" i="67" s="1"/>
  <c r="EZ60" i="67"/>
  <c r="FA60" i="67" s="1"/>
  <c r="EV60" i="67"/>
  <c r="EW60" i="67"/>
  <c r="FD59" i="67"/>
  <c r="FE59" i="67" s="1"/>
  <c r="EZ59" i="67"/>
  <c r="FA59" i="67" s="1"/>
  <c r="EV59" i="67"/>
  <c r="EW59" i="67" s="1"/>
  <c r="FD58" i="67"/>
  <c r="FE58" i="67" s="1"/>
  <c r="EZ58" i="67"/>
  <c r="FA58" i="67" s="1"/>
  <c r="EV58" i="67"/>
  <c r="EW58" i="67" s="1"/>
  <c r="FD57" i="67"/>
  <c r="FE57" i="67" s="1"/>
  <c r="EZ57" i="67"/>
  <c r="FA57" i="67"/>
  <c r="EV57" i="67"/>
  <c r="EW57" i="67" s="1"/>
  <c r="FD56" i="67"/>
  <c r="FE56" i="67" s="1"/>
  <c r="EZ56" i="67"/>
  <c r="FA56" i="67" s="1"/>
  <c r="EV56" i="67"/>
  <c r="EW56" i="67" s="1"/>
  <c r="FD55" i="67"/>
  <c r="FE55" i="67" s="1"/>
  <c r="EZ55" i="67"/>
  <c r="FA55" i="67" s="1"/>
  <c r="EV55" i="67"/>
  <c r="EW55" i="67" s="1"/>
  <c r="FD54" i="67"/>
  <c r="FE54" i="67"/>
  <c r="EZ54" i="67"/>
  <c r="FA54" i="67" s="1"/>
  <c r="EV54" i="67"/>
  <c r="EW54" i="67" s="1"/>
  <c r="FD53" i="67"/>
  <c r="FE53" i="67" s="1"/>
  <c r="EZ53" i="67"/>
  <c r="FA53" i="67" s="1"/>
  <c r="EV53" i="67"/>
  <c r="EW53" i="67" s="1"/>
  <c r="FD52" i="67"/>
  <c r="FE52" i="67" s="1"/>
  <c r="EZ52" i="67"/>
  <c r="FA52" i="67" s="1"/>
  <c r="EV52" i="67"/>
  <c r="EW52" i="67"/>
  <c r="FD51" i="67"/>
  <c r="FE51" i="67" s="1"/>
  <c r="EZ51" i="67"/>
  <c r="FA51" i="67" s="1"/>
  <c r="EV51" i="67"/>
  <c r="EW51" i="67" s="1"/>
  <c r="FD50" i="67"/>
  <c r="FE50" i="67" s="1"/>
  <c r="EZ50" i="67"/>
  <c r="FA50" i="67" s="1"/>
  <c r="EV50" i="67"/>
  <c r="EW50" i="67" s="1"/>
  <c r="FD49" i="67"/>
  <c r="FE49" i="67" s="1"/>
  <c r="EZ49" i="67"/>
  <c r="FA49" i="67"/>
  <c r="EV49" i="67"/>
  <c r="EW49" i="67" s="1"/>
  <c r="FD48" i="67"/>
  <c r="FE48" i="67" s="1"/>
  <c r="EZ48" i="67"/>
  <c r="FA48" i="67" s="1"/>
  <c r="EV48" i="67"/>
  <c r="EW48" i="67" s="1"/>
  <c r="FD47" i="67"/>
  <c r="FE47" i="67" s="1"/>
  <c r="EZ47" i="67"/>
  <c r="FA47" i="67" s="1"/>
  <c r="EV47" i="67"/>
  <c r="EW47" i="67" s="1"/>
  <c r="FD46" i="67"/>
  <c r="FE46" i="67" s="1"/>
  <c r="EZ46" i="67"/>
  <c r="FA46" i="67" s="1"/>
  <c r="EV46" i="67"/>
  <c r="EW46" i="67" s="1"/>
  <c r="FD45" i="67"/>
  <c r="FE45" i="67" s="1"/>
  <c r="EZ45" i="67"/>
  <c r="FA45" i="67" s="1"/>
  <c r="EV45" i="67"/>
  <c r="EW45" i="67" s="1"/>
  <c r="FE44" i="67"/>
  <c r="FA44" i="67"/>
  <c r="EW44" i="67"/>
  <c r="FD43" i="67"/>
  <c r="FE43" i="67" s="1"/>
  <c r="EZ43" i="67"/>
  <c r="FA43" i="67" s="1"/>
  <c r="EV43" i="67"/>
  <c r="EW43" i="67" s="1"/>
  <c r="FD42" i="67"/>
  <c r="FE42" i="67" s="1"/>
  <c r="FA42" i="67"/>
  <c r="EZ42" i="67"/>
  <c r="EV42" i="67"/>
  <c r="EW42" i="67" s="1"/>
  <c r="FE41" i="67"/>
  <c r="FA41" i="67"/>
  <c r="EW41" i="67"/>
  <c r="FD40" i="67"/>
  <c r="FE40" i="67" s="1"/>
  <c r="EZ40" i="67"/>
  <c r="FA40" i="67" s="1"/>
  <c r="EV40" i="67"/>
  <c r="EW40" i="67" s="1"/>
  <c r="FD39" i="67"/>
  <c r="FE39" i="67" s="1"/>
  <c r="EZ39" i="67"/>
  <c r="FA39" i="67" s="1"/>
  <c r="EV39" i="67"/>
  <c r="EW39" i="67" s="1"/>
  <c r="FD38" i="67"/>
  <c r="FE38" i="67" s="1"/>
  <c r="EZ38" i="67"/>
  <c r="FA38" i="67" s="1"/>
  <c r="EV38" i="67"/>
  <c r="EW38" i="67" s="1"/>
  <c r="FD37" i="67"/>
  <c r="FE37" i="67" s="1"/>
  <c r="EZ37" i="67"/>
  <c r="FA37" i="67" s="1"/>
  <c r="EV37" i="67"/>
  <c r="EW37" i="67" s="1"/>
  <c r="FD36" i="67"/>
  <c r="FE36" i="67" s="1"/>
  <c r="EZ36" i="67"/>
  <c r="FA36" i="67" s="1"/>
  <c r="EV36" i="67"/>
  <c r="EW36" i="67" s="1"/>
  <c r="FD34" i="67"/>
  <c r="FE34" i="67" s="1"/>
  <c r="EZ34" i="67"/>
  <c r="FA34" i="67" s="1"/>
  <c r="EV34" i="67"/>
  <c r="EW34" i="67" s="1"/>
  <c r="FD33" i="67"/>
  <c r="FE33" i="67" s="1"/>
  <c r="EZ33" i="67"/>
  <c r="FA33" i="67" s="1"/>
  <c r="EV33" i="67"/>
  <c r="EW33" i="67" s="1"/>
  <c r="FD32" i="67"/>
  <c r="FE32" i="67" s="1"/>
  <c r="EZ32" i="67"/>
  <c r="FA32" i="67" s="1"/>
  <c r="EV32" i="67"/>
  <c r="EW32" i="67" s="1"/>
  <c r="FD31" i="67"/>
  <c r="FE31" i="67" s="1"/>
  <c r="EZ31" i="67"/>
  <c r="FA31" i="67" s="1"/>
  <c r="EV31" i="67"/>
  <c r="EW31" i="67" s="1"/>
  <c r="FD30" i="67"/>
  <c r="FE30" i="67" s="1"/>
  <c r="EZ30" i="67"/>
  <c r="FA30" i="67" s="1"/>
  <c r="EV30" i="67"/>
  <c r="EW30" i="67" s="1"/>
  <c r="FD29" i="67"/>
  <c r="FE29" i="67" s="1"/>
  <c r="EZ29" i="67"/>
  <c r="FA29" i="67" s="1"/>
  <c r="EV29" i="67"/>
  <c r="EW29" i="67" s="1"/>
  <c r="FD28" i="67"/>
  <c r="FE28" i="67" s="1"/>
  <c r="EZ28" i="67"/>
  <c r="FA28" i="67" s="1"/>
  <c r="EV28" i="67"/>
  <c r="EW28" i="67" s="1"/>
  <c r="FD27" i="67"/>
  <c r="FE27" i="67" s="1"/>
  <c r="EZ27" i="67"/>
  <c r="FA27" i="67" s="1"/>
  <c r="EV27" i="67"/>
  <c r="EW27" i="67" s="1"/>
  <c r="FD26" i="67"/>
  <c r="FE26" i="67" s="1"/>
  <c r="EZ26" i="67"/>
  <c r="FA26" i="67" s="1"/>
  <c r="EV26" i="67"/>
  <c r="EW26" i="67" s="1"/>
  <c r="FD25" i="67"/>
  <c r="FE25" i="67" s="1"/>
  <c r="EZ25" i="67"/>
  <c r="FA25" i="67" s="1"/>
  <c r="EV25" i="67"/>
  <c r="EW25" i="67" s="1"/>
  <c r="FE24" i="67"/>
  <c r="FA24" i="67"/>
  <c r="EW24" i="67"/>
  <c r="FD23" i="67"/>
  <c r="FE23" i="67" s="1"/>
  <c r="EZ23" i="67"/>
  <c r="FA23" i="67" s="1"/>
  <c r="EV23" i="67"/>
  <c r="EW23" i="67" s="1"/>
  <c r="FE22" i="67"/>
  <c r="FD22" i="67"/>
  <c r="EZ22" i="67"/>
  <c r="FA22" i="67" s="1"/>
  <c r="EV22" i="67"/>
  <c r="EW22" i="67" s="1"/>
  <c r="FE21" i="67"/>
  <c r="FA21" i="67"/>
  <c r="EW21" i="67"/>
  <c r="FD20" i="67"/>
  <c r="FE20" i="67"/>
  <c r="EZ20" i="67"/>
  <c r="FA20" i="67"/>
  <c r="EV20" i="67"/>
  <c r="EW20" i="67"/>
  <c r="FD19" i="67"/>
  <c r="FE19" i="67"/>
  <c r="EZ19" i="67"/>
  <c r="FA19" i="67"/>
  <c r="EV19" i="67"/>
  <c r="EW19" i="67"/>
  <c r="FD18" i="67"/>
  <c r="FE18" i="67"/>
  <c r="EZ18" i="67"/>
  <c r="FA18" i="67"/>
  <c r="EV18" i="67"/>
  <c r="EW18" i="67"/>
  <c r="FD17" i="67"/>
  <c r="FE17" i="67"/>
  <c r="EZ17" i="67"/>
  <c r="FA17" i="67"/>
  <c r="EV17" i="67"/>
  <c r="EW17" i="67"/>
  <c r="FD16" i="67"/>
  <c r="FE16" i="67"/>
  <c r="EZ16" i="67"/>
  <c r="FA16" i="67"/>
  <c r="EV16" i="67"/>
  <c r="EW16" i="67"/>
  <c r="FD15" i="67"/>
  <c r="FE15" i="67"/>
  <c r="EZ15" i="67"/>
  <c r="FA15" i="67"/>
  <c r="EV15" i="67"/>
  <c r="EW15" i="67"/>
  <c r="FE14" i="67"/>
  <c r="FA14" i="67"/>
  <c r="EW14" i="67"/>
  <c r="FD13" i="67"/>
  <c r="FE13" i="67" s="1"/>
  <c r="EZ13" i="67"/>
  <c r="FA13" i="67" s="1"/>
  <c r="EV13" i="67"/>
  <c r="EW13" i="67" s="1"/>
  <c r="FD12" i="67"/>
  <c r="FE12" i="67" s="1"/>
  <c r="FA12" i="67"/>
  <c r="EZ12" i="67"/>
  <c r="EV12" i="67"/>
  <c r="EW12" i="67" s="1"/>
  <c r="FD11" i="67"/>
  <c r="FE11" i="67" s="1"/>
  <c r="EZ11" i="67"/>
  <c r="FA11" i="67" s="1"/>
  <c r="EV11" i="67"/>
  <c r="EW11" i="67" s="1"/>
  <c r="FD10" i="67"/>
  <c r="FE10" i="67" s="1"/>
  <c r="EZ10" i="67"/>
  <c r="FA10" i="67" s="1"/>
  <c r="EV10" i="67"/>
  <c r="EW10" i="67" s="1"/>
  <c r="FE9" i="67"/>
  <c r="FD9" i="67"/>
  <c r="EZ9" i="67"/>
  <c r="FA9" i="67" s="1"/>
  <c r="EV9" i="67"/>
  <c r="EW9" i="67" s="1"/>
  <c r="FD8" i="67"/>
  <c r="FE8" i="67" s="1"/>
  <c r="EZ8" i="67"/>
  <c r="FA8" i="67" s="1"/>
  <c r="EV8" i="67"/>
  <c r="EW8" i="67" s="1"/>
  <c r="FC7" i="67"/>
  <c r="FB7" i="67"/>
  <c r="EY7" i="67"/>
  <c r="EX7" i="67"/>
  <c r="EU7" i="67"/>
  <c r="ET7" i="67"/>
  <c r="EN66" i="67"/>
  <c r="EO66" i="67" s="1"/>
  <c r="EJ66" i="67"/>
  <c r="EK66" i="67" s="1"/>
  <c r="EN67" i="67"/>
  <c r="EO67" i="67" s="1"/>
  <c r="EJ67" i="67"/>
  <c r="EK67" i="67" s="1"/>
  <c r="ES81" i="67"/>
  <c r="EO81" i="67"/>
  <c r="EK81" i="67"/>
  <c r="ES80" i="67"/>
  <c r="EO80" i="67"/>
  <c r="EK80" i="67"/>
  <c r="ER79" i="67"/>
  <c r="ES79" i="67" s="1"/>
  <c r="EN79" i="67"/>
  <c r="EO79" i="67" s="1"/>
  <c r="EK79" i="67"/>
  <c r="EJ79" i="67"/>
  <c r="ES78" i="67"/>
  <c r="EO78" i="67"/>
  <c r="EK78" i="67"/>
  <c r="ER77" i="67"/>
  <c r="ES77" i="67"/>
  <c r="EN77" i="67"/>
  <c r="EO77" i="67"/>
  <c r="EJ77" i="67"/>
  <c r="EK77" i="67"/>
  <c r="ER76" i="67"/>
  <c r="ES76" i="67"/>
  <c r="EN76" i="67"/>
  <c r="EO76" i="67"/>
  <c r="EJ76" i="67"/>
  <c r="EK76" i="67"/>
  <c r="ER75" i="67"/>
  <c r="ES75" i="67"/>
  <c r="EN75" i="67"/>
  <c r="EO75" i="67"/>
  <c r="EJ75" i="67"/>
  <c r="EK75" i="67"/>
  <c r="ER74" i="67"/>
  <c r="ES74" i="67"/>
  <c r="EN74" i="67"/>
  <c r="EO74" i="67"/>
  <c r="EJ74" i="67"/>
  <c r="EK74" i="67"/>
  <c r="ER73" i="67"/>
  <c r="ES73" i="67"/>
  <c r="EN73" i="67"/>
  <c r="EO73" i="67"/>
  <c r="EJ73" i="67"/>
  <c r="EK73" i="67"/>
  <c r="ER72" i="67"/>
  <c r="ES72" i="67"/>
  <c r="EN72" i="67"/>
  <c r="EO72" i="67"/>
  <c r="EJ72" i="67"/>
  <c r="EK72" i="67"/>
  <c r="ER71" i="67"/>
  <c r="ES71" i="67"/>
  <c r="EN71" i="67"/>
  <c r="EO71" i="67"/>
  <c r="EJ71" i="67"/>
  <c r="EK71" i="67"/>
  <c r="ER70" i="67"/>
  <c r="ES70" i="67"/>
  <c r="EN70" i="67"/>
  <c r="EO70" i="67"/>
  <c r="EJ70" i="67"/>
  <c r="EK70" i="67"/>
  <c r="ER69" i="67"/>
  <c r="ES69" i="67"/>
  <c r="EN69" i="67"/>
  <c r="EO69" i="67"/>
  <c r="EJ69" i="67"/>
  <c r="EK69" i="67"/>
  <c r="ER68" i="67"/>
  <c r="ES68" i="67"/>
  <c r="EN68" i="67"/>
  <c r="EO68" i="67"/>
  <c r="EJ68" i="67"/>
  <c r="EK68" i="67"/>
  <c r="ER67" i="67"/>
  <c r="ES67" i="67"/>
  <c r="ER66" i="67"/>
  <c r="ES66" i="67"/>
  <c r="ER65" i="67"/>
  <c r="ES65" i="67"/>
  <c r="EN65" i="67"/>
  <c r="EO65" i="67"/>
  <c r="EJ65" i="67"/>
  <c r="EK65" i="67"/>
  <c r="ER64" i="67"/>
  <c r="ES64" i="67"/>
  <c r="EN64" i="67"/>
  <c r="EO64" i="67"/>
  <c r="EJ64" i="67"/>
  <c r="EK64" i="67"/>
  <c r="ER63" i="67"/>
  <c r="ES63" i="67"/>
  <c r="EN63" i="67"/>
  <c r="EO63" i="67"/>
  <c r="EJ63" i="67"/>
  <c r="EK63" i="67"/>
  <c r="ER62" i="67"/>
  <c r="ES62" i="67"/>
  <c r="EN62" i="67"/>
  <c r="EO62" i="67"/>
  <c r="EJ62" i="67"/>
  <c r="EK62" i="67"/>
  <c r="ER61" i="67"/>
  <c r="ES61" i="67"/>
  <c r="EN61" i="67"/>
  <c r="EO61" i="67"/>
  <c r="EJ61" i="67"/>
  <c r="EK61" i="67"/>
  <c r="ER60" i="67"/>
  <c r="ES60" i="67"/>
  <c r="EN60" i="67"/>
  <c r="EO60" i="67"/>
  <c r="EJ60" i="67"/>
  <c r="EK60" i="67"/>
  <c r="ER59" i="67"/>
  <c r="ES59" i="67"/>
  <c r="EN59" i="67"/>
  <c r="EO59" i="67"/>
  <c r="EJ59" i="67"/>
  <c r="EK59" i="67"/>
  <c r="ER58" i="67"/>
  <c r="ES58" i="67"/>
  <c r="EN58" i="67"/>
  <c r="EO58" i="67"/>
  <c r="EJ58" i="67"/>
  <c r="EK58" i="67"/>
  <c r="ER57" i="67"/>
  <c r="ES57" i="67"/>
  <c r="EN57" i="67"/>
  <c r="EO57" i="67"/>
  <c r="EJ57" i="67"/>
  <c r="EK57" i="67"/>
  <c r="ER56" i="67"/>
  <c r="ES56" i="67"/>
  <c r="EN56" i="67"/>
  <c r="EO56" i="67"/>
  <c r="EJ56" i="67"/>
  <c r="EK56" i="67"/>
  <c r="ER55" i="67"/>
  <c r="ES55" i="67"/>
  <c r="EN55" i="67"/>
  <c r="EO55" i="67"/>
  <c r="EJ55" i="67"/>
  <c r="EK55" i="67"/>
  <c r="ER54" i="67"/>
  <c r="ES54" i="67"/>
  <c r="EN54" i="67"/>
  <c r="EO54" i="67"/>
  <c r="EJ54" i="67"/>
  <c r="EK54" i="67"/>
  <c r="ER53" i="67"/>
  <c r="ES53" i="67"/>
  <c r="EN53" i="67"/>
  <c r="EO53" i="67"/>
  <c r="EJ53" i="67"/>
  <c r="EK53" i="67"/>
  <c r="ER52" i="67"/>
  <c r="ES52" i="67"/>
  <c r="EN52" i="67"/>
  <c r="EO52" i="67"/>
  <c r="EJ52" i="67"/>
  <c r="EK52" i="67"/>
  <c r="ER51" i="67"/>
  <c r="ES51" i="67"/>
  <c r="EN51" i="67"/>
  <c r="EO51" i="67"/>
  <c r="EJ51" i="67"/>
  <c r="EK51" i="67"/>
  <c r="ER50" i="67"/>
  <c r="ES50" i="67"/>
  <c r="EN50" i="67"/>
  <c r="EO50" i="67"/>
  <c r="EJ50" i="67"/>
  <c r="EK50" i="67"/>
  <c r="ER49" i="67"/>
  <c r="ES49" i="67"/>
  <c r="EN49" i="67"/>
  <c r="EO49" i="67"/>
  <c r="EJ49" i="67"/>
  <c r="EK49" i="67"/>
  <c r="ER48" i="67"/>
  <c r="ES48" i="67"/>
  <c r="EN48" i="67"/>
  <c r="EO48" i="67"/>
  <c r="EJ48" i="67"/>
  <c r="EK48" i="67"/>
  <c r="ER47" i="67"/>
  <c r="ES47" i="67"/>
  <c r="EN47" i="67"/>
  <c r="EO47" i="67"/>
  <c r="EJ47" i="67"/>
  <c r="EK47" i="67"/>
  <c r="ER46" i="67"/>
  <c r="ES46" i="67"/>
  <c r="EN46" i="67"/>
  <c r="EO46" i="67"/>
  <c r="EJ46" i="67"/>
  <c r="EK46" i="67"/>
  <c r="ER45" i="67"/>
  <c r="ES45" i="67"/>
  <c r="EN45" i="67"/>
  <c r="EO45" i="67"/>
  <c r="EJ45" i="67"/>
  <c r="EK45" i="67"/>
  <c r="ES44" i="67"/>
  <c r="EO44" i="67"/>
  <c r="EK44" i="67"/>
  <c r="ER43" i="67"/>
  <c r="ES43" i="67" s="1"/>
  <c r="EN43" i="67"/>
  <c r="EO43" i="67" s="1"/>
  <c r="EJ43" i="67"/>
  <c r="EK43" i="67" s="1"/>
  <c r="ER42" i="67"/>
  <c r="ES42" i="67" s="1"/>
  <c r="EN42" i="67"/>
  <c r="EO42" i="67" s="1"/>
  <c r="EK42" i="67"/>
  <c r="EJ42" i="67"/>
  <c r="ES41" i="67"/>
  <c r="EO41" i="67"/>
  <c r="EK41" i="67"/>
  <c r="ER40" i="67"/>
  <c r="ES40" i="67"/>
  <c r="EN40" i="67"/>
  <c r="EO40" i="67"/>
  <c r="EJ40" i="67"/>
  <c r="EK40" i="67"/>
  <c r="ER39" i="67"/>
  <c r="ES39" i="67"/>
  <c r="EN39" i="67"/>
  <c r="EO39" i="67"/>
  <c r="EJ39" i="67"/>
  <c r="EK39" i="67"/>
  <c r="ER38" i="67"/>
  <c r="ES38" i="67"/>
  <c r="EN38" i="67"/>
  <c r="EO38" i="67"/>
  <c r="EJ38" i="67"/>
  <c r="EK38" i="67"/>
  <c r="ER37" i="67"/>
  <c r="ES37" i="67"/>
  <c r="EN37" i="67"/>
  <c r="EO37" i="67"/>
  <c r="EJ37" i="67"/>
  <c r="EK37" i="67"/>
  <c r="ER36" i="67"/>
  <c r="ES36" i="67"/>
  <c r="EN36" i="67"/>
  <c r="EO36" i="67"/>
  <c r="EJ36" i="67"/>
  <c r="EK36" i="67"/>
  <c r="ER34" i="67"/>
  <c r="ES34" i="67"/>
  <c r="EN34" i="67"/>
  <c r="EO34" i="67"/>
  <c r="EJ34" i="67"/>
  <c r="EK34" i="67"/>
  <c r="ER33" i="67"/>
  <c r="ES33" i="67"/>
  <c r="EN33" i="67"/>
  <c r="EO33" i="67"/>
  <c r="EJ33" i="67"/>
  <c r="EK33" i="67"/>
  <c r="ER32" i="67"/>
  <c r="ES32" i="67"/>
  <c r="EN32" i="67"/>
  <c r="EO32" i="67"/>
  <c r="EJ32" i="67"/>
  <c r="EK32" i="67"/>
  <c r="ER31" i="67"/>
  <c r="ES31" i="67"/>
  <c r="EN31" i="67"/>
  <c r="EO31" i="67"/>
  <c r="EJ31" i="67"/>
  <c r="EK31" i="67"/>
  <c r="ER30" i="67"/>
  <c r="ES30" i="67"/>
  <c r="EN30" i="67"/>
  <c r="EO30" i="67"/>
  <c r="EJ30" i="67"/>
  <c r="EK30" i="67"/>
  <c r="ER29" i="67"/>
  <c r="ES29" i="67"/>
  <c r="EN29" i="67"/>
  <c r="EO29" i="67"/>
  <c r="EJ29" i="67"/>
  <c r="EK29" i="67"/>
  <c r="ER28" i="67"/>
  <c r="ES28" i="67"/>
  <c r="EN28" i="67"/>
  <c r="EO28" i="67"/>
  <c r="EJ28" i="67"/>
  <c r="EK28" i="67"/>
  <c r="ER27" i="67"/>
  <c r="ES27" i="67"/>
  <c r="EN27" i="67"/>
  <c r="EO27" i="67"/>
  <c r="EJ27" i="67"/>
  <c r="EK27" i="67"/>
  <c r="ER26" i="67"/>
  <c r="ES26" i="67"/>
  <c r="EN26" i="67"/>
  <c r="EO26" i="67"/>
  <c r="EJ26" i="67"/>
  <c r="EK26" i="67"/>
  <c r="ER25" i="67"/>
  <c r="ES25" i="67"/>
  <c r="EN25" i="67"/>
  <c r="EO25" i="67"/>
  <c r="EJ25" i="67"/>
  <c r="EK25" i="67"/>
  <c r="ES24" i="67"/>
  <c r="EO24" i="67"/>
  <c r="EK24" i="67"/>
  <c r="ES23" i="67"/>
  <c r="ER23" i="67"/>
  <c r="EN23" i="67"/>
  <c r="EO23" i="67" s="1"/>
  <c r="EJ23" i="67"/>
  <c r="EK23" i="67" s="1"/>
  <c r="ER22" i="67"/>
  <c r="ES22" i="67" s="1"/>
  <c r="EN22" i="67"/>
  <c r="EO22" i="67" s="1"/>
  <c r="EJ22" i="67"/>
  <c r="EK22" i="67" s="1"/>
  <c r="ES21" i="67"/>
  <c r="EO21" i="67"/>
  <c r="EK21" i="67"/>
  <c r="ER20" i="67"/>
  <c r="ES20" i="67"/>
  <c r="EN20" i="67"/>
  <c r="EO20" i="67"/>
  <c r="EJ20" i="67"/>
  <c r="EK20" i="67"/>
  <c r="ER19" i="67"/>
  <c r="ES19" i="67"/>
  <c r="EN19" i="67"/>
  <c r="EO19" i="67"/>
  <c r="EJ19" i="67"/>
  <c r="EK19" i="67"/>
  <c r="ER18" i="67"/>
  <c r="ES18" i="67"/>
  <c r="EN18" i="67"/>
  <c r="EO18" i="67"/>
  <c r="EJ18" i="67"/>
  <c r="EK18" i="67"/>
  <c r="ER17" i="67"/>
  <c r="ES17" i="67"/>
  <c r="EN17" i="67"/>
  <c r="EO17" i="67"/>
  <c r="EJ17" i="67"/>
  <c r="EK17" i="67"/>
  <c r="ER16" i="67"/>
  <c r="ES16" i="67"/>
  <c r="EN16" i="67"/>
  <c r="EO16" i="67"/>
  <c r="EJ16" i="67"/>
  <c r="EK16" i="67"/>
  <c r="ER15" i="67"/>
  <c r="ES15" i="67"/>
  <c r="EN15" i="67"/>
  <c r="EO15" i="67"/>
  <c r="EJ15" i="67"/>
  <c r="EK15" i="67"/>
  <c r="ES14" i="67"/>
  <c r="EO14" i="67"/>
  <c r="EK14" i="67"/>
  <c r="ER13" i="67"/>
  <c r="ES13" i="67" s="1"/>
  <c r="EN13" i="67"/>
  <c r="EO13" i="67" s="1"/>
  <c r="EJ13" i="67"/>
  <c r="EK13" i="67" s="1"/>
  <c r="ER12" i="67"/>
  <c r="ES12" i="67" s="1"/>
  <c r="EN12" i="67"/>
  <c r="EO12" i="67" s="1"/>
  <c r="EJ12" i="67"/>
  <c r="EK12" i="67" s="1"/>
  <c r="ER11" i="67"/>
  <c r="ES11" i="67" s="1"/>
  <c r="EN11" i="67"/>
  <c r="EO11" i="67" s="1"/>
  <c r="EJ11" i="67"/>
  <c r="EK11" i="67" s="1"/>
  <c r="ES10" i="67"/>
  <c r="ER10" i="67"/>
  <c r="EN10" i="67"/>
  <c r="EO10" i="67" s="1"/>
  <c r="EJ10" i="67"/>
  <c r="EK10" i="67" s="1"/>
  <c r="ER9" i="67"/>
  <c r="ES9" i="67" s="1"/>
  <c r="EN9" i="67"/>
  <c r="EO9" i="67" s="1"/>
  <c r="EJ9" i="67"/>
  <c r="EK9" i="67" s="1"/>
  <c r="ER8" i="67"/>
  <c r="ES8" i="67" s="1"/>
  <c r="EN8" i="67"/>
  <c r="EO8" i="67" s="1"/>
  <c r="EJ8" i="67"/>
  <c r="EK8" i="67" s="1"/>
  <c r="EQ7" i="67"/>
  <c r="EP7" i="67"/>
  <c r="EM7" i="67"/>
  <c r="EL7" i="67"/>
  <c r="EI7" i="67"/>
  <c r="EH7" i="67"/>
  <c r="EB65" i="67"/>
  <c r="EC65" i="67" s="1"/>
  <c r="DX65" i="67"/>
  <c r="DY65" i="67" s="1"/>
  <c r="EB66" i="67"/>
  <c r="EC66" i="67" s="1"/>
  <c r="DX66" i="67"/>
  <c r="DY66" i="67" s="1"/>
  <c r="EG81" i="67"/>
  <c r="EC81" i="67"/>
  <c r="DY81" i="67"/>
  <c r="EG80" i="67"/>
  <c r="EC80" i="67"/>
  <c r="DY80" i="67"/>
  <c r="EF79" i="67"/>
  <c r="EG79" i="67" s="1"/>
  <c r="EB79" i="67"/>
  <c r="EC79" i="67" s="1"/>
  <c r="DX79" i="67"/>
  <c r="DY79" i="67" s="1"/>
  <c r="EG78" i="67"/>
  <c r="EC78" i="67"/>
  <c r="DY78" i="67"/>
  <c r="EF77" i="67"/>
  <c r="EG77" i="67" s="1"/>
  <c r="EB77" i="67"/>
  <c r="EC77" i="67" s="1"/>
  <c r="DX77" i="67"/>
  <c r="DY77" i="67" s="1"/>
  <c r="EF76" i="67"/>
  <c r="EG76" i="67" s="1"/>
  <c r="EB76" i="67"/>
  <c r="EC76" i="67" s="1"/>
  <c r="DX76" i="67"/>
  <c r="DY76" i="67"/>
  <c r="EF75" i="67"/>
  <c r="EG75" i="67" s="1"/>
  <c r="EB75" i="67"/>
  <c r="EC75" i="67" s="1"/>
  <c r="DX75" i="67"/>
  <c r="DY75" i="67" s="1"/>
  <c r="EF74" i="67"/>
  <c r="EG74" i="67" s="1"/>
  <c r="EB74" i="67"/>
  <c r="EC74" i="67" s="1"/>
  <c r="DX74" i="67"/>
  <c r="DY74" i="67" s="1"/>
  <c r="EF73" i="67"/>
  <c r="EG73" i="67" s="1"/>
  <c r="EB73" i="67"/>
  <c r="EC73" i="67"/>
  <c r="DX73" i="67"/>
  <c r="DY73" i="67" s="1"/>
  <c r="EF72" i="67"/>
  <c r="EG72" i="67" s="1"/>
  <c r="EB72" i="67"/>
  <c r="EC72" i="67" s="1"/>
  <c r="DX72" i="67"/>
  <c r="DY72" i="67" s="1"/>
  <c r="EF71" i="67"/>
  <c r="EG71" i="67" s="1"/>
  <c r="EB71" i="67"/>
  <c r="EC71" i="67" s="1"/>
  <c r="DX71" i="67"/>
  <c r="DY71" i="67" s="1"/>
  <c r="EF70" i="67"/>
  <c r="EG70" i="67"/>
  <c r="EB70" i="67"/>
  <c r="EC70" i="67" s="1"/>
  <c r="DX70" i="67"/>
  <c r="DY70" i="67" s="1"/>
  <c r="EF69" i="67"/>
  <c r="EG69" i="67" s="1"/>
  <c r="EB69" i="67"/>
  <c r="EC69" i="67" s="1"/>
  <c r="DX69" i="67"/>
  <c r="DY69" i="67" s="1"/>
  <c r="EF68" i="67"/>
  <c r="EG68" i="67" s="1"/>
  <c r="EB68" i="67"/>
  <c r="EC68" i="67" s="1"/>
  <c r="DX68" i="67"/>
  <c r="DY68" i="67"/>
  <c r="EF67" i="67"/>
  <c r="EG67" i="67" s="1"/>
  <c r="EB67" i="67"/>
  <c r="EC67" i="67" s="1"/>
  <c r="DX67" i="67"/>
  <c r="DY67" i="67" s="1"/>
  <c r="EF66" i="67"/>
  <c r="EG66" i="67" s="1"/>
  <c r="EF65" i="67"/>
  <c r="EG65" i="67" s="1"/>
  <c r="EF64" i="67"/>
  <c r="EG64" i="67" s="1"/>
  <c r="EB64" i="67"/>
  <c r="EC64" i="67" s="1"/>
  <c r="DX64" i="67"/>
  <c r="DY64" i="67"/>
  <c r="EF63" i="67"/>
  <c r="EG63" i="67" s="1"/>
  <c r="EB63" i="67"/>
  <c r="EC63" i="67" s="1"/>
  <c r="DX63" i="67"/>
  <c r="DY63" i="67" s="1"/>
  <c r="EF62" i="67"/>
  <c r="EG62" i="67" s="1"/>
  <c r="EB62" i="67"/>
  <c r="EC62" i="67" s="1"/>
  <c r="DX62" i="67"/>
  <c r="DY62" i="67" s="1"/>
  <c r="EF61" i="67"/>
  <c r="EG61" i="67" s="1"/>
  <c r="EB61" i="67"/>
  <c r="EC61" i="67"/>
  <c r="DX61" i="67"/>
  <c r="DY61" i="67" s="1"/>
  <c r="EF60" i="67"/>
  <c r="EG60" i="67" s="1"/>
  <c r="EB60" i="67"/>
  <c r="EC60" i="67" s="1"/>
  <c r="DX60" i="67"/>
  <c r="DY60" i="67" s="1"/>
  <c r="EF59" i="67"/>
  <c r="EG59" i="67" s="1"/>
  <c r="EB59" i="67"/>
  <c r="EC59" i="67" s="1"/>
  <c r="DX59" i="67"/>
  <c r="DY59" i="67" s="1"/>
  <c r="EF58" i="67"/>
  <c r="EG58" i="67"/>
  <c r="EB58" i="67"/>
  <c r="EC58" i="67" s="1"/>
  <c r="DX58" i="67"/>
  <c r="DY58" i="67" s="1"/>
  <c r="EF57" i="67"/>
  <c r="EG57" i="67" s="1"/>
  <c r="EB57" i="67"/>
  <c r="EC57" i="67" s="1"/>
  <c r="DX57" i="67"/>
  <c r="DY57" i="67" s="1"/>
  <c r="EF56" i="67"/>
  <c r="EG56" i="67" s="1"/>
  <c r="EB56" i="67"/>
  <c r="EC56" i="67" s="1"/>
  <c r="DX56" i="67"/>
  <c r="DY56" i="67" s="1"/>
  <c r="EF55" i="67"/>
  <c r="EG55" i="67" s="1"/>
  <c r="EB55" i="67"/>
  <c r="EC55" i="67" s="1"/>
  <c r="DX55" i="67"/>
  <c r="DY55" i="67" s="1"/>
  <c r="EF54" i="67"/>
  <c r="EG54" i="67" s="1"/>
  <c r="EB54" i="67"/>
  <c r="EC54" i="67" s="1"/>
  <c r="DX54" i="67"/>
  <c r="DY54" i="67" s="1"/>
  <c r="EF53" i="67"/>
  <c r="EG53" i="67" s="1"/>
  <c r="EB53" i="67"/>
  <c r="EC53" i="67" s="1"/>
  <c r="DX53" i="67"/>
  <c r="DY53" i="67" s="1"/>
  <c r="EF52" i="67"/>
  <c r="EG52" i="67" s="1"/>
  <c r="EB52" i="67"/>
  <c r="EC52" i="67" s="1"/>
  <c r="DX52" i="67"/>
  <c r="DY52" i="67" s="1"/>
  <c r="EF51" i="67"/>
  <c r="EG51" i="67" s="1"/>
  <c r="EB51" i="67"/>
  <c r="EC51" i="67" s="1"/>
  <c r="DX51" i="67"/>
  <c r="DY51" i="67" s="1"/>
  <c r="EF50" i="67"/>
  <c r="EG50" i="67" s="1"/>
  <c r="EB50" i="67"/>
  <c r="EC50" i="67" s="1"/>
  <c r="DX50" i="67"/>
  <c r="DY50" i="67" s="1"/>
  <c r="EF49" i="67"/>
  <c r="EG49" i="67" s="1"/>
  <c r="EB49" i="67"/>
  <c r="EC49" i="67" s="1"/>
  <c r="DX49" i="67"/>
  <c r="DY49" i="67" s="1"/>
  <c r="EF48" i="67"/>
  <c r="EG48" i="67" s="1"/>
  <c r="EB48" i="67"/>
  <c r="EC48" i="67" s="1"/>
  <c r="DX48" i="67"/>
  <c r="DY48" i="67" s="1"/>
  <c r="EF47" i="67"/>
  <c r="EG47" i="67" s="1"/>
  <c r="EB47" i="67"/>
  <c r="EC47" i="67" s="1"/>
  <c r="DX47" i="67"/>
  <c r="DY47" i="67" s="1"/>
  <c r="EF46" i="67"/>
  <c r="EG46" i="67" s="1"/>
  <c r="EB46" i="67"/>
  <c r="EC46" i="67" s="1"/>
  <c r="DX46" i="67"/>
  <c r="DY46" i="67" s="1"/>
  <c r="EF45" i="67"/>
  <c r="EG45" i="67" s="1"/>
  <c r="EB45" i="67"/>
  <c r="EC45" i="67" s="1"/>
  <c r="DX45" i="67"/>
  <c r="DY45" i="67" s="1"/>
  <c r="EG44" i="67"/>
  <c r="EC44" i="67"/>
  <c r="DY44" i="67"/>
  <c r="EF43" i="67"/>
  <c r="EG43" i="67" s="1"/>
  <c r="EB43" i="67"/>
  <c r="EC43" i="67" s="1"/>
  <c r="DX43" i="67"/>
  <c r="DY43" i="67" s="1"/>
  <c r="EF42" i="67"/>
  <c r="EG42" i="67" s="1"/>
  <c r="EB42" i="67"/>
  <c r="EC42" i="67" s="1"/>
  <c r="DX42" i="67"/>
  <c r="DY42" i="67" s="1"/>
  <c r="EG41" i="67"/>
  <c r="EC41" i="67"/>
  <c r="DY41" i="67"/>
  <c r="EF40" i="67"/>
  <c r="EG40" i="67" s="1"/>
  <c r="EB40" i="67"/>
  <c r="EC40" i="67" s="1"/>
  <c r="DX40" i="67"/>
  <c r="DY40" i="67" s="1"/>
  <c r="EF39" i="67"/>
  <c r="EG39" i="67" s="1"/>
  <c r="EB39" i="67"/>
  <c r="EC39" i="67" s="1"/>
  <c r="DX39" i="67"/>
  <c r="DY39" i="67" s="1"/>
  <c r="EF38" i="67"/>
  <c r="EG38" i="67" s="1"/>
  <c r="EB38" i="67"/>
  <c r="EC38" i="67" s="1"/>
  <c r="DX38" i="67"/>
  <c r="DY38" i="67" s="1"/>
  <c r="EF37" i="67"/>
  <c r="EG37" i="67" s="1"/>
  <c r="EB37" i="67"/>
  <c r="EC37" i="67" s="1"/>
  <c r="DX37" i="67"/>
  <c r="DY37" i="67" s="1"/>
  <c r="EF36" i="67"/>
  <c r="EG36" i="67" s="1"/>
  <c r="EB36" i="67"/>
  <c r="EC36" i="67" s="1"/>
  <c r="DX36" i="67"/>
  <c r="DY36" i="67" s="1"/>
  <c r="EF34" i="67"/>
  <c r="EG34" i="67" s="1"/>
  <c r="EB34" i="67"/>
  <c r="EC34" i="67" s="1"/>
  <c r="DX34" i="67"/>
  <c r="DY34" i="67" s="1"/>
  <c r="EF33" i="67"/>
  <c r="EG33" i="67" s="1"/>
  <c r="EB33" i="67"/>
  <c r="EC33" i="67" s="1"/>
  <c r="DX33" i="67"/>
  <c r="DY33" i="67" s="1"/>
  <c r="EF32" i="67"/>
  <c r="EG32" i="67" s="1"/>
  <c r="EB32" i="67"/>
  <c r="EC32" i="67" s="1"/>
  <c r="DX32" i="67"/>
  <c r="DY32" i="67" s="1"/>
  <c r="EF31" i="67"/>
  <c r="EG31" i="67" s="1"/>
  <c r="EB31" i="67"/>
  <c r="EC31" i="67" s="1"/>
  <c r="DX31" i="67"/>
  <c r="DY31" i="67" s="1"/>
  <c r="EF30" i="67"/>
  <c r="EG30" i="67" s="1"/>
  <c r="EB30" i="67"/>
  <c r="EC30" i="67" s="1"/>
  <c r="DX30" i="67"/>
  <c r="DY30" i="67" s="1"/>
  <c r="EF29" i="67"/>
  <c r="EG29" i="67" s="1"/>
  <c r="EB29" i="67"/>
  <c r="EC29" i="67" s="1"/>
  <c r="DX29" i="67"/>
  <c r="DY29" i="67" s="1"/>
  <c r="EF28" i="67"/>
  <c r="EG28" i="67" s="1"/>
  <c r="EB28" i="67"/>
  <c r="EC28" i="67" s="1"/>
  <c r="DX28" i="67"/>
  <c r="DY28" i="67" s="1"/>
  <c r="EF27" i="67"/>
  <c r="EG27" i="67" s="1"/>
  <c r="EB27" i="67"/>
  <c r="EC27" i="67" s="1"/>
  <c r="DX27" i="67"/>
  <c r="DY27" i="67" s="1"/>
  <c r="EF26" i="67"/>
  <c r="EG26" i="67" s="1"/>
  <c r="EB26" i="67"/>
  <c r="EC26" i="67" s="1"/>
  <c r="DX26" i="67"/>
  <c r="DY26" i="67" s="1"/>
  <c r="EF25" i="67"/>
  <c r="EG25" i="67"/>
  <c r="EB25" i="67"/>
  <c r="EC25" i="67"/>
  <c r="DX25" i="67"/>
  <c r="DY25" i="67"/>
  <c r="EG24" i="67"/>
  <c r="EC24" i="67"/>
  <c r="DY24" i="67"/>
  <c r="EF23" i="67"/>
  <c r="EG23" i="67" s="1"/>
  <c r="EB23" i="67"/>
  <c r="EC23" i="67" s="1"/>
  <c r="DX23" i="67"/>
  <c r="DY23" i="67" s="1"/>
  <c r="EF22" i="67"/>
  <c r="EG22" i="67" s="1"/>
  <c r="EB22" i="67"/>
  <c r="EC22" i="67" s="1"/>
  <c r="DX22" i="67"/>
  <c r="DY22" i="67" s="1"/>
  <c r="EG21" i="67"/>
  <c r="EC21" i="67"/>
  <c r="DY21" i="67"/>
  <c r="EF20" i="67"/>
  <c r="EG20" i="67"/>
  <c r="EB20" i="67"/>
  <c r="EC20" i="67"/>
  <c r="DX20" i="67"/>
  <c r="DY20" i="67"/>
  <c r="EF19" i="67"/>
  <c r="EG19" i="67" s="1"/>
  <c r="EB19" i="67"/>
  <c r="EC19" i="67" s="1"/>
  <c r="DX19" i="67"/>
  <c r="DY19" i="67" s="1"/>
  <c r="EF18" i="67"/>
  <c r="EG18" i="67" s="1"/>
  <c r="EB18" i="67"/>
  <c r="EC18" i="67" s="1"/>
  <c r="DX18" i="67"/>
  <c r="DY18" i="67"/>
  <c r="EF17" i="67"/>
  <c r="EG17" i="67"/>
  <c r="EB17" i="67"/>
  <c r="EC17" i="67"/>
  <c r="DX17" i="67"/>
  <c r="DY17" i="67" s="1"/>
  <c r="EF16" i="67"/>
  <c r="EG16" i="67" s="1"/>
  <c r="EB16" i="67"/>
  <c r="EC16" i="67" s="1"/>
  <c r="DX16" i="67"/>
  <c r="DY16" i="67" s="1"/>
  <c r="EF15" i="67"/>
  <c r="EG15" i="67" s="1"/>
  <c r="EB15" i="67"/>
  <c r="EC15" i="67"/>
  <c r="DX15" i="67"/>
  <c r="DY15" i="67"/>
  <c r="EG14" i="67"/>
  <c r="EC14" i="67"/>
  <c r="DY14" i="67"/>
  <c r="EF13" i="67"/>
  <c r="EG13" i="67" s="1"/>
  <c r="EB13" i="67"/>
  <c r="EC13" i="67" s="1"/>
  <c r="DX13" i="67"/>
  <c r="DY13" i="67" s="1"/>
  <c r="EF12" i="67"/>
  <c r="EG12" i="67" s="1"/>
  <c r="EB12" i="67"/>
  <c r="EC12" i="67" s="1"/>
  <c r="DX12" i="67"/>
  <c r="DY12" i="67" s="1"/>
  <c r="EF11" i="67"/>
  <c r="EG11" i="67" s="1"/>
  <c r="EB11" i="67"/>
  <c r="EC11" i="67" s="1"/>
  <c r="DX11" i="67"/>
  <c r="DY11" i="67" s="1"/>
  <c r="EG10" i="67"/>
  <c r="EF10" i="67"/>
  <c r="EB10" i="67"/>
  <c r="EC10" i="67" s="1"/>
  <c r="DX10" i="67"/>
  <c r="DY10" i="67" s="1"/>
  <c r="EF9" i="67"/>
  <c r="EG9" i="67" s="1"/>
  <c r="EB9" i="67"/>
  <c r="EC9" i="67" s="1"/>
  <c r="DX9" i="67"/>
  <c r="DY9" i="67" s="1"/>
  <c r="EF8" i="67"/>
  <c r="EG8" i="67" s="1"/>
  <c r="EB8" i="67"/>
  <c r="EC8" i="67" s="1"/>
  <c r="DY8" i="67"/>
  <c r="DX8" i="67"/>
  <c r="EE7" i="67"/>
  <c r="ED7" i="67"/>
  <c r="EA7" i="67"/>
  <c r="DZ7" i="67"/>
  <c r="DW7" i="67"/>
  <c r="DV7" i="67"/>
  <c r="DP64" i="67"/>
  <c r="DQ64" i="67" s="1"/>
  <c r="DL64" i="67"/>
  <c r="DM64" i="67" s="1"/>
  <c r="DP65" i="67"/>
  <c r="DQ65" i="67" s="1"/>
  <c r="DL65" i="67"/>
  <c r="DM65" i="67" s="1"/>
  <c r="DU81" i="67"/>
  <c r="DQ81" i="67"/>
  <c r="DM81" i="67"/>
  <c r="DU80" i="67"/>
  <c r="DQ80" i="67"/>
  <c r="DM80" i="67"/>
  <c r="DT79" i="67"/>
  <c r="DU79" i="67" s="1"/>
  <c r="DP79" i="67"/>
  <c r="DQ79" i="67" s="1"/>
  <c r="DL79" i="67"/>
  <c r="DM79" i="67" s="1"/>
  <c r="DU78" i="67"/>
  <c r="DQ78" i="67"/>
  <c r="DM78" i="67"/>
  <c r="DT77" i="67"/>
  <c r="DU77" i="67"/>
  <c r="DP77" i="67"/>
  <c r="DQ77" i="67"/>
  <c r="DL77" i="67"/>
  <c r="DM77" i="67"/>
  <c r="DT76" i="67"/>
  <c r="DU76" i="67" s="1"/>
  <c r="DP76" i="67"/>
  <c r="DQ76" i="67" s="1"/>
  <c r="DL76" i="67"/>
  <c r="DM76" i="67" s="1"/>
  <c r="DT75" i="67"/>
  <c r="DU75" i="67" s="1"/>
  <c r="DP75" i="67"/>
  <c r="DQ75" i="67" s="1"/>
  <c r="DL75" i="67"/>
  <c r="DM75" i="67" s="1"/>
  <c r="DT74" i="67"/>
  <c r="DU74" i="67" s="1"/>
  <c r="DP74" i="67"/>
  <c r="DQ74" i="67" s="1"/>
  <c r="DL74" i="67"/>
  <c r="DM74" i="67" s="1"/>
  <c r="DT73" i="67"/>
  <c r="DU73" i="67" s="1"/>
  <c r="DP73" i="67"/>
  <c r="DQ73" i="67" s="1"/>
  <c r="DL73" i="67"/>
  <c r="DM73" i="67" s="1"/>
  <c r="DT72" i="67"/>
  <c r="DU72" i="67" s="1"/>
  <c r="DP72" i="67"/>
  <c r="DQ72" i="67"/>
  <c r="DL72" i="67"/>
  <c r="DM72" i="67"/>
  <c r="DT71" i="67"/>
  <c r="DU71" i="67"/>
  <c r="DP71" i="67"/>
  <c r="DQ71" i="67"/>
  <c r="DL71" i="67"/>
  <c r="DM71" i="67"/>
  <c r="DT70" i="67"/>
  <c r="DU70" i="67"/>
  <c r="DP70" i="67"/>
  <c r="DQ70" i="67"/>
  <c r="DL70" i="67"/>
  <c r="DM70" i="67"/>
  <c r="DT69" i="67"/>
  <c r="DU69" i="67"/>
  <c r="DP69" i="67"/>
  <c r="DQ69" i="67"/>
  <c r="DL69" i="67"/>
  <c r="DM69" i="67"/>
  <c r="DT68" i="67"/>
  <c r="DU68" i="67" s="1"/>
  <c r="DP68" i="67"/>
  <c r="DQ68" i="67" s="1"/>
  <c r="DL68" i="67"/>
  <c r="DM68" i="67" s="1"/>
  <c r="DT67" i="67"/>
  <c r="DU67" i="67" s="1"/>
  <c r="DP67" i="67"/>
  <c r="DQ67" i="67" s="1"/>
  <c r="DL67" i="67"/>
  <c r="DM67" i="67" s="1"/>
  <c r="DT66" i="67"/>
  <c r="DU66" i="67" s="1"/>
  <c r="DP66" i="67"/>
  <c r="DQ66" i="67" s="1"/>
  <c r="DL66" i="67"/>
  <c r="DM66" i="67" s="1"/>
  <c r="DT65" i="67"/>
  <c r="DU65" i="67" s="1"/>
  <c r="DT64" i="67"/>
  <c r="DU64" i="67" s="1"/>
  <c r="DT63" i="67"/>
  <c r="DU63" i="67" s="1"/>
  <c r="DP63" i="67"/>
  <c r="DQ63" i="67" s="1"/>
  <c r="DL63" i="67"/>
  <c r="DM63" i="67" s="1"/>
  <c r="DT62" i="67"/>
  <c r="DU62" i="67" s="1"/>
  <c r="DP62" i="67"/>
  <c r="DQ62" i="67" s="1"/>
  <c r="DL62" i="67"/>
  <c r="DM62" i="67" s="1"/>
  <c r="DT61" i="67"/>
  <c r="DU61" i="67" s="1"/>
  <c r="DP61" i="67"/>
  <c r="DQ61" i="67" s="1"/>
  <c r="DL61" i="67"/>
  <c r="DM61" i="67" s="1"/>
  <c r="DT60" i="67"/>
  <c r="DU60" i="67" s="1"/>
  <c r="DP60" i="67"/>
  <c r="DQ60" i="67"/>
  <c r="DL60" i="67"/>
  <c r="DM60" i="67"/>
  <c r="DT59" i="67"/>
  <c r="DU59" i="67"/>
  <c r="DP59" i="67"/>
  <c r="DQ59" i="67"/>
  <c r="DL59" i="67"/>
  <c r="DM59" i="67"/>
  <c r="DT58" i="67"/>
  <c r="DU58" i="67"/>
  <c r="DP58" i="67"/>
  <c r="DQ58" i="67"/>
  <c r="DL58" i="67"/>
  <c r="DM58" i="67"/>
  <c r="DT57" i="67"/>
  <c r="DU57" i="67"/>
  <c r="DP57" i="67"/>
  <c r="DQ57" i="67"/>
  <c r="DL57" i="67"/>
  <c r="DM57" i="67"/>
  <c r="DT56" i="67"/>
  <c r="DU56" i="67" s="1"/>
  <c r="DP56" i="67"/>
  <c r="DQ56" i="67" s="1"/>
  <c r="DL56" i="67"/>
  <c r="DM56" i="67" s="1"/>
  <c r="DT55" i="67"/>
  <c r="DU55" i="67" s="1"/>
  <c r="DP55" i="67"/>
  <c r="DQ55" i="67" s="1"/>
  <c r="DL55" i="67"/>
  <c r="DM55" i="67" s="1"/>
  <c r="DT54" i="67"/>
  <c r="DU54" i="67" s="1"/>
  <c r="DP54" i="67"/>
  <c r="DQ54" i="67" s="1"/>
  <c r="DL54" i="67"/>
  <c r="DM54" i="67" s="1"/>
  <c r="DT53" i="67"/>
  <c r="DU53" i="67" s="1"/>
  <c r="DP53" i="67"/>
  <c r="DQ53" i="67" s="1"/>
  <c r="DL53" i="67"/>
  <c r="DM53" i="67" s="1"/>
  <c r="DT52" i="67"/>
  <c r="DU52" i="67" s="1"/>
  <c r="DP52" i="67"/>
  <c r="DQ52" i="67"/>
  <c r="DL52" i="67"/>
  <c r="DM52" i="67"/>
  <c r="DT51" i="67"/>
  <c r="DU51" i="67"/>
  <c r="DP51" i="67"/>
  <c r="DQ51" i="67"/>
  <c r="DL51" i="67"/>
  <c r="DM51" i="67"/>
  <c r="DT50" i="67"/>
  <c r="DU50" i="67"/>
  <c r="DP50" i="67"/>
  <c r="DQ50" i="67"/>
  <c r="DL50" i="67"/>
  <c r="DM50" i="67"/>
  <c r="DT49" i="67"/>
  <c r="DU49" i="67"/>
  <c r="DP49" i="67"/>
  <c r="DQ49" i="67"/>
  <c r="DL49" i="67"/>
  <c r="DM49" i="67"/>
  <c r="DT48" i="67"/>
  <c r="DU48" i="67" s="1"/>
  <c r="DP48" i="67"/>
  <c r="DQ48" i="67" s="1"/>
  <c r="DL48" i="67"/>
  <c r="DM48" i="67" s="1"/>
  <c r="DT47" i="67"/>
  <c r="DU47" i="67" s="1"/>
  <c r="DP47" i="67"/>
  <c r="DQ47" i="67" s="1"/>
  <c r="DL47" i="67"/>
  <c r="DM47" i="67" s="1"/>
  <c r="DT46" i="67"/>
  <c r="DU46" i="67" s="1"/>
  <c r="DP46" i="67"/>
  <c r="DQ46" i="67" s="1"/>
  <c r="DL46" i="67"/>
  <c r="DM46" i="67" s="1"/>
  <c r="DT45" i="67"/>
  <c r="DU45" i="67" s="1"/>
  <c r="DP45" i="67"/>
  <c r="DQ45" i="67" s="1"/>
  <c r="DL45" i="67"/>
  <c r="DM45" i="67" s="1"/>
  <c r="DU44" i="67"/>
  <c r="DQ44" i="67"/>
  <c r="DM44" i="67"/>
  <c r="DT43" i="67"/>
  <c r="DU43" i="67" s="1"/>
  <c r="DP43" i="67"/>
  <c r="DQ43" i="67" s="1"/>
  <c r="DL43" i="67"/>
  <c r="DM43" i="67" s="1"/>
  <c r="DT42" i="67"/>
  <c r="DU42" i="67" s="1"/>
  <c r="DQ42" i="67"/>
  <c r="DP42" i="67"/>
  <c r="DL42" i="67"/>
  <c r="DM42" i="67" s="1"/>
  <c r="DU41" i="67"/>
  <c r="DQ41" i="67"/>
  <c r="DM41" i="67"/>
  <c r="DT40" i="67"/>
  <c r="DU40" i="67" s="1"/>
  <c r="DP40" i="67"/>
  <c r="DQ40" i="67" s="1"/>
  <c r="DL40" i="67"/>
  <c r="DM40" i="67" s="1"/>
  <c r="DT39" i="67"/>
  <c r="DU39" i="67" s="1"/>
  <c r="DP39" i="67"/>
  <c r="DQ39" i="67"/>
  <c r="DL39" i="67"/>
  <c r="DM39" i="67"/>
  <c r="DT38" i="67"/>
  <c r="DU38" i="67"/>
  <c r="DP38" i="67"/>
  <c r="DQ38" i="67" s="1"/>
  <c r="DL38" i="67"/>
  <c r="DM38" i="67" s="1"/>
  <c r="DT37" i="67"/>
  <c r="DU37" i="67" s="1"/>
  <c r="DP37" i="67"/>
  <c r="DQ37" i="67" s="1"/>
  <c r="DL37" i="67"/>
  <c r="DM37" i="67" s="1"/>
  <c r="DT36" i="67"/>
  <c r="DU36" i="67"/>
  <c r="DP36" i="67"/>
  <c r="DQ36" i="67"/>
  <c r="DL36" i="67"/>
  <c r="DM36" i="67"/>
  <c r="DT34" i="67"/>
  <c r="DU34" i="67"/>
  <c r="DP34" i="67"/>
  <c r="DQ34" i="67"/>
  <c r="DL34" i="67"/>
  <c r="DM34" i="67" s="1"/>
  <c r="DT33" i="67"/>
  <c r="DU33" i="67" s="1"/>
  <c r="DP33" i="67"/>
  <c r="DQ33" i="67" s="1"/>
  <c r="DL33" i="67"/>
  <c r="DM33" i="67" s="1"/>
  <c r="DT32" i="67"/>
  <c r="DU32" i="67" s="1"/>
  <c r="DP32" i="67"/>
  <c r="DQ32" i="67"/>
  <c r="DL32" i="67"/>
  <c r="DM32" i="67"/>
  <c r="DT31" i="67"/>
  <c r="DU31" i="67"/>
  <c r="DP31" i="67"/>
  <c r="DQ31" i="67" s="1"/>
  <c r="DL31" i="67"/>
  <c r="DM31" i="67" s="1"/>
  <c r="DT30" i="67"/>
  <c r="DU30" i="67" s="1"/>
  <c r="DP30" i="67"/>
  <c r="DQ30" i="67" s="1"/>
  <c r="DL30" i="67"/>
  <c r="DM30" i="67" s="1"/>
  <c r="DT29" i="67"/>
  <c r="DU29" i="67"/>
  <c r="DP29" i="67"/>
  <c r="DQ29" i="67"/>
  <c r="DL29" i="67"/>
  <c r="DM29" i="67"/>
  <c r="DT28" i="67"/>
  <c r="DU28" i="67" s="1"/>
  <c r="DP28" i="67"/>
  <c r="DQ28" i="67" s="1"/>
  <c r="DL28" i="67"/>
  <c r="DM28" i="67" s="1"/>
  <c r="DT27" i="67"/>
  <c r="DU27" i="67" s="1"/>
  <c r="DP27" i="67"/>
  <c r="DQ27" i="67" s="1"/>
  <c r="DL27" i="67"/>
  <c r="DM27" i="67"/>
  <c r="DT26" i="67"/>
  <c r="DU26" i="67"/>
  <c r="DP26" i="67"/>
  <c r="DQ26" i="67"/>
  <c r="DL26" i="67"/>
  <c r="DM26" i="67" s="1"/>
  <c r="DT25" i="67"/>
  <c r="DU25" i="67" s="1"/>
  <c r="DP25" i="67"/>
  <c r="DQ25" i="67" s="1"/>
  <c r="DL25" i="67"/>
  <c r="DM25" i="67" s="1"/>
  <c r="DU24" i="67"/>
  <c r="DQ24" i="67"/>
  <c r="DM24" i="67"/>
  <c r="DT23" i="67"/>
  <c r="DU23" i="67" s="1"/>
  <c r="DP23" i="67"/>
  <c r="DQ23" i="67" s="1"/>
  <c r="DL23" i="67"/>
  <c r="DM23" i="67" s="1"/>
  <c r="DT22" i="67"/>
  <c r="DU22" i="67" s="1"/>
  <c r="DP22" i="67"/>
  <c r="DQ22" i="67" s="1"/>
  <c r="DL22" i="67"/>
  <c r="DM22" i="67" s="1"/>
  <c r="DU21" i="67"/>
  <c r="DQ21" i="67"/>
  <c r="DM21" i="67"/>
  <c r="DT20" i="67"/>
  <c r="DU20" i="67" s="1"/>
  <c r="DP20" i="67"/>
  <c r="DQ20" i="67" s="1"/>
  <c r="DL20" i="67"/>
  <c r="DM20" i="67" s="1"/>
  <c r="DT19" i="67"/>
  <c r="DU19" i="67" s="1"/>
  <c r="DP19" i="67"/>
  <c r="DQ19" i="67"/>
  <c r="DL19" i="67"/>
  <c r="DM19" i="67"/>
  <c r="DT18" i="67"/>
  <c r="DU18" i="67"/>
  <c r="DP18" i="67"/>
  <c r="DQ18" i="67" s="1"/>
  <c r="DL18" i="67"/>
  <c r="DM18" i="67" s="1"/>
  <c r="DT17" i="67"/>
  <c r="DU17" i="67" s="1"/>
  <c r="DP17" i="67"/>
  <c r="DQ17" i="67" s="1"/>
  <c r="DL17" i="67"/>
  <c r="DM17" i="67" s="1"/>
  <c r="DT16" i="67"/>
  <c r="DU16" i="67"/>
  <c r="DP16" i="67"/>
  <c r="DQ16" i="67"/>
  <c r="DL16" i="67"/>
  <c r="DM16" i="67"/>
  <c r="DT15" i="67"/>
  <c r="DU15" i="67" s="1"/>
  <c r="DP15" i="67"/>
  <c r="DQ15" i="67" s="1"/>
  <c r="DL15" i="67"/>
  <c r="DM15" i="67" s="1"/>
  <c r="DU14" i="67"/>
  <c r="DQ14" i="67"/>
  <c r="DM14" i="67"/>
  <c r="DT13" i="67"/>
  <c r="DU13" i="67" s="1"/>
  <c r="DP13" i="67"/>
  <c r="DQ13" i="67" s="1"/>
  <c r="DL13" i="67"/>
  <c r="DM13" i="67" s="1"/>
  <c r="DT12" i="67"/>
  <c r="DU12" i="67" s="1"/>
  <c r="DP12" i="67"/>
  <c r="DQ12" i="67" s="1"/>
  <c r="DL12" i="67"/>
  <c r="DM12" i="67" s="1"/>
  <c r="DT11" i="67"/>
  <c r="DU11" i="67" s="1"/>
  <c r="DP11" i="67"/>
  <c r="DQ11" i="67" s="1"/>
  <c r="DL11" i="67"/>
  <c r="DM11" i="67" s="1"/>
  <c r="DT10" i="67"/>
  <c r="DU10" i="67" s="1"/>
  <c r="DP10" i="67"/>
  <c r="DQ10" i="67" s="1"/>
  <c r="DL10" i="67"/>
  <c r="DM10" i="67" s="1"/>
  <c r="DT9" i="67"/>
  <c r="DU9" i="67" s="1"/>
  <c r="DP9" i="67"/>
  <c r="DQ9" i="67" s="1"/>
  <c r="DL9" i="67"/>
  <c r="DM9" i="67" s="1"/>
  <c r="DT8" i="67"/>
  <c r="DU8" i="67" s="1"/>
  <c r="DP8" i="67"/>
  <c r="DQ8" i="67" s="1"/>
  <c r="DL8" i="67"/>
  <c r="DM8" i="67"/>
  <c r="DS7" i="67"/>
  <c r="DR7" i="67"/>
  <c r="DO7" i="67"/>
  <c r="DN7" i="67"/>
  <c r="DK7" i="67"/>
  <c r="DJ7" i="67"/>
  <c r="DD63" i="67"/>
  <c r="DE63" i="67"/>
  <c r="CZ63" i="67"/>
  <c r="DA63" i="67" s="1"/>
  <c r="DD64" i="67"/>
  <c r="DE64" i="67" s="1"/>
  <c r="CZ64" i="67"/>
  <c r="DA64" i="67" s="1"/>
  <c r="DI81" i="67"/>
  <c r="DE81" i="67"/>
  <c r="DA81" i="67"/>
  <c r="DI80" i="67"/>
  <c r="DE80" i="67"/>
  <c r="DA80" i="67"/>
  <c r="DH79" i="67"/>
  <c r="DI79" i="67" s="1"/>
  <c r="DD79" i="67"/>
  <c r="DE79" i="67" s="1"/>
  <c r="CZ79" i="67"/>
  <c r="DA79" i="67" s="1"/>
  <c r="DI78" i="67"/>
  <c r="DE78" i="67"/>
  <c r="DA78" i="67"/>
  <c r="DH77" i="67"/>
  <c r="DI77" i="67" s="1"/>
  <c r="DD77" i="67"/>
  <c r="DE77" i="67" s="1"/>
  <c r="CZ77" i="67"/>
  <c r="DA77" i="67" s="1"/>
  <c r="DH76" i="67"/>
  <c r="DI76" i="67" s="1"/>
  <c r="DD76" i="67"/>
  <c r="DE76" i="67" s="1"/>
  <c r="CZ76" i="67"/>
  <c r="DA76" i="67" s="1"/>
  <c r="DH75" i="67"/>
  <c r="DI75" i="67" s="1"/>
  <c r="DD75" i="67"/>
  <c r="DE75" i="67" s="1"/>
  <c r="CZ75" i="67"/>
  <c r="DA75" i="67" s="1"/>
  <c r="DH74" i="67"/>
  <c r="DI74" i="67" s="1"/>
  <c r="DD74" i="67"/>
  <c r="DE74" i="67" s="1"/>
  <c r="CZ74" i="67"/>
  <c r="DA74" i="67" s="1"/>
  <c r="DH73" i="67"/>
  <c r="DI73" i="67" s="1"/>
  <c r="DD73" i="67"/>
  <c r="DE73" i="67" s="1"/>
  <c r="CZ73" i="67"/>
  <c r="DA73" i="67" s="1"/>
  <c r="DH72" i="67"/>
  <c r="DI72" i="67" s="1"/>
  <c r="DD72" i="67"/>
  <c r="DE72" i="67" s="1"/>
  <c r="CZ72" i="67"/>
  <c r="DA72" i="67" s="1"/>
  <c r="DH71" i="67"/>
  <c r="DI71" i="67" s="1"/>
  <c r="DD71" i="67"/>
  <c r="DE71" i="67" s="1"/>
  <c r="CZ71" i="67"/>
  <c r="DA71" i="67" s="1"/>
  <c r="DH70" i="67"/>
  <c r="DI70" i="67" s="1"/>
  <c r="DD70" i="67"/>
  <c r="DE70" i="67" s="1"/>
  <c r="CZ70" i="67"/>
  <c r="DA70" i="67" s="1"/>
  <c r="DH69" i="67"/>
  <c r="DI69" i="67" s="1"/>
  <c r="DD69" i="67"/>
  <c r="DE69" i="67" s="1"/>
  <c r="CZ69" i="67"/>
  <c r="DA69" i="67" s="1"/>
  <c r="DH68" i="67"/>
  <c r="DI68" i="67" s="1"/>
  <c r="DD68" i="67"/>
  <c r="DE68" i="67" s="1"/>
  <c r="CZ68" i="67"/>
  <c r="DA68" i="67" s="1"/>
  <c r="DH67" i="67"/>
  <c r="DI67" i="67" s="1"/>
  <c r="DD67" i="67"/>
  <c r="DE67" i="67" s="1"/>
  <c r="CZ67" i="67"/>
  <c r="DA67" i="67" s="1"/>
  <c r="DH66" i="67"/>
  <c r="DI66" i="67" s="1"/>
  <c r="DD66" i="67"/>
  <c r="DE66" i="67" s="1"/>
  <c r="CZ66" i="67"/>
  <c r="DA66" i="67" s="1"/>
  <c r="DH65" i="67"/>
  <c r="DI65" i="67" s="1"/>
  <c r="DD65" i="67"/>
  <c r="DE65" i="67" s="1"/>
  <c r="CZ65" i="67"/>
  <c r="DA65" i="67" s="1"/>
  <c r="DH64" i="67"/>
  <c r="DI64" i="67" s="1"/>
  <c r="DH63" i="67"/>
  <c r="DI63" i="67" s="1"/>
  <c r="DH62" i="67"/>
  <c r="DI62" i="67" s="1"/>
  <c r="DD62" i="67"/>
  <c r="DE62" i="67" s="1"/>
  <c r="CZ62" i="67"/>
  <c r="DA62" i="67" s="1"/>
  <c r="DH61" i="67"/>
  <c r="DI61" i="67" s="1"/>
  <c r="DD61" i="67"/>
  <c r="DE61" i="67" s="1"/>
  <c r="CZ61" i="67"/>
  <c r="DA61" i="67" s="1"/>
  <c r="DH60" i="67"/>
  <c r="DI60" i="67" s="1"/>
  <c r="DD60" i="67"/>
  <c r="DE60" i="67" s="1"/>
  <c r="CZ60" i="67"/>
  <c r="DA60" i="67" s="1"/>
  <c r="DH59" i="67"/>
  <c r="DI59" i="67" s="1"/>
  <c r="DD59" i="67"/>
  <c r="DE59" i="67" s="1"/>
  <c r="CZ59" i="67"/>
  <c r="DA59" i="67" s="1"/>
  <c r="DH58" i="67"/>
  <c r="DI58" i="67" s="1"/>
  <c r="DD58" i="67"/>
  <c r="DE58" i="67" s="1"/>
  <c r="CZ58" i="67"/>
  <c r="DA58" i="67" s="1"/>
  <c r="DH57" i="67"/>
  <c r="DI57" i="67" s="1"/>
  <c r="DD57" i="67"/>
  <c r="DE57" i="67" s="1"/>
  <c r="CZ57" i="67"/>
  <c r="DA57" i="67" s="1"/>
  <c r="DH56" i="67"/>
  <c r="DI56" i="67" s="1"/>
  <c r="DD56" i="67"/>
  <c r="DE56" i="67" s="1"/>
  <c r="CZ56" i="67"/>
  <c r="DA56" i="67" s="1"/>
  <c r="DH55" i="67"/>
  <c r="DI55" i="67" s="1"/>
  <c r="DD55" i="67"/>
  <c r="DE55" i="67" s="1"/>
  <c r="CZ55" i="67"/>
  <c r="DA55" i="67" s="1"/>
  <c r="DH54" i="67"/>
  <c r="DI54" i="67" s="1"/>
  <c r="DD54" i="67"/>
  <c r="DE54" i="67" s="1"/>
  <c r="CZ54" i="67"/>
  <c r="DA54" i="67" s="1"/>
  <c r="DH53" i="67"/>
  <c r="DI53" i="67" s="1"/>
  <c r="DD53" i="67"/>
  <c r="DE53" i="67" s="1"/>
  <c r="CZ53" i="67"/>
  <c r="DA53" i="67" s="1"/>
  <c r="DH52" i="67"/>
  <c r="DI52" i="67" s="1"/>
  <c r="DD52" i="67"/>
  <c r="DE52" i="67" s="1"/>
  <c r="CZ52" i="67"/>
  <c r="DA52" i="67" s="1"/>
  <c r="DH51" i="67"/>
  <c r="DI51" i="67" s="1"/>
  <c r="DD51" i="67"/>
  <c r="DE51" i="67" s="1"/>
  <c r="CZ51" i="67"/>
  <c r="DA51" i="67" s="1"/>
  <c r="DH50" i="67"/>
  <c r="DI50" i="67" s="1"/>
  <c r="DD50" i="67"/>
  <c r="DE50" i="67" s="1"/>
  <c r="CZ50" i="67"/>
  <c r="DA50" i="67" s="1"/>
  <c r="DH49" i="67"/>
  <c r="DI49" i="67" s="1"/>
  <c r="DD49" i="67"/>
  <c r="DE49" i="67" s="1"/>
  <c r="CZ49" i="67"/>
  <c r="DA49" i="67" s="1"/>
  <c r="DH48" i="67"/>
  <c r="DI48" i="67" s="1"/>
  <c r="DD48" i="67"/>
  <c r="DE48" i="67" s="1"/>
  <c r="CZ48" i="67"/>
  <c r="DA48" i="67" s="1"/>
  <c r="DH47" i="67"/>
  <c r="DI47" i="67" s="1"/>
  <c r="DD47" i="67"/>
  <c r="DE47" i="67" s="1"/>
  <c r="CZ47" i="67"/>
  <c r="DA47" i="67" s="1"/>
  <c r="DH46" i="67"/>
  <c r="DI46" i="67" s="1"/>
  <c r="DD46" i="67"/>
  <c r="DE46" i="67" s="1"/>
  <c r="CZ46" i="67"/>
  <c r="DA46" i="67" s="1"/>
  <c r="DH45" i="67"/>
  <c r="DI45" i="67" s="1"/>
  <c r="DD45" i="67"/>
  <c r="DE45" i="67" s="1"/>
  <c r="CZ45" i="67"/>
  <c r="DA45" i="67" s="1"/>
  <c r="DI44" i="67"/>
  <c r="DE44" i="67"/>
  <c r="DA44" i="67"/>
  <c r="DH43" i="67"/>
  <c r="DI43" i="67" s="1"/>
  <c r="DD43" i="67"/>
  <c r="DE43" i="67"/>
  <c r="CZ43" i="67"/>
  <c r="DA43" i="67"/>
  <c r="DH42" i="67"/>
  <c r="DI42" i="67"/>
  <c r="DD42" i="67"/>
  <c r="DE42" i="67" s="1"/>
  <c r="CZ42" i="67"/>
  <c r="DA42" i="67" s="1"/>
  <c r="DI41" i="67"/>
  <c r="DE41" i="67"/>
  <c r="DA41" i="67"/>
  <c r="DH40" i="67"/>
  <c r="DI40" i="67" s="1"/>
  <c r="DD40" i="67"/>
  <c r="DE40" i="67" s="1"/>
  <c r="CZ40" i="67"/>
  <c r="DA40" i="67" s="1"/>
  <c r="DH39" i="67"/>
  <c r="DI39" i="67" s="1"/>
  <c r="DD39" i="67"/>
  <c r="DE39" i="67" s="1"/>
  <c r="CZ39" i="67"/>
  <c r="DA39" i="67" s="1"/>
  <c r="DH38" i="67"/>
  <c r="DI38" i="67" s="1"/>
  <c r="DD38" i="67"/>
  <c r="DE38" i="67" s="1"/>
  <c r="CZ38" i="67"/>
  <c r="DA38" i="67" s="1"/>
  <c r="DH37" i="67"/>
  <c r="DI37" i="67" s="1"/>
  <c r="DD37" i="67"/>
  <c r="DE37" i="67" s="1"/>
  <c r="CZ37" i="67"/>
  <c r="DA37" i="67" s="1"/>
  <c r="DI36" i="67"/>
  <c r="DH36" i="67"/>
  <c r="DD36" i="67"/>
  <c r="DE36" i="67" s="1"/>
  <c r="CZ36" i="67"/>
  <c r="DA36" i="67" s="1"/>
  <c r="DH34" i="67"/>
  <c r="DI34" i="67" s="1"/>
  <c r="DD34" i="67"/>
  <c r="DE34" i="67" s="1"/>
  <c r="DA34" i="67"/>
  <c r="CZ34" i="67"/>
  <c r="DH33" i="67"/>
  <c r="DI33" i="67" s="1"/>
  <c r="DD33" i="67"/>
  <c r="DE33" i="67" s="1"/>
  <c r="CZ33" i="67"/>
  <c r="DA33" i="67" s="1"/>
  <c r="DH32" i="67"/>
  <c r="DI32" i="67" s="1"/>
  <c r="DD32" i="67"/>
  <c r="DE32" i="67" s="1"/>
  <c r="CZ32" i="67"/>
  <c r="DA32" i="67" s="1"/>
  <c r="DH31" i="67"/>
  <c r="DI31" i="67" s="1"/>
  <c r="DE31" i="67"/>
  <c r="DD31" i="67"/>
  <c r="CZ31" i="67"/>
  <c r="DA31" i="67" s="1"/>
  <c r="DH30" i="67"/>
  <c r="DI30" i="67" s="1"/>
  <c r="DD30" i="67"/>
  <c r="DE30" i="67" s="1"/>
  <c r="CZ30" i="67"/>
  <c r="DA30" i="67" s="1"/>
  <c r="DH29" i="67"/>
  <c r="DI29" i="67" s="1"/>
  <c r="DD29" i="67"/>
  <c r="DE29" i="67" s="1"/>
  <c r="CZ29" i="67"/>
  <c r="DA29" i="67" s="1"/>
  <c r="DI28" i="67"/>
  <c r="DH28" i="67"/>
  <c r="DD28" i="67"/>
  <c r="DE28" i="67" s="1"/>
  <c r="CZ28" i="67"/>
  <c r="DA28" i="67" s="1"/>
  <c r="DH27" i="67"/>
  <c r="DI27" i="67" s="1"/>
  <c r="DD27" i="67"/>
  <c r="DE27" i="67" s="1"/>
  <c r="CZ27" i="67"/>
  <c r="DA27" i="67" s="1"/>
  <c r="DH26" i="67"/>
  <c r="DI26" i="67" s="1"/>
  <c r="DD26" i="67"/>
  <c r="DE26" i="67" s="1"/>
  <c r="DA26" i="67"/>
  <c r="CZ26" i="67"/>
  <c r="DH25" i="67"/>
  <c r="DI25" i="67" s="1"/>
  <c r="DD25" i="67"/>
  <c r="DE25" i="67" s="1"/>
  <c r="CZ25" i="67"/>
  <c r="DA25" i="67" s="1"/>
  <c r="DI24" i="67"/>
  <c r="DE24" i="67"/>
  <c r="DA24" i="67"/>
  <c r="DH23" i="67"/>
  <c r="DI23" i="67" s="1"/>
  <c r="DD23" i="67"/>
  <c r="DE23" i="67"/>
  <c r="CZ23" i="67"/>
  <c r="DA23" i="67"/>
  <c r="DH22" i="67"/>
  <c r="DI22" i="67"/>
  <c r="DD22" i="67"/>
  <c r="DE22" i="67" s="1"/>
  <c r="CZ22" i="67"/>
  <c r="DA22" i="67" s="1"/>
  <c r="DI21" i="67"/>
  <c r="DE21" i="67"/>
  <c r="DA21" i="67"/>
  <c r="DH20" i="67"/>
  <c r="DI20" i="67" s="1"/>
  <c r="DD20" i="67"/>
  <c r="DE20" i="67" s="1"/>
  <c r="CZ20" i="67"/>
  <c r="DA20" i="67" s="1"/>
  <c r="DI19" i="67"/>
  <c r="DH19" i="67"/>
  <c r="DD19" i="67"/>
  <c r="DE19" i="67" s="1"/>
  <c r="CZ19" i="67"/>
  <c r="DA19" i="67" s="1"/>
  <c r="DH18" i="67"/>
  <c r="DI18" i="67" s="1"/>
  <c r="DD18" i="67"/>
  <c r="DE18" i="67" s="1"/>
  <c r="CZ18" i="67"/>
  <c r="DA18" i="67" s="1"/>
  <c r="DH17" i="67"/>
  <c r="DI17" i="67" s="1"/>
  <c r="DD17" i="67"/>
  <c r="DE17" i="67" s="1"/>
  <c r="DA17" i="67"/>
  <c r="CZ17" i="67"/>
  <c r="DH16" i="67"/>
  <c r="DI16" i="67" s="1"/>
  <c r="DD16" i="67"/>
  <c r="DE16" i="67" s="1"/>
  <c r="CZ16" i="67"/>
  <c r="DA16" i="67" s="1"/>
  <c r="DH15" i="67"/>
  <c r="DI15" i="67" s="1"/>
  <c r="DD15" i="67"/>
  <c r="DE15" i="67" s="1"/>
  <c r="CZ15" i="67"/>
  <c r="DA15" i="67" s="1"/>
  <c r="DI14" i="67"/>
  <c r="DE14" i="67"/>
  <c r="DA14" i="67"/>
  <c r="DH13" i="67"/>
  <c r="DI13" i="67" s="1"/>
  <c r="DD13" i="67"/>
  <c r="DE13" i="67" s="1"/>
  <c r="CZ13" i="67"/>
  <c r="DA13" i="67" s="1"/>
  <c r="DH12" i="67"/>
  <c r="DI12" i="67" s="1"/>
  <c r="DD12" i="67"/>
  <c r="DE12" i="67" s="1"/>
  <c r="CZ12" i="67"/>
  <c r="DA12" i="67" s="1"/>
  <c r="DH11" i="67"/>
  <c r="DI11" i="67"/>
  <c r="DD11" i="67"/>
  <c r="DE11" i="67"/>
  <c r="CZ11" i="67"/>
  <c r="DA11" i="67"/>
  <c r="DH10" i="67"/>
  <c r="DI10" i="67" s="1"/>
  <c r="DD10" i="67"/>
  <c r="DE10" i="67" s="1"/>
  <c r="CZ10" i="67"/>
  <c r="DA10" i="67" s="1"/>
  <c r="DH9" i="67"/>
  <c r="DI9" i="67" s="1"/>
  <c r="DD9" i="67"/>
  <c r="DE9" i="67" s="1"/>
  <c r="CZ9" i="67"/>
  <c r="DA9" i="67"/>
  <c r="DH8" i="67"/>
  <c r="DI8" i="67"/>
  <c r="DD8" i="67"/>
  <c r="DE8" i="67"/>
  <c r="CZ8" i="67"/>
  <c r="DA8" i="67" s="1"/>
  <c r="DG7" i="67"/>
  <c r="DF7" i="67"/>
  <c r="DC7" i="67"/>
  <c r="DB7" i="67"/>
  <c r="CY7" i="67"/>
  <c r="CX7" i="67"/>
  <c r="CN62" i="67"/>
  <c r="CO62" i="67" s="1"/>
  <c r="CR62" i="67"/>
  <c r="CS62" i="67"/>
  <c r="CR63" i="67"/>
  <c r="CS63" i="67"/>
  <c r="CN63" i="67"/>
  <c r="CO63" i="67"/>
  <c r="CW81" i="67"/>
  <c r="CS81" i="67"/>
  <c r="CO81" i="67"/>
  <c r="CW80" i="67"/>
  <c r="CS80" i="67"/>
  <c r="CO80" i="67"/>
  <c r="CV79" i="67"/>
  <c r="CW79" i="67"/>
  <c r="CR79" i="67"/>
  <c r="CS79" i="67" s="1"/>
  <c r="CN79" i="67"/>
  <c r="CO79" i="67" s="1"/>
  <c r="CW78" i="67"/>
  <c r="CS78" i="67"/>
  <c r="CO78" i="67"/>
  <c r="CV77" i="67"/>
  <c r="CW77" i="67" s="1"/>
  <c r="CR77" i="67"/>
  <c r="CS77" i="67" s="1"/>
  <c r="CN77" i="67"/>
  <c r="CO77" i="67" s="1"/>
  <c r="CV76" i="67"/>
  <c r="CW76" i="67" s="1"/>
  <c r="CR76" i="67"/>
  <c r="CS76" i="67" s="1"/>
  <c r="CN76" i="67"/>
  <c r="CO76" i="67" s="1"/>
  <c r="CV75" i="67"/>
  <c r="CW75" i="67" s="1"/>
  <c r="CR75" i="67"/>
  <c r="CS75" i="67" s="1"/>
  <c r="CN75" i="67"/>
  <c r="CO75" i="67" s="1"/>
  <c r="CV74" i="67"/>
  <c r="CW74" i="67" s="1"/>
  <c r="CR74" i="67"/>
  <c r="CS74" i="67" s="1"/>
  <c r="CN74" i="67"/>
  <c r="CO74" i="67" s="1"/>
  <c r="CV73" i="67"/>
  <c r="CW73" i="67" s="1"/>
  <c r="CR73" i="67"/>
  <c r="CS73" i="67" s="1"/>
  <c r="CN73" i="67"/>
  <c r="CO73" i="67" s="1"/>
  <c r="CV72" i="67"/>
  <c r="CW72" i="67" s="1"/>
  <c r="CR72" i="67"/>
  <c r="CS72" i="67" s="1"/>
  <c r="CN72" i="67"/>
  <c r="CO72" i="67" s="1"/>
  <c r="CV71" i="67"/>
  <c r="CW71" i="67" s="1"/>
  <c r="CR71" i="67"/>
  <c r="CS71" i="67" s="1"/>
  <c r="CN71" i="67"/>
  <c r="CO71" i="67" s="1"/>
  <c r="CV70" i="67"/>
  <c r="CW70" i="67" s="1"/>
  <c r="CR70" i="67"/>
  <c r="CS70" i="67" s="1"/>
  <c r="CN70" i="67"/>
  <c r="CO70" i="67" s="1"/>
  <c r="CV69" i="67"/>
  <c r="CW69" i="67" s="1"/>
  <c r="CR69" i="67"/>
  <c r="CS69" i="67" s="1"/>
  <c r="CN69" i="67"/>
  <c r="CO69" i="67" s="1"/>
  <c r="CV68" i="67"/>
  <c r="CW68" i="67" s="1"/>
  <c r="CR68" i="67"/>
  <c r="CS68" i="67" s="1"/>
  <c r="CN68" i="67"/>
  <c r="CO68" i="67" s="1"/>
  <c r="CV67" i="67"/>
  <c r="CW67" i="67" s="1"/>
  <c r="CR67" i="67"/>
  <c r="CS67" i="67" s="1"/>
  <c r="CN67" i="67"/>
  <c r="CO67" i="67" s="1"/>
  <c r="CV66" i="67"/>
  <c r="CW66" i="67" s="1"/>
  <c r="CR66" i="67"/>
  <c r="CS66" i="67" s="1"/>
  <c r="CN66" i="67"/>
  <c r="CO66" i="67" s="1"/>
  <c r="CV65" i="67"/>
  <c r="CW65" i="67" s="1"/>
  <c r="CR65" i="67"/>
  <c r="CS65" i="67" s="1"/>
  <c r="CN65" i="67"/>
  <c r="CO65" i="67" s="1"/>
  <c r="CV64" i="67"/>
  <c r="CW64" i="67" s="1"/>
  <c r="CR64" i="67"/>
  <c r="CS64" i="67" s="1"/>
  <c r="CN64" i="67"/>
  <c r="CO64" i="67" s="1"/>
  <c r="CV63" i="67"/>
  <c r="CW63" i="67" s="1"/>
  <c r="CV62" i="67"/>
  <c r="CW62" i="67" s="1"/>
  <c r="CV61" i="67"/>
  <c r="CW61" i="67" s="1"/>
  <c r="CR61" i="67"/>
  <c r="CS61" i="67"/>
  <c r="CN61" i="67"/>
  <c r="CO61" i="67" s="1"/>
  <c r="CV60" i="67"/>
  <c r="CW60" i="67" s="1"/>
  <c r="CR60" i="67"/>
  <c r="CS60" i="67" s="1"/>
  <c r="CN60" i="67"/>
  <c r="CO60" i="67" s="1"/>
  <c r="CV59" i="67"/>
  <c r="CW59" i="67" s="1"/>
  <c r="CR59" i="67"/>
  <c r="CS59" i="67" s="1"/>
  <c r="CN59" i="67"/>
  <c r="CO59" i="67" s="1"/>
  <c r="CV58" i="67"/>
  <c r="CW58" i="67" s="1"/>
  <c r="CR58" i="67"/>
  <c r="CS58" i="67" s="1"/>
  <c r="CN58" i="67"/>
  <c r="CO58" i="67"/>
  <c r="CV57" i="67"/>
  <c r="CW57" i="67" s="1"/>
  <c r="CR57" i="67"/>
  <c r="CS57" i="67" s="1"/>
  <c r="CN57" i="67"/>
  <c r="CO57" i="67" s="1"/>
  <c r="CV56" i="67"/>
  <c r="CW56" i="67" s="1"/>
  <c r="CR56" i="67"/>
  <c r="CS56" i="67" s="1"/>
  <c r="CN56" i="67"/>
  <c r="CO56" i="67" s="1"/>
  <c r="CV55" i="67"/>
  <c r="CW55" i="67" s="1"/>
  <c r="CR55" i="67"/>
  <c r="CS55" i="67"/>
  <c r="CN55" i="67"/>
  <c r="CO55" i="67" s="1"/>
  <c r="CV54" i="67"/>
  <c r="CW54" i="67" s="1"/>
  <c r="CR54" i="67"/>
  <c r="CS54" i="67" s="1"/>
  <c r="CN54" i="67"/>
  <c r="CO54" i="67" s="1"/>
  <c r="CV53" i="67"/>
  <c r="CW53" i="67" s="1"/>
  <c r="CR53" i="67"/>
  <c r="CS53" i="67" s="1"/>
  <c r="CN53" i="67"/>
  <c r="CO53" i="67" s="1"/>
  <c r="CV52" i="67"/>
  <c r="CW52" i="67"/>
  <c r="CR52" i="67"/>
  <c r="CS52" i="67" s="1"/>
  <c r="CN52" i="67"/>
  <c r="CO52" i="67" s="1"/>
  <c r="CV51" i="67"/>
  <c r="CW51" i="67" s="1"/>
  <c r="CR51" i="67"/>
  <c r="CS51" i="67" s="1"/>
  <c r="CN51" i="67"/>
  <c r="CO51" i="67" s="1"/>
  <c r="CV50" i="67"/>
  <c r="CW50" i="67" s="1"/>
  <c r="CR50" i="67"/>
  <c r="CS50" i="67" s="1"/>
  <c r="CN50" i="67"/>
  <c r="CO50" i="67"/>
  <c r="CV49" i="67"/>
  <c r="CW49" i="67" s="1"/>
  <c r="CR49" i="67"/>
  <c r="CS49" i="67" s="1"/>
  <c r="CN49" i="67"/>
  <c r="CO49" i="67" s="1"/>
  <c r="CV48" i="67"/>
  <c r="CW48" i="67" s="1"/>
  <c r="CR48" i="67"/>
  <c r="CS48" i="67" s="1"/>
  <c r="CN48" i="67"/>
  <c r="CO48" i="67" s="1"/>
  <c r="CV47" i="67"/>
  <c r="CW47" i="67" s="1"/>
  <c r="CR47" i="67"/>
  <c r="CS47" i="67"/>
  <c r="CN47" i="67"/>
  <c r="CO47" i="67" s="1"/>
  <c r="CV46" i="67"/>
  <c r="CW46" i="67" s="1"/>
  <c r="CR46" i="67"/>
  <c r="CS46" i="67"/>
  <c r="CN46" i="67"/>
  <c r="CO46" i="67" s="1"/>
  <c r="CV45" i="67"/>
  <c r="CW45" i="67" s="1"/>
  <c r="CR45" i="67"/>
  <c r="CS45" i="67" s="1"/>
  <c r="CN45" i="67"/>
  <c r="CO45" i="67"/>
  <c r="CW44" i="67"/>
  <c r="CS44" i="67"/>
  <c r="CO44" i="67"/>
  <c r="CW43" i="67"/>
  <c r="CV43" i="67"/>
  <c r="CR43" i="67"/>
  <c r="CS43" i="67" s="1"/>
  <c r="CN43" i="67"/>
  <c r="CO43" i="67" s="1"/>
  <c r="CV42" i="67"/>
  <c r="CW42" i="67" s="1"/>
  <c r="CS42" i="67"/>
  <c r="CR42" i="67"/>
  <c r="CN42" i="67"/>
  <c r="CO42" i="67" s="1"/>
  <c r="CW41" i="67"/>
  <c r="CS41" i="67"/>
  <c r="CO41" i="67"/>
  <c r="CV40" i="67"/>
  <c r="CW40" i="67" s="1"/>
  <c r="CR40" i="67"/>
  <c r="CS40" i="67" s="1"/>
  <c r="CN40" i="67"/>
  <c r="CO40" i="67"/>
  <c r="CV39" i="67"/>
  <c r="CW39" i="67" s="1"/>
  <c r="CR39" i="67"/>
  <c r="CS39" i="67" s="1"/>
  <c r="CN39" i="67"/>
  <c r="CO39" i="67" s="1"/>
  <c r="CV38" i="67"/>
  <c r="CW38" i="67"/>
  <c r="CR38" i="67"/>
  <c r="CS38" i="67" s="1"/>
  <c r="CN38" i="67"/>
  <c r="CO38" i="67" s="1"/>
  <c r="CV37" i="67"/>
  <c r="CW37" i="67" s="1"/>
  <c r="CR37" i="67"/>
  <c r="CS37" i="67"/>
  <c r="CN37" i="67"/>
  <c r="CO37" i="67" s="1"/>
  <c r="CV36" i="67"/>
  <c r="CW36" i="67" s="1"/>
  <c r="CR36" i="67"/>
  <c r="CS36" i="67" s="1"/>
  <c r="CN36" i="67"/>
  <c r="CO36" i="67"/>
  <c r="CV34" i="67"/>
  <c r="CW34" i="67" s="1"/>
  <c r="CR34" i="67"/>
  <c r="CS34" i="67" s="1"/>
  <c r="CN34" i="67"/>
  <c r="CO34" i="67" s="1"/>
  <c r="CV33" i="67"/>
  <c r="CW33" i="67"/>
  <c r="CR33" i="67"/>
  <c r="CS33" i="67" s="1"/>
  <c r="CN33" i="67"/>
  <c r="CO33" i="67" s="1"/>
  <c r="CV32" i="67"/>
  <c r="CW32" i="67" s="1"/>
  <c r="CR32" i="67"/>
  <c r="CS32" i="67"/>
  <c r="CN32" i="67"/>
  <c r="CO32" i="67" s="1"/>
  <c r="CV31" i="67"/>
  <c r="CW31" i="67" s="1"/>
  <c r="CR31" i="67"/>
  <c r="CS31" i="67" s="1"/>
  <c r="CN31" i="67"/>
  <c r="CO31" i="67"/>
  <c r="CV30" i="67"/>
  <c r="CW30" i="67" s="1"/>
  <c r="CR30" i="67"/>
  <c r="CS30" i="67" s="1"/>
  <c r="CN30" i="67"/>
  <c r="CO30" i="67" s="1"/>
  <c r="CV29" i="67"/>
  <c r="CW29" i="67"/>
  <c r="CR29" i="67"/>
  <c r="CS29" i="67" s="1"/>
  <c r="CN29" i="67"/>
  <c r="CO29" i="67" s="1"/>
  <c r="CV28" i="67"/>
  <c r="CW28" i="67" s="1"/>
  <c r="CR28" i="67"/>
  <c r="CS28" i="67"/>
  <c r="CN28" i="67"/>
  <c r="CO28" i="67" s="1"/>
  <c r="CV27" i="67"/>
  <c r="CW27" i="67" s="1"/>
  <c r="CR27" i="67"/>
  <c r="CS27" i="67" s="1"/>
  <c r="CN27" i="67"/>
  <c r="CO27" i="67"/>
  <c r="CV26" i="67"/>
  <c r="CW26" i="67" s="1"/>
  <c r="CR26" i="67"/>
  <c r="CS26" i="67" s="1"/>
  <c r="CN26" i="67"/>
  <c r="CO26" i="67" s="1"/>
  <c r="CV25" i="67"/>
  <c r="CW25" i="67"/>
  <c r="CR25" i="67"/>
  <c r="CS25" i="67" s="1"/>
  <c r="CN25" i="67"/>
  <c r="CO25" i="67" s="1"/>
  <c r="CW24" i="67"/>
  <c r="CS24" i="67"/>
  <c r="CO24" i="67"/>
  <c r="CV23" i="67"/>
  <c r="CW23" i="67" s="1"/>
  <c r="CR23" i="67"/>
  <c r="CS23" i="67"/>
  <c r="CN23" i="67"/>
  <c r="CO23" i="67" s="1"/>
  <c r="CV22" i="67"/>
  <c r="CW22" i="67" s="1"/>
  <c r="CR22" i="67"/>
  <c r="CS22" i="67" s="1"/>
  <c r="CN22" i="67"/>
  <c r="CO22" i="67"/>
  <c r="CW21" i="67"/>
  <c r="CS21" i="67"/>
  <c r="CO21" i="67"/>
  <c r="CV20" i="67"/>
  <c r="CW20" i="67" s="1"/>
  <c r="CR20" i="67"/>
  <c r="CS20" i="67" s="1"/>
  <c r="CN20" i="67"/>
  <c r="CO20" i="67"/>
  <c r="CV19" i="67"/>
  <c r="CW19" i="67" s="1"/>
  <c r="CR19" i="67"/>
  <c r="CS19" i="67" s="1"/>
  <c r="CN19" i="67"/>
  <c r="CO19" i="67" s="1"/>
  <c r="CV18" i="67"/>
  <c r="CW18" i="67"/>
  <c r="CR18" i="67"/>
  <c r="CS18" i="67" s="1"/>
  <c r="CN18" i="67"/>
  <c r="CO18" i="67" s="1"/>
  <c r="CV17" i="67"/>
  <c r="CW17" i="67" s="1"/>
  <c r="CR17" i="67"/>
  <c r="CS17" i="67"/>
  <c r="CN17" i="67"/>
  <c r="CO17" i="67" s="1"/>
  <c r="CV16" i="67"/>
  <c r="CW16" i="67" s="1"/>
  <c r="CR16" i="67"/>
  <c r="CS16" i="67" s="1"/>
  <c r="CN16" i="67"/>
  <c r="CO16" i="67"/>
  <c r="CV15" i="67"/>
  <c r="CW15" i="67" s="1"/>
  <c r="CR15" i="67"/>
  <c r="CS15" i="67" s="1"/>
  <c r="CN15" i="67"/>
  <c r="CO15" i="67" s="1"/>
  <c r="CW14" i="67"/>
  <c r="CS14" i="67"/>
  <c r="CO14" i="67"/>
  <c r="CV13" i="67"/>
  <c r="CW13" i="67" s="1"/>
  <c r="CR13" i="67"/>
  <c r="CS13" i="67" s="1"/>
  <c r="CN13" i="67"/>
  <c r="CO13" i="67"/>
  <c r="CV12" i="67"/>
  <c r="CW12" i="67" s="1"/>
  <c r="CR12" i="67"/>
  <c r="CS12" i="67" s="1"/>
  <c r="CN12" i="67"/>
  <c r="CO12" i="67" s="1"/>
  <c r="CV11" i="67"/>
  <c r="CW11" i="67"/>
  <c r="CR11" i="67"/>
  <c r="CS11" i="67" s="1"/>
  <c r="CN11" i="67"/>
  <c r="CO11" i="67" s="1"/>
  <c r="CV10" i="67"/>
  <c r="CW10" i="67" s="1"/>
  <c r="CR10" i="67"/>
  <c r="CS10" i="67"/>
  <c r="CN10" i="67"/>
  <c r="CO10" i="67" s="1"/>
  <c r="CV9" i="67"/>
  <c r="CW9" i="67" s="1"/>
  <c r="CR9" i="67"/>
  <c r="CS9" i="67" s="1"/>
  <c r="CN9" i="67"/>
  <c r="CO9" i="67"/>
  <c r="CV8" i="67"/>
  <c r="CW8" i="67" s="1"/>
  <c r="CR8" i="67"/>
  <c r="CS8" i="67" s="1"/>
  <c r="CN8" i="67"/>
  <c r="CO8" i="67" s="1"/>
  <c r="CU7" i="67"/>
  <c r="CT7" i="67"/>
  <c r="CQ7" i="67"/>
  <c r="CP7" i="67"/>
  <c r="CM7" i="67"/>
  <c r="CL7" i="67"/>
  <c r="CF61" i="67"/>
  <c r="CG61" i="67" s="1"/>
  <c r="CB61" i="67"/>
  <c r="CC61" i="67" s="1"/>
  <c r="CF62" i="67"/>
  <c r="CG62" i="67" s="1"/>
  <c r="CB62" i="67"/>
  <c r="CC62" i="67"/>
  <c r="CK81" i="67"/>
  <c r="CG81" i="67"/>
  <c r="CC81" i="67"/>
  <c r="CK80" i="67"/>
  <c r="CG80" i="67"/>
  <c r="CC80" i="67"/>
  <c r="CJ79" i="67"/>
  <c r="CK79" i="67"/>
  <c r="CF79" i="67"/>
  <c r="CG79" i="67" s="1"/>
  <c r="CB79" i="67"/>
  <c r="CC79" i="67" s="1"/>
  <c r="CK78" i="67"/>
  <c r="CG78" i="67"/>
  <c r="CC78" i="67"/>
  <c r="CJ77" i="67"/>
  <c r="CK77" i="67"/>
  <c r="CF77" i="67"/>
  <c r="CG77" i="67" s="1"/>
  <c r="CB77" i="67"/>
  <c r="CC77" i="67" s="1"/>
  <c r="CJ76" i="67"/>
  <c r="CK76" i="67" s="1"/>
  <c r="CF76" i="67"/>
  <c r="CG76" i="67"/>
  <c r="CB76" i="67"/>
  <c r="CC76" i="67" s="1"/>
  <c r="CJ75" i="67"/>
  <c r="CK75" i="67" s="1"/>
  <c r="CF75" i="67"/>
  <c r="CG75" i="67" s="1"/>
  <c r="CB75" i="67"/>
  <c r="CC75" i="67"/>
  <c r="CJ74" i="67"/>
  <c r="CK74" i="67" s="1"/>
  <c r="CF74" i="67"/>
  <c r="CG74" i="67" s="1"/>
  <c r="CB74" i="67"/>
  <c r="CC74" i="67" s="1"/>
  <c r="CJ73" i="67"/>
  <c r="CK73" i="67"/>
  <c r="CF73" i="67"/>
  <c r="CG73" i="67" s="1"/>
  <c r="CB73" i="67"/>
  <c r="CC73" i="67" s="1"/>
  <c r="CJ72" i="67"/>
  <c r="CK72" i="67" s="1"/>
  <c r="CF72" i="67"/>
  <c r="CG72" i="67"/>
  <c r="CB72" i="67"/>
  <c r="CC72" i="67" s="1"/>
  <c r="CJ71" i="67"/>
  <c r="CK71" i="67" s="1"/>
  <c r="CF71" i="67"/>
  <c r="CG71" i="67" s="1"/>
  <c r="CB71" i="67"/>
  <c r="CC71" i="67"/>
  <c r="CJ70" i="67"/>
  <c r="CK70" i="67" s="1"/>
  <c r="CF70" i="67"/>
  <c r="CG70" i="67" s="1"/>
  <c r="CB70" i="67"/>
  <c r="CC70" i="67" s="1"/>
  <c r="CJ69" i="67"/>
  <c r="CK69" i="67"/>
  <c r="CF69" i="67"/>
  <c r="CG69" i="67" s="1"/>
  <c r="CB69" i="67"/>
  <c r="CC69" i="67" s="1"/>
  <c r="CJ68" i="67"/>
  <c r="CK68" i="67" s="1"/>
  <c r="CF68" i="67"/>
  <c r="CG68" i="67"/>
  <c r="CB68" i="67"/>
  <c r="CC68" i="67" s="1"/>
  <c r="CJ67" i="67"/>
  <c r="CK67" i="67" s="1"/>
  <c r="CF67" i="67"/>
  <c r="CG67" i="67" s="1"/>
  <c r="CB67" i="67"/>
  <c r="CC67" i="67"/>
  <c r="CJ66" i="67"/>
  <c r="CK66" i="67" s="1"/>
  <c r="CF66" i="67"/>
  <c r="CG66" i="67" s="1"/>
  <c r="CB66" i="67"/>
  <c r="CC66" i="67" s="1"/>
  <c r="CJ65" i="67"/>
  <c r="CK65" i="67"/>
  <c r="CF65" i="67"/>
  <c r="CG65" i="67" s="1"/>
  <c r="CB65" i="67"/>
  <c r="CC65" i="67" s="1"/>
  <c r="CJ64" i="67"/>
  <c r="CK64" i="67" s="1"/>
  <c r="CF64" i="67"/>
  <c r="CG64" i="67"/>
  <c r="CB64" i="67"/>
  <c r="CC64" i="67" s="1"/>
  <c r="CJ63" i="67"/>
  <c r="CK63" i="67" s="1"/>
  <c r="CF63" i="67"/>
  <c r="CG63" i="67" s="1"/>
  <c r="CB63" i="67"/>
  <c r="CC63" i="67"/>
  <c r="CJ62" i="67"/>
  <c r="CK62" i="67" s="1"/>
  <c r="CJ61" i="67"/>
  <c r="CK61" i="67" s="1"/>
  <c r="CJ60" i="67"/>
  <c r="CK60" i="67" s="1"/>
  <c r="CF60" i="67"/>
  <c r="CG60" i="67"/>
  <c r="CB60" i="67"/>
  <c r="CC60" i="67" s="1"/>
  <c r="CJ59" i="67"/>
  <c r="CK59" i="67" s="1"/>
  <c r="CF59" i="67"/>
  <c r="CG59" i="67" s="1"/>
  <c r="CB59" i="67"/>
  <c r="CC59" i="67"/>
  <c r="CJ58" i="67"/>
  <c r="CK58" i="67" s="1"/>
  <c r="CF58" i="67"/>
  <c r="CG58" i="67" s="1"/>
  <c r="CB58" i="67"/>
  <c r="CC58" i="67" s="1"/>
  <c r="CJ57" i="67"/>
  <c r="CK57" i="67"/>
  <c r="CF57" i="67"/>
  <c r="CG57" i="67" s="1"/>
  <c r="CB57" i="67"/>
  <c r="CC57" i="67" s="1"/>
  <c r="CJ56" i="67"/>
  <c r="CK56" i="67" s="1"/>
  <c r="CF56" i="67"/>
  <c r="CG56" i="67"/>
  <c r="CB56" i="67"/>
  <c r="CC56" i="67" s="1"/>
  <c r="CJ55" i="67"/>
  <c r="CK55" i="67" s="1"/>
  <c r="CF55" i="67"/>
  <c r="CG55" i="67" s="1"/>
  <c r="CB55" i="67"/>
  <c r="CC55" i="67"/>
  <c r="CJ54" i="67"/>
  <c r="CK54" i="67" s="1"/>
  <c r="CF54" i="67"/>
  <c r="CG54" i="67" s="1"/>
  <c r="CB54" i="67"/>
  <c r="CC54" i="67" s="1"/>
  <c r="CJ53" i="67"/>
  <c r="CK53" i="67"/>
  <c r="CF53" i="67"/>
  <c r="CG53" i="67" s="1"/>
  <c r="CB53" i="67"/>
  <c r="CC53" i="67" s="1"/>
  <c r="CJ52" i="67"/>
  <c r="CK52" i="67" s="1"/>
  <c r="CF52" i="67"/>
  <c r="CG52" i="67"/>
  <c r="CB52" i="67"/>
  <c r="CC52" i="67" s="1"/>
  <c r="CJ51" i="67"/>
  <c r="CK51" i="67" s="1"/>
  <c r="CF51" i="67"/>
  <c r="CG51" i="67" s="1"/>
  <c r="CB51" i="67"/>
  <c r="CC51" i="67"/>
  <c r="CJ50" i="67"/>
  <c r="CK50" i="67" s="1"/>
  <c r="CF50" i="67"/>
  <c r="CG50" i="67" s="1"/>
  <c r="CB50" i="67"/>
  <c r="CC50" i="67" s="1"/>
  <c r="CJ49" i="67"/>
  <c r="CK49" i="67"/>
  <c r="CF49" i="67"/>
  <c r="CG49" i="67" s="1"/>
  <c r="CB49" i="67"/>
  <c r="CC49" i="67" s="1"/>
  <c r="CJ48" i="67"/>
  <c r="CK48" i="67" s="1"/>
  <c r="CF48" i="67"/>
  <c r="CG48" i="67"/>
  <c r="CB48" i="67"/>
  <c r="CC48" i="67" s="1"/>
  <c r="CJ47" i="67"/>
  <c r="CK47" i="67" s="1"/>
  <c r="CF47" i="67"/>
  <c r="CG47" i="67" s="1"/>
  <c r="CB47" i="67"/>
  <c r="CC47" i="67"/>
  <c r="CJ46" i="67"/>
  <c r="CK46" i="67" s="1"/>
  <c r="CF46" i="67"/>
  <c r="CG46" i="67" s="1"/>
  <c r="CB46" i="67"/>
  <c r="CC46" i="67" s="1"/>
  <c r="CJ45" i="67"/>
  <c r="CK45" i="67"/>
  <c r="CF45" i="67"/>
  <c r="CG45" i="67" s="1"/>
  <c r="CB45" i="67"/>
  <c r="CC45" i="67" s="1"/>
  <c r="CK44" i="67"/>
  <c r="CG44" i="67"/>
  <c r="CC44" i="67"/>
  <c r="CJ43" i="67"/>
  <c r="CK43" i="67" s="1"/>
  <c r="CF43" i="67"/>
  <c r="CG43" i="67" s="1"/>
  <c r="CB43" i="67"/>
  <c r="CC43" i="67" s="1"/>
  <c r="CJ42" i="67"/>
  <c r="CK42" i="67"/>
  <c r="CF42" i="67"/>
  <c r="CG42" i="67" s="1"/>
  <c r="CB42" i="67"/>
  <c r="CC42" i="67" s="1"/>
  <c r="CK41" i="67"/>
  <c r="CG41" i="67"/>
  <c r="CC41" i="67"/>
  <c r="CJ40" i="67"/>
  <c r="CK40" i="67"/>
  <c r="CF40" i="67"/>
  <c r="CG40" i="67" s="1"/>
  <c r="CB40" i="67"/>
  <c r="CC40" i="67" s="1"/>
  <c r="CJ39" i="67"/>
  <c r="CK39" i="67" s="1"/>
  <c r="CF39" i="67"/>
  <c r="CG39" i="67"/>
  <c r="CB39" i="67"/>
  <c r="CC39" i="67" s="1"/>
  <c r="CJ38" i="67"/>
  <c r="CK38" i="67" s="1"/>
  <c r="CF38" i="67"/>
  <c r="CG38" i="67" s="1"/>
  <c r="CB38" i="67"/>
  <c r="CC38" i="67"/>
  <c r="CJ37" i="67"/>
  <c r="CK37" i="67" s="1"/>
  <c r="CF37" i="67"/>
  <c r="CG37" i="67" s="1"/>
  <c r="CB37" i="67"/>
  <c r="CC37" i="67" s="1"/>
  <c r="CJ36" i="67"/>
  <c r="CK36" i="67"/>
  <c r="CF36" i="67"/>
  <c r="CG36" i="67" s="1"/>
  <c r="CB36" i="67"/>
  <c r="CC36" i="67" s="1"/>
  <c r="CJ34" i="67"/>
  <c r="CK34" i="67" s="1"/>
  <c r="CF34" i="67"/>
  <c r="CG34" i="67"/>
  <c r="CB34" i="67"/>
  <c r="CC34" i="67" s="1"/>
  <c r="CJ33" i="67"/>
  <c r="CK33" i="67" s="1"/>
  <c r="CF33" i="67"/>
  <c r="CG33" i="67" s="1"/>
  <c r="CB33" i="67"/>
  <c r="CC33" i="67"/>
  <c r="CJ32" i="67"/>
  <c r="CK32" i="67" s="1"/>
  <c r="CF32" i="67"/>
  <c r="CG32" i="67" s="1"/>
  <c r="CB32" i="67"/>
  <c r="CC32" i="67" s="1"/>
  <c r="CJ31" i="67"/>
  <c r="CK31" i="67"/>
  <c r="CF31" i="67"/>
  <c r="CG31" i="67" s="1"/>
  <c r="CB31" i="67"/>
  <c r="CC31" i="67" s="1"/>
  <c r="CJ30" i="67"/>
  <c r="CK30" i="67" s="1"/>
  <c r="CF30" i="67"/>
  <c r="CG30" i="67"/>
  <c r="CB30" i="67"/>
  <c r="CC30" i="67" s="1"/>
  <c r="CJ29" i="67"/>
  <c r="CK29" i="67" s="1"/>
  <c r="CF29" i="67"/>
  <c r="CG29" i="67" s="1"/>
  <c r="CB29" i="67"/>
  <c r="CC29" i="67"/>
  <c r="CJ28" i="67"/>
  <c r="CK28" i="67" s="1"/>
  <c r="CF28" i="67"/>
  <c r="CG28" i="67" s="1"/>
  <c r="CB28" i="67"/>
  <c r="CC28" i="67" s="1"/>
  <c r="CJ27" i="67"/>
  <c r="CK27" i="67"/>
  <c r="CF27" i="67"/>
  <c r="CG27" i="67" s="1"/>
  <c r="CB27" i="67"/>
  <c r="CC27" i="67" s="1"/>
  <c r="CJ26" i="67"/>
  <c r="CK26" i="67" s="1"/>
  <c r="CF26" i="67"/>
  <c r="CG26" i="67"/>
  <c r="CB26" i="67"/>
  <c r="CC26" i="67" s="1"/>
  <c r="CJ25" i="67"/>
  <c r="CK25" i="67" s="1"/>
  <c r="CF25" i="67"/>
  <c r="CG25" i="67" s="1"/>
  <c r="CB25" i="67"/>
  <c r="CC25" i="67"/>
  <c r="CK24" i="67"/>
  <c r="CG24" i="67"/>
  <c r="CC24" i="67"/>
  <c r="CJ23" i="67"/>
  <c r="CK23" i="67" s="1"/>
  <c r="CF23" i="67"/>
  <c r="CG23" i="67"/>
  <c r="CB23" i="67"/>
  <c r="CC23" i="67" s="1"/>
  <c r="CJ22" i="67"/>
  <c r="CK22" i="67" s="1"/>
  <c r="CF22" i="67"/>
  <c r="CG22" i="67" s="1"/>
  <c r="CB22" i="67"/>
  <c r="CC22" i="67"/>
  <c r="CK21" i="67"/>
  <c r="CG21" i="67"/>
  <c r="CC21" i="67"/>
  <c r="CJ20" i="67"/>
  <c r="CK20" i="67" s="1"/>
  <c r="CF20" i="67"/>
  <c r="CG20" i="67" s="1"/>
  <c r="CB20" i="67"/>
  <c r="CC20" i="67"/>
  <c r="CJ19" i="67"/>
  <c r="CK19" i="67" s="1"/>
  <c r="CF19" i="67"/>
  <c r="CG19" i="67" s="1"/>
  <c r="CB19" i="67"/>
  <c r="CC19" i="67" s="1"/>
  <c r="CJ18" i="67"/>
  <c r="CK18" i="67"/>
  <c r="CF18" i="67"/>
  <c r="CG18" i="67" s="1"/>
  <c r="CB18" i="67"/>
  <c r="CC18" i="67" s="1"/>
  <c r="CJ17" i="67"/>
  <c r="CK17" i="67" s="1"/>
  <c r="CF17" i="67"/>
  <c r="CG17" i="67"/>
  <c r="CB17" i="67"/>
  <c r="CC17" i="67" s="1"/>
  <c r="CJ16" i="67"/>
  <c r="CK16" i="67" s="1"/>
  <c r="CF16" i="67"/>
  <c r="CG16" i="67" s="1"/>
  <c r="CB16" i="67"/>
  <c r="CC16" i="67"/>
  <c r="CJ15" i="67"/>
  <c r="CK15" i="67" s="1"/>
  <c r="CF15" i="67"/>
  <c r="CG15" i="67" s="1"/>
  <c r="CB15" i="67"/>
  <c r="CC15" i="67" s="1"/>
  <c r="CK14" i="67"/>
  <c r="CG14" i="67"/>
  <c r="CC14" i="67"/>
  <c r="CJ13" i="67"/>
  <c r="CK13" i="67" s="1"/>
  <c r="CF13" i="67"/>
  <c r="CG13" i="67" s="1"/>
  <c r="CB13" i="67"/>
  <c r="CC13" i="67" s="1"/>
  <c r="CJ12" i="67"/>
  <c r="CK12" i="67" s="1"/>
  <c r="CF12" i="67"/>
  <c r="CG12" i="67" s="1"/>
  <c r="CB12" i="67"/>
  <c r="CC12" i="67" s="1"/>
  <c r="CJ11" i="67"/>
  <c r="CK11" i="67" s="1"/>
  <c r="CF11" i="67"/>
  <c r="CG11" i="67" s="1"/>
  <c r="CB11" i="67"/>
  <c r="CC11" i="67" s="1"/>
  <c r="CJ10" i="67"/>
  <c r="CK10" i="67" s="1"/>
  <c r="CF10" i="67"/>
  <c r="CG10" i="67" s="1"/>
  <c r="CB10" i="67"/>
  <c r="CC10" i="67" s="1"/>
  <c r="CJ9" i="67"/>
  <c r="CK9" i="67" s="1"/>
  <c r="CF9" i="67"/>
  <c r="CG9" i="67" s="1"/>
  <c r="CB9" i="67"/>
  <c r="CC9" i="67" s="1"/>
  <c r="CJ8" i="67"/>
  <c r="CK8" i="67" s="1"/>
  <c r="CF8" i="67"/>
  <c r="CG8" i="67" s="1"/>
  <c r="CB8" i="67"/>
  <c r="CC8" i="67" s="1"/>
  <c r="CI7" i="67"/>
  <c r="CH7" i="67"/>
  <c r="CE7" i="67"/>
  <c r="CD7" i="67"/>
  <c r="CA7" i="67"/>
  <c r="BZ7" i="67"/>
  <c r="BT60" i="67"/>
  <c r="BU60" i="67" s="1"/>
  <c r="BP60" i="67"/>
  <c r="BQ60" i="67" s="1"/>
  <c r="BT61" i="67"/>
  <c r="BU61" i="67" s="1"/>
  <c r="BP61" i="67"/>
  <c r="BQ61" i="67"/>
  <c r="BY81" i="67"/>
  <c r="BU81" i="67"/>
  <c r="BQ81" i="67"/>
  <c r="BY80" i="67"/>
  <c r="BU80" i="67"/>
  <c r="BQ80" i="67"/>
  <c r="BX79" i="67"/>
  <c r="BY79" i="67"/>
  <c r="BT79" i="67"/>
  <c r="BU79" i="67" s="1"/>
  <c r="BP79" i="67"/>
  <c r="BQ79" i="67" s="1"/>
  <c r="BY78" i="67"/>
  <c r="BU78" i="67"/>
  <c r="BQ78" i="67"/>
  <c r="BX77" i="67"/>
  <c r="BY77" i="67"/>
  <c r="BT77" i="67"/>
  <c r="BU77" i="67" s="1"/>
  <c r="BP77" i="67"/>
  <c r="BQ77" i="67" s="1"/>
  <c r="BX76" i="67"/>
  <c r="BY76" i="67" s="1"/>
  <c r="BT76" i="67"/>
  <c r="BU76" i="67" s="1"/>
  <c r="BP76" i="67"/>
  <c r="BQ76" i="67" s="1"/>
  <c r="BX75" i="67"/>
  <c r="BY75" i="67"/>
  <c r="BT75" i="67"/>
  <c r="BU75" i="67" s="1"/>
  <c r="BP75" i="67"/>
  <c r="BQ75" i="67" s="1"/>
  <c r="BX74" i="67"/>
  <c r="BY74" i="67" s="1"/>
  <c r="BT74" i="67"/>
  <c r="BU74" i="67"/>
  <c r="BP74" i="67"/>
  <c r="BQ74" i="67" s="1"/>
  <c r="BX73" i="67"/>
  <c r="BY73" i="67" s="1"/>
  <c r="BT73" i="67"/>
  <c r="BU73" i="67" s="1"/>
  <c r="BP73" i="67"/>
  <c r="BQ73" i="67" s="1"/>
  <c r="BX72" i="67"/>
  <c r="BY72" i="67" s="1"/>
  <c r="BT72" i="67"/>
  <c r="BU72" i="67"/>
  <c r="BP72" i="67"/>
  <c r="BQ72" i="67" s="1"/>
  <c r="BX71" i="67"/>
  <c r="BY71" i="67" s="1"/>
  <c r="BT71" i="67"/>
  <c r="BU71" i="67" s="1"/>
  <c r="BP71" i="67"/>
  <c r="BQ71" i="67" s="1"/>
  <c r="BX70" i="67"/>
  <c r="BY70" i="67" s="1"/>
  <c r="BT70" i="67"/>
  <c r="BU70" i="67"/>
  <c r="BP70" i="67"/>
  <c r="BQ70" i="67" s="1"/>
  <c r="BX69" i="67"/>
  <c r="BY69" i="67" s="1"/>
  <c r="BT69" i="67"/>
  <c r="BU69" i="67" s="1"/>
  <c r="BP69" i="67"/>
  <c r="BQ69" i="67"/>
  <c r="BX68" i="67"/>
  <c r="BY68" i="67" s="1"/>
  <c r="BT68" i="67"/>
  <c r="BU68" i="67" s="1"/>
  <c r="BP68" i="67"/>
  <c r="BQ68" i="67" s="1"/>
  <c r="BX67" i="67"/>
  <c r="BY67" i="67" s="1"/>
  <c r="BT67" i="67"/>
  <c r="BU67" i="67" s="1"/>
  <c r="BP67" i="67"/>
  <c r="BQ67" i="67"/>
  <c r="BX66" i="67"/>
  <c r="BY66" i="67" s="1"/>
  <c r="BT66" i="67"/>
  <c r="BU66" i="67" s="1"/>
  <c r="BP66" i="67"/>
  <c r="BQ66" i="67" s="1"/>
  <c r="BX65" i="67"/>
  <c r="BY65" i="67" s="1"/>
  <c r="BT65" i="67"/>
  <c r="BU65" i="67" s="1"/>
  <c r="BP65" i="67"/>
  <c r="BQ65" i="67"/>
  <c r="BX64" i="67"/>
  <c r="BY64" i="67" s="1"/>
  <c r="BT64" i="67"/>
  <c r="BU64" i="67" s="1"/>
  <c r="BP64" i="67"/>
  <c r="BQ64" i="67" s="1"/>
  <c r="BX63" i="67"/>
  <c r="BY63" i="67"/>
  <c r="BT63" i="67"/>
  <c r="BU63" i="67" s="1"/>
  <c r="BP63" i="67"/>
  <c r="BQ63" i="67" s="1"/>
  <c r="BX62" i="67"/>
  <c r="BY62" i="67" s="1"/>
  <c r="BT62" i="67"/>
  <c r="BU62" i="67" s="1"/>
  <c r="BP62" i="67"/>
  <c r="BQ62" i="67" s="1"/>
  <c r="BX61" i="67"/>
  <c r="BY61" i="67"/>
  <c r="BX60" i="67"/>
  <c r="BY60" i="67" s="1"/>
  <c r="BX59" i="67"/>
  <c r="BY59" i="67" s="1"/>
  <c r="BT59" i="67"/>
  <c r="BU59" i="67" s="1"/>
  <c r="BP59" i="67"/>
  <c r="BQ59" i="67" s="1"/>
  <c r="BX58" i="67"/>
  <c r="BY58" i="67" s="1"/>
  <c r="BT58" i="67"/>
  <c r="BU58" i="67"/>
  <c r="BP58" i="67"/>
  <c r="BQ58" i="67" s="1"/>
  <c r="BX57" i="67"/>
  <c r="BY57" i="67" s="1"/>
  <c r="BT57" i="67"/>
  <c r="BU57" i="67" s="1"/>
  <c r="BP57" i="67"/>
  <c r="BQ57" i="67"/>
  <c r="BX56" i="67"/>
  <c r="BY56" i="67" s="1"/>
  <c r="BT56" i="67"/>
  <c r="BU56" i="67" s="1"/>
  <c r="BP56" i="67"/>
  <c r="BQ56" i="67" s="1"/>
  <c r="BX55" i="67"/>
  <c r="BY55" i="67" s="1"/>
  <c r="BT55" i="67"/>
  <c r="BU55" i="67" s="1"/>
  <c r="BP55" i="67"/>
  <c r="BQ55" i="67"/>
  <c r="BX54" i="67"/>
  <c r="BY54" i="67" s="1"/>
  <c r="BT54" i="67"/>
  <c r="BU54" i="67" s="1"/>
  <c r="BP54" i="67"/>
  <c r="BQ54" i="67" s="1"/>
  <c r="BX53" i="67"/>
  <c r="BY53" i="67" s="1"/>
  <c r="BT53" i="67"/>
  <c r="BU53" i="67" s="1"/>
  <c r="BP53" i="67"/>
  <c r="BQ53" i="67"/>
  <c r="BX52" i="67"/>
  <c r="BY52" i="67" s="1"/>
  <c r="BT52" i="67"/>
  <c r="BU52" i="67" s="1"/>
  <c r="BP52" i="67"/>
  <c r="BQ52" i="67" s="1"/>
  <c r="BX51" i="67"/>
  <c r="BY51" i="67"/>
  <c r="BT51" i="67"/>
  <c r="BU51" i="67" s="1"/>
  <c r="BP51" i="67"/>
  <c r="BQ51" i="67" s="1"/>
  <c r="BX50" i="67"/>
  <c r="BY50" i="67" s="1"/>
  <c r="BT50" i="67"/>
  <c r="BU50" i="67" s="1"/>
  <c r="BP50" i="67"/>
  <c r="BQ50" i="67" s="1"/>
  <c r="BX49" i="67"/>
  <c r="BY49" i="67"/>
  <c r="BT49" i="67"/>
  <c r="BU49" i="67" s="1"/>
  <c r="BP49" i="67"/>
  <c r="BQ49" i="67" s="1"/>
  <c r="BX48" i="67"/>
  <c r="BY48" i="67" s="1"/>
  <c r="BT48" i="67"/>
  <c r="BU48" i="67" s="1"/>
  <c r="BP48" i="67"/>
  <c r="BQ48" i="67" s="1"/>
  <c r="BX47" i="67"/>
  <c r="BY47" i="67"/>
  <c r="BT47" i="67"/>
  <c r="BU47" i="67" s="1"/>
  <c r="BP47" i="67"/>
  <c r="BQ47" i="67" s="1"/>
  <c r="BX46" i="67"/>
  <c r="BY46" i="67" s="1"/>
  <c r="BT46" i="67"/>
  <c r="BU46" i="67"/>
  <c r="BP46" i="67"/>
  <c r="BQ46" i="67"/>
  <c r="BX45" i="67"/>
  <c r="BY45" i="67"/>
  <c r="BT45" i="67"/>
  <c r="BU45" i="67"/>
  <c r="BP45" i="67"/>
  <c r="BQ45" i="67"/>
  <c r="BY44" i="67"/>
  <c r="BU44" i="67"/>
  <c r="BQ44" i="67"/>
  <c r="BX43" i="67"/>
  <c r="BY43" i="67" s="1"/>
  <c r="BT43" i="67"/>
  <c r="BU43" i="67" s="1"/>
  <c r="BP43" i="67"/>
  <c r="BQ43" i="67" s="1"/>
  <c r="BX42" i="67"/>
  <c r="BY42" i="67" s="1"/>
  <c r="BT42" i="67"/>
  <c r="BU42" i="67"/>
  <c r="BP42" i="67"/>
  <c r="BQ42" i="67" s="1"/>
  <c r="BY41" i="67"/>
  <c r="BU41" i="67"/>
  <c r="BQ41" i="67"/>
  <c r="BX40" i="67"/>
  <c r="BY40" i="67" s="1"/>
  <c r="BT40" i="67"/>
  <c r="BU40" i="67" s="1"/>
  <c r="BP40" i="67"/>
  <c r="BQ40" i="67" s="1"/>
  <c r="BX39" i="67"/>
  <c r="BY39" i="67"/>
  <c r="BT39" i="67"/>
  <c r="BU39" i="67" s="1"/>
  <c r="BP39" i="67"/>
  <c r="BQ39" i="67" s="1"/>
  <c r="BX38" i="67"/>
  <c r="BY38" i="67" s="1"/>
  <c r="BT38" i="67"/>
  <c r="BU38" i="67"/>
  <c r="BP38" i="67"/>
  <c r="BQ38" i="67" s="1"/>
  <c r="BX37" i="67"/>
  <c r="BY37" i="67" s="1"/>
  <c r="BT37" i="67"/>
  <c r="BU37" i="67" s="1"/>
  <c r="BP37" i="67"/>
  <c r="BQ37" i="67"/>
  <c r="BX36" i="67"/>
  <c r="BY36" i="67" s="1"/>
  <c r="BT36" i="67"/>
  <c r="BU36" i="67" s="1"/>
  <c r="BP36" i="67"/>
  <c r="BQ36" i="67" s="1"/>
  <c r="BX34" i="67"/>
  <c r="BY34" i="67"/>
  <c r="BT34" i="67"/>
  <c r="BU34" i="67" s="1"/>
  <c r="BP34" i="67"/>
  <c r="BQ34" i="67" s="1"/>
  <c r="BX33" i="67"/>
  <c r="BY33" i="67" s="1"/>
  <c r="BT33" i="67"/>
  <c r="BU33" i="67" s="1"/>
  <c r="BP33" i="67"/>
  <c r="BQ33" i="67" s="1"/>
  <c r="BX32" i="67"/>
  <c r="BY32" i="67" s="1"/>
  <c r="BT32" i="67"/>
  <c r="BU32" i="67" s="1"/>
  <c r="BP32" i="67"/>
  <c r="BQ32" i="67" s="1"/>
  <c r="BX31" i="67"/>
  <c r="BY31" i="67" s="1"/>
  <c r="BT31" i="67"/>
  <c r="BU31" i="67" s="1"/>
  <c r="BP31" i="67"/>
  <c r="BQ31" i="67" s="1"/>
  <c r="BX30" i="67"/>
  <c r="BY30" i="67" s="1"/>
  <c r="BT30" i="67"/>
  <c r="BU30" i="67" s="1"/>
  <c r="BP30" i="67"/>
  <c r="BQ30" i="67" s="1"/>
  <c r="BX29" i="67"/>
  <c r="BY29" i="67" s="1"/>
  <c r="BT29" i="67"/>
  <c r="BU29" i="67" s="1"/>
  <c r="BP29" i="67"/>
  <c r="BQ29" i="67" s="1"/>
  <c r="BX28" i="67"/>
  <c r="BY28" i="67" s="1"/>
  <c r="BT28" i="67"/>
  <c r="BU28" i="67" s="1"/>
  <c r="BP28" i="67"/>
  <c r="BQ28" i="67" s="1"/>
  <c r="BX27" i="67"/>
  <c r="BY27" i="67" s="1"/>
  <c r="BT27" i="67"/>
  <c r="BU27" i="67" s="1"/>
  <c r="BP27" i="67"/>
  <c r="BQ27" i="67" s="1"/>
  <c r="BX26" i="67"/>
  <c r="BY26" i="67" s="1"/>
  <c r="BT26" i="67"/>
  <c r="BU26" i="67" s="1"/>
  <c r="BP26" i="67"/>
  <c r="BQ26" i="67" s="1"/>
  <c r="BX25" i="67"/>
  <c r="BY25" i="67" s="1"/>
  <c r="BT25" i="67"/>
  <c r="BU25" i="67" s="1"/>
  <c r="BP25" i="67"/>
  <c r="BQ25" i="67" s="1"/>
  <c r="BY24" i="67"/>
  <c r="BU24" i="67"/>
  <c r="BQ24" i="67"/>
  <c r="BX23" i="67"/>
  <c r="BY23" i="67" s="1"/>
  <c r="BT23" i="67"/>
  <c r="BU23" i="67" s="1"/>
  <c r="BP23" i="67"/>
  <c r="BQ23" i="67" s="1"/>
  <c r="BX22" i="67"/>
  <c r="BY22" i="67" s="1"/>
  <c r="BT22" i="67"/>
  <c r="BU22" i="67" s="1"/>
  <c r="BP22" i="67"/>
  <c r="BQ22" i="67" s="1"/>
  <c r="BY21" i="67"/>
  <c r="BU21" i="67"/>
  <c r="BQ21" i="67"/>
  <c r="BX20" i="67"/>
  <c r="BY20" i="67" s="1"/>
  <c r="BT20" i="67"/>
  <c r="BU20" i="67" s="1"/>
  <c r="BP20" i="67"/>
  <c r="BQ20" i="67" s="1"/>
  <c r="BX19" i="67"/>
  <c r="BY19" i="67" s="1"/>
  <c r="BT19" i="67"/>
  <c r="BU19" i="67" s="1"/>
  <c r="BP19" i="67"/>
  <c r="BQ19" i="67" s="1"/>
  <c r="BX18" i="67"/>
  <c r="BY18" i="67" s="1"/>
  <c r="BT18" i="67"/>
  <c r="BU18" i="67" s="1"/>
  <c r="BP18" i="67"/>
  <c r="BQ18" i="67" s="1"/>
  <c r="BX17" i="67"/>
  <c r="BY17" i="67" s="1"/>
  <c r="BT17" i="67"/>
  <c r="BU17" i="67" s="1"/>
  <c r="BP17" i="67"/>
  <c r="BQ17" i="67" s="1"/>
  <c r="BX16" i="67"/>
  <c r="BY16" i="67" s="1"/>
  <c r="BT16" i="67"/>
  <c r="BU16" i="67" s="1"/>
  <c r="BP16" i="67"/>
  <c r="BQ16" i="67" s="1"/>
  <c r="BX15" i="67"/>
  <c r="BY15" i="67" s="1"/>
  <c r="BT15" i="67"/>
  <c r="BU15" i="67" s="1"/>
  <c r="BP15" i="67"/>
  <c r="BQ15" i="67" s="1"/>
  <c r="BY14" i="67"/>
  <c r="BU14" i="67"/>
  <c r="BQ14" i="67"/>
  <c r="BX13" i="67"/>
  <c r="BY13" i="67" s="1"/>
  <c r="BT13" i="67"/>
  <c r="BU13" i="67" s="1"/>
  <c r="BP13" i="67"/>
  <c r="BQ13" i="67" s="1"/>
  <c r="BX12" i="67"/>
  <c r="BY12" i="67" s="1"/>
  <c r="BT12" i="67"/>
  <c r="BU12" i="67" s="1"/>
  <c r="BP12" i="67"/>
  <c r="BQ12" i="67" s="1"/>
  <c r="BX11" i="67"/>
  <c r="BY11" i="67" s="1"/>
  <c r="BT11" i="67"/>
  <c r="BU11" i="67" s="1"/>
  <c r="BP11" i="67"/>
  <c r="BQ11" i="67" s="1"/>
  <c r="BX10" i="67"/>
  <c r="BY10" i="67" s="1"/>
  <c r="BT10" i="67"/>
  <c r="BU10" i="67" s="1"/>
  <c r="BP10" i="67"/>
  <c r="BQ10" i="67" s="1"/>
  <c r="BX9" i="67"/>
  <c r="BY9" i="67" s="1"/>
  <c r="BT9" i="67"/>
  <c r="BU9" i="67" s="1"/>
  <c r="BP9" i="67"/>
  <c r="BQ9" i="67" s="1"/>
  <c r="BX8" i="67"/>
  <c r="BY8" i="67" s="1"/>
  <c r="BT8" i="67"/>
  <c r="BU8" i="67" s="1"/>
  <c r="BP8" i="67"/>
  <c r="BQ8" i="67" s="1"/>
  <c r="BW7" i="67"/>
  <c r="BV7" i="67"/>
  <c r="BS7" i="67"/>
  <c r="BR7" i="67"/>
  <c r="BO7" i="67"/>
  <c r="BN7" i="67"/>
  <c r="BH59" i="67"/>
  <c r="BI59" i="67" s="1"/>
  <c r="BD59" i="67"/>
  <c r="BE59" i="67" s="1"/>
  <c r="BH60" i="67"/>
  <c r="BI60" i="67" s="1"/>
  <c r="BD60" i="67"/>
  <c r="BE60" i="67" s="1"/>
  <c r="BM81" i="67"/>
  <c r="BI81" i="67"/>
  <c r="BE81" i="67"/>
  <c r="BM80" i="67"/>
  <c r="BI80" i="67"/>
  <c r="BE80" i="67"/>
  <c r="BL79" i="67"/>
  <c r="BM79" i="67" s="1"/>
  <c r="BH79" i="67"/>
  <c r="BI79" i="67" s="1"/>
  <c r="BD79" i="67"/>
  <c r="BE79" i="67" s="1"/>
  <c r="BM78" i="67"/>
  <c r="BI78" i="67"/>
  <c r="BE78" i="67"/>
  <c r="BL77" i="67"/>
  <c r="BM77" i="67" s="1"/>
  <c r="BH77" i="67"/>
  <c r="BI77" i="67" s="1"/>
  <c r="BD77" i="67"/>
  <c r="BE77" i="67" s="1"/>
  <c r="BL76" i="67"/>
  <c r="BM76" i="67" s="1"/>
  <c r="BH76" i="67"/>
  <c r="BI76" i="67" s="1"/>
  <c r="BD76" i="67"/>
  <c r="BE76" i="67" s="1"/>
  <c r="BL75" i="67"/>
  <c r="BM75" i="67" s="1"/>
  <c r="BH75" i="67"/>
  <c r="BI75" i="67" s="1"/>
  <c r="BD75" i="67"/>
  <c r="BE75" i="67" s="1"/>
  <c r="BL74" i="67"/>
  <c r="BM74" i="67" s="1"/>
  <c r="BH74" i="67"/>
  <c r="BI74" i="67" s="1"/>
  <c r="BD74" i="67"/>
  <c r="BE74" i="67" s="1"/>
  <c r="BL73" i="67"/>
  <c r="BM73" i="67" s="1"/>
  <c r="BH73" i="67"/>
  <c r="BI73" i="67" s="1"/>
  <c r="BD73" i="67"/>
  <c r="BE73" i="67" s="1"/>
  <c r="BL72" i="67"/>
  <c r="BM72" i="67" s="1"/>
  <c r="BH72" i="67"/>
  <c r="BI72" i="67" s="1"/>
  <c r="BD72" i="67"/>
  <c r="BE72" i="67" s="1"/>
  <c r="BL71" i="67"/>
  <c r="BM71" i="67" s="1"/>
  <c r="BH71" i="67"/>
  <c r="BI71" i="67" s="1"/>
  <c r="BD71" i="67"/>
  <c r="BE71" i="67" s="1"/>
  <c r="BL70" i="67"/>
  <c r="BM70" i="67" s="1"/>
  <c r="BH70" i="67"/>
  <c r="BI70" i="67" s="1"/>
  <c r="BD70" i="67"/>
  <c r="BE70" i="67" s="1"/>
  <c r="BL69" i="67"/>
  <c r="BM69" i="67" s="1"/>
  <c r="BH69" i="67"/>
  <c r="BI69" i="67" s="1"/>
  <c r="BD69" i="67"/>
  <c r="BE69" i="67" s="1"/>
  <c r="BL68" i="67"/>
  <c r="BM68" i="67" s="1"/>
  <c r="BH68" i="67"/>
  <c r="BI68" i="67" s="1"/>
  <c r="BD68" i="67"/>
  <c r="BE68" i="67" s="1"/>
  <c r="BL67" i="67"/>
  <c r="BM67" i="67" s="1"/>
  <c r="BH67" i="67"/>
  <c r="BI67" i="67" s="1"/>
  <c r="BD67" i="67"/>
  <c r="BE67" i="67" s="1"/>
  <c r="BL66" i="67"/>
  <c r="BM66" i="67" s="1"/>
  <c r="BH66" i="67"/>
  <c r="BI66" i="67" s="1"/>
  <c r="BD66" i="67"/>
  <c r="BE66" i="67" s="1"/>
  <c r="BL65" i="67"/>
  <c r="BM65" i="67" s="1"/>
  <c r="BH65" i="67"/>
  <c r="BI65" i="67" s="1"/>
  <c r="BD65" i="67"/>
  <c r="BE65" i="67" s="1"/>
  <c r="BL64" i="67"/>
  <c r="BM64" i="67" s="1"/>
  <c r="BH64" i="67"/>
  <c r="BI64" i="67" s="1"/>
  <c r="BD64" i="67"/>
  <c r="BE64" i="67" s="1"/>
  <c r="BL63" i="67"/>
  <c r="BM63" i="67" s="1"/>
  <c r="BH63" i="67"/>
  <c r="BI63" i="67" s="1"/>
  <c r="BD63" i="67"/>
  <c r="BE63" i="67" s="1"/>
  <c r="BL62" i="67"/>
  <c r="BM62" i="67" s="1"/>
  <c r="BH62" i="67"/>
  <c r="BI62" i="67" s="1"/>
  <c r="BD62" i="67"/>
  <c r="BE62" i="67" s="1"/>
  <c r="BL61" i="67"/>
  <c r="BM61" i="67" s="1"/>
  <c r="BH61" i="67"/>
  <c r="BI61" i="67" s="1"/>
  <c r="BD61" i="67"/>
  <c r="BE61" i="67" s="1"/>
  <c r="BL60" i="67"/>
  <c r="BM60" i="67" s="1"/>
  <c r="BL59" i="67"/>
  <c r="BM59" i="67" s="1"/>
  <c r="BL58" i="67"/>
  <c r="BM58" i="67" s="1"/>
  <c r="BH58" i="67"/>
  <c r="BI58" i="67" s="1"/>
  <c r="BD58" i="67"/>
  <c r="BE58" i="67" s="1"/>
  <c r="BL57" i="67"/>
  <c r="BM57" i="67" s="1"/>
  <c r="BH57" i="67"/>
  <c r="BI57" i="67" s="1"/>
  <c r="BD57" i="67"/>
  <c r="BE57" i="67" s="1"/>
  <c r="BL56" i="67"/>
  <c r="BM56" i="67" s="1"/>
  <c r="BH56" i="67"/>
  <c r="BI56" i="67" s="1"/>
  <c r="BD56" i="67"/>
  <c r="BE56" i="67" s="1"/>
  <c r="BL55" i="67"/>
  <c r="BM55" i="67" s="1"/>
  <c r="BH55" i="67"/>
  <c r="BI55" i="67" s="1"/>
  <c r="BD55" i="67"/>
  <c r="BE55" i="67" s="1"/>
  <c r="BL54" i="67"/>
  <c r="BM54" i="67" s="1"/>
  <c r="BH54" i="67"/>
  <c r="BI54" i="67" s="1"/>
  <c r="BD54" i="67"/>
  <c r="BE54" i="67" s="1"/>
  <c r="BL53" i="67"/>
  <c r="BM53" i="67" s="1"/>
  <c r="BH53" i="67"/>
  <c r="BI53" i="67" s="1"/>
  <c r="BD53" i="67"/>
  <c r="BE53" i="67" s="1"/>
  <c r="BL52" i="67"/>
  <c r="BM52" i="67" s="1"/>
  <c r="BH52" i="67"/>
  <c r="BI52" i="67" s="1"/>
  <c r="BD52" i="67"/>
  <c r="BE52" i="67" s="1"/>
  <c r="BL51" i="67"/>
  <c r="BM51" i="67" s="1"/>
  <c r="BH51" i="67"/>
  <c r="BI51" i="67" s="1"/>
  <c r="BD51" i="67"/>
  <c r="BE51" i="67" s="1"/>
  <c r="BL50" i="67"/>
  <c r="BM50" i="67" s="1"/>
  <c r="BH50" i="67"/>
  <c r="BI50" i="67" s="1"/>
  <c r="BD50" i="67"/>
  <c r="BE50" i="67" s="1"/>
  <c r="BL49" i="67"/>
  <c r="BM49" i="67" s="1"/>
  <c r="BH49" i="67"/>
  <c r="BI49" i="67" s="1"/>
  <c r="BD49" i="67"/>
  <c r="BE49" i="67" s="1"/>
  <c r="BL48" i="67"/>
  <c r="BM48" i="67" s="1"/>
  <c r="BH48" i="67"/>
  <c r="BI48" i="67" s="1"/>
  <c r="BD48" i="67"/>
  <c r="BE48" i="67" s="1"/>
  <c r="BL47" i="67"/>
  <c r="BM47" i="67" s="1"/>
  <c r="BH47" i="67"/>
  <c r="BI47" i="67" s="1"/>
  <c r="BD47" i="67"/>
  <c r="BE47" i="67" s="1"/>
  <c r="BL46" i="67"/>
  <c r="BM46" i="67" s="1"/>
  <c r="BH46" i="67"/>
  <c r="BI46" i="67" s="1"/>
  <c r="BD46" i="67"/>
  <c r="BE46" i="67" s="1"/>
  <c r="BL45" i="67"/>
  <c r="BM45" i="67" s="1"/>
  <c r="BH45" i="67"/>
  <c r="BI45" i="67" s="1"/>
  <c r="BD45" i="67"/>
  <c r="BE45" i="67" s="1"/>
  <c r="BM44" i="67"/>
  <c r="BI44" i="67"/>
  <c r="BE44" i="67"/>
  <c r="BL43" i="67"/>
  <c r="BM43" i="67" s="1"/>
  <c r="BH43" i="67"/>
  <c r="BI43" i="67" s="1"/>
  <c r="BD43" i="67"/>
  <c r="BE43" i="67" s="1"/>
  <c r="BL42" i="67"/>
  <c r="BM42" i="67" s="1"/>
  <c r="BH42" i="67"/>
  <c r="BI42" i="67" s="1"/>
  <c r="BD42" i="67"/>
  <c r="BE42" i="67" s="1"/>
  <c r="BM41" i="67"/>
  <c r="BI41" i="67"/>
  <c r="BE41" i="67"/>
  <c r="BL40" i="67"/>
  <c r="BM40" i="67" s="1"/>
  <c r="BH40" i="67"/>
  <c r="BI40" i="67" s="1"/>
  <c r="BD40" i="67"/>
  <c r="BE40" i="67" s="1"/>
  <c r="BL39" i="67"/>
  <c r="BM39" i="67" s="1"/>
  <c r="BH39" i="67"/>
  <c r="BI39" i="67" s="1"/>
  <c r="BD39" i="67"/>
  <c r="BE39" i="67" s="1"/>
  <c r="BL38" i="67"/>
  <c r="BM38" i="67" s="1"/>
  <c r="BH38" i="67"/>
  <c r="BI38" i="67" s="1"/>
  <c r="BD38" i="67"/>
  <c r="BE38" i="67" s="1"/>
  <c r="BL37" i="67"/>
  <c r="BM37" i="67" s="1"/>
  <c r="BH37" i="67"/>
  <c r="BI37" i="67" s="1"/>
  <c r="BD37" i="67"/>
  <c r="BE37" i="67" s="1"/>
  <c r="BL36" i="67"/>
  <c r="BM36" i="67" s="1"/>
  <c r="BH36" i="67"/>
  <c r="BI36" i="67" s="1"/>
  <c r="BD36" i="67"/>
  <c r="BE36" i="67"/>
  <c r="BL35" i="67"/>
  <c r="BM35" i="67"/>
  <c r="BH35" i="67"/>
  <c r="BI35" i="67"/>
  <c r="BD35" i="67"/>
  <c r="BE35" i="67"/>
  <c r="BL34" i="67"/>
  <c r="BM34" i="67"/>
  <c r="BH34" i="67"/>
  <c r="BI34" i="67"/>
  <c r="BD34" i="67"/>
  <c r="BE34" i="67"/>
  <c r="BL33" i="67"/>
  <c r="BM33" i="67" s="1"/>
  <c r="BH33" i="67"/>
  <c r="BI33" i="67" s="1"/>
  <c r="BD33" i="67"/>
  <c r="BE33" i="67" s="1"/>
  <c r="BL32" i="67"/>
  <c r="BM32" i="67" s="1"/>
  <c r="BH32" i="67"/>
  <c r="BI32" i="67" s="1"/>
  <c r="BD32" i="67"/>
  <c r="BE32" i="67"/>
  <c r="BL31" i="67"/>
  <c r="BM31" i="67"/>
  <c r="BH31" i="67"/>
  <c r="BI31" i="67"/>
  <c r="BD31" i="67"/>
  <c r="BE31" i="67" s="1"/>
  <c r="BL30" i="67"/>
  <c r="BM30" i="67" s="1"/>
  <c r="BH30" i="67"/>
  <c r="BI30" i="67" s="1"/>
  <c r="BD30" i="67"/>
  <c r="BE30" i="67" s="1"/>
  <c r="BL29" i="67"/>
  <c r="BM29" i="67" s="1"/>
  <c r="BH29" i="67"/>
  <c r="BI29" i="67"/>
  <c r="BD29" i="67"/>
  <c r="BE29" i="67"/>
  <c r="BL28" i="67"/>
  <c r="BM28" i="67"/>
  <c r="BH28" i="67"/>
  <c r="BI28" i="67" s="1"/>
  <c r="BD28" i="67"/>
  <c r="BE28" i="67" s="1"/>
  <c r="BL27" i="67"/>
  <c r="BM27" i="67" s="1"/>
  <c r="BH27" i="67"/>
  <c r="BI27" i="67" s="1"/>
  <c r="BD27" i="67"/>
  <c r="BE27" i="67" s="1"/>
  <c r="BL26" i="67"/>
  <c r="BM26" i="67"/>
  <c r="BH26" i="67"/>
  <c r="BI26" i="67"/>
  <c r="BD26" i="67"/>
  <c r="BE26" i="67"/>
  <c r="BL25" i="67"/>
  <c r="BM25" i="67" s="1"/>
  <c r="BH25" i="67"/>
  <c r="BI25" i="67" s="1"/>
  <c r="BD25" i="67"/>
  <c r="BE25" i="67" s="1"/>
  <c r="BM24" i="67"/>
  <c r="BI24" i="67"/>
  <c r="BE24" i="67"/>
  <c r="BL23" i="67"/>
  <c r="BM23" i="67" s="1"/>
  <c r="BH23" i="67"/>
  <c r="BI23" i="67" s="1"/>
  <c r="BD23" i="67"/>
  <c r="BE23" i="67" s="1"/>
  <c r="BL22" i="67"/>
  <c r="BM22" i="67" s="1"/>
  <c r="BH22" i="67"/>
  <c r="BI22" i="67" s="1"/>
  <c r="BD22" i="67"/>
  <c r="BE22" i="67" s="1"/>
  <c r="BM21" i="67"/>
  <c r="BI21" i="67"/>
  <c r="BE21" i="67"/>
  <c r="BL20" i="67"/>
  <c r="BM20" i="67" s="1"/>
  <c r="BH20" i="67"/>
  <c r="BI20" i="67"/>
  <c r="BD20" i="67"/>
  <c r="BE20" i="67"/>
  <c r="BL19" i="67"/>
  <c r="BM19" i="67"/>
  <c r="BH19" i="67"/>
  <c r="BI19" i="67" s="1"/>
  <c r="BD19" i="67"/>
  <c r="BE19" i="67" s="1"/>
  <c r="BL18" i="67"/>
  <c r="BM18" i="67" s="1"/>
  <c r="BH18" i="67"/>
  <c r="BI18" i="67" s="1"/>
  <c r="BD18" i="67"/>
  <c r="BE18" i="67" s="1"/>
  <c r="BL17" i="67"/>
  <c r="BM17" i="67"/>
  <c r="BH17" i="67"/>
  <c r="BI17" i="67"/>
  <c r="BD17" i="67"/>
  <c r="BE17" i="67"/>
  <c r="BL16" i="67"/>
  <c r="BM16" i="67" s="1"/>
  <c r="BH16" i="67"/>
  <c r="BI16" i="67" s="1"/>
  <c r="BD16" i="67"/>
  <c r="BE16" i="67" s="1"/>
  <c r="BL15" i="67"/>
  <c r="BM15" i="67" s="1"/>
  <c r="BH15" i="67"/>
  <c r="BI15" i="67" s="1"/>
  <c r="BD15" i="67"/>
  <c r="BE15" i="67"/>
  <c r="BM14" i="67"/>
  <c r="BI14" i="67"/>
  <c r="BE14" i="67"/>
  <c r="BL13" i="67"/>
  <c r="BM13" i="67" s="1"/>
  <c r="BH13" i="67"/>
  <c r="BI13" i="67" s="1"/>
  <c r="BD13" i="67"/>
  <c r="BE13" i="67" s="1"/>
  <c r="BL12" i="67"/>
  <c r="BM12" i="67" s="1"/>
  <c r="BH12" i="67"/>
  <c r="BI12" i="67" s="1"/>
  <c r="BD12" i="67"/>
  <c r="BE12" i="67" s="1"/>
  <c r="BL11" i="67"/>
  <c r="BM11" i="67" s="1"/>
  <c r="BH11" i="67"/>
  <c r="BI11" i="67" s="1"/>
  <c r="BD11" i="67"/>
  <c r="BE11" i="67" s="1"/>
  <c r="BL10" i="67"/>
  <c r="BM10" i="67" s="1"/>
  <c r="BH10" i="67"/>
  <c r="BI10" i="67" s="1"/>
  <c r="BD10" i="67"/>
  <c r="BE10" i="67" s="1"/>
  <c r="BL9" i="67"/>
  <c r="BM9" i="67" s="1"/>
  <c r="BH9" i="67"/>
  <c r="BI9" i="67" s="1"/>
  <c r="BD9" i="67"/>
  <c r="BE9" i="67" s="1"/>
  <c r="BL8" i="67"/>
  <c r="BM8" i="67" s="1"/>
  <c r="BH8" i="67"/>
  <c r="BI8" i="67" s="1"/>
  <c r="BD8" i="67"/>
  <c r="BE8" i="67" s="1"/>
  <c r="BK7" i="67"/>
  <c r="BJ7" i="67"/>
  <c r="BG7" i="67"/>
  <c r="BF7" i="67"/>
  <c r="BC7" i="67"/>
  <c r="BB7" i="67"/>
  <c r="AV58" i="67"/>
  <c r="AW58" i="67" s="1"/>
  <c r="AR58" i="67"/>
  <c r="AS58" i="67" s="1"/>
  <c r="AV59" i="67"/>
  <c r="AW59" i="67" s="1"/>
  <c r="AR59" i="67"/>
  <c r="AS59" i="67" s="1"/>
  <c r="BA81" i="67"/>
  <c r="AW81" i="67"/>
  <c r="AS81" i="67"/>
  <c r="BA80" i="67"/>
  <c r="AW80" i="67"/>
  <c r="AS80" i="67"/>
  <c r="AZ79" i="67"/>
  <c r="BA79" i="67" s="1"/>
  <c r="AV79" i="67"/>
  <c r="AW79" i="67" s="1"/>
  <c r="AR79" i="67"/>
  <c r="AS79" i="67" s="1"/>
  <c r="BA78" i="67"/>
  <c r="AW78" i="67"/>
  <c r="AS78" i="67"/>
  <c r="AZ77" i="67"/>
  <c r="BA77" i="67" s="1"/>
  <c r="AV77" i="67"/>
  <c r="AW77" i="67" s="1"/>
  <c r="AR77" i="67"/>
  <c r="AS77" i="67" s="1"/>
  <c r="AZ76" i="67"/>
  <c r="BA76" i="67" s="1"/>
  <c r="AV76" i="67"/>
  <c r="AW76" i="67" s="1"/>
  <c r="AR76" i="67"/>
  <c r="AS76" i="67" s="1"/>
  <c r="AZ75" i="67"/>
  <c r="BA75" i="67" s="1"/>
  <c r="AV75" i="67"/>
  <c r="AW75" i="67" s="1"/>
  <c r="AR75" i="67"/>
  <c r="AS75" i="67" s="1"/>
  <c r="AZ74" i="67"/>
  <c r="BA74" i="67" s="1"/>
  <c r="AV74" i="67"/>
  <c r="AW74" i="67" s="1"/>
  <c r="AR74" i="67"/>
  <c r="AS74" i="67" s="1"/>
  <c r="AZ73" i="67"/>
  <c r="BA73" i="67" s="1"/>
  <c r="AV73" i="67"/>
  <c r="AW73" i="67"/>
  <c r="AR73" i="67"/>
  <c r="AS73" i="67"/>
  <c r="AZ72" i="67"/>
  <c r="BA72" i="67"/>
  <c r="AV72" i="67"/>
  <c r="AW72" i="67"/>
  <c r="AR72" i="67"/>
  <c r="AS72" i="67"/>
  <c r="AZ71" i="67"/>
  <c r="BA71" i="67"/>
  <c r="AV71" i="67"/>
  <c r="AW71" i="67"/>
  <c r="AR71" i="67"/>
  <c r="AS71" i="67"/>
  <c r="AZ70" i="67"/>
  <c r="BA70" i="67"/>
  <c r="AV70" i="67"/>
  <c r="AW70" i="67"/>
  <c r="AR70" i="67"/>
  <c r="AS70" i="67"/>
  <c r="AZ69" i="67"/>
  <c r="BA69" i="67" s="1"/>
  <c r="AV69" i="67"/>
  <c r="AW69" i="67" s="1"/>
  <c r="AR69" i="67"/>
  <c r="AS69" i="67" s="1"/>
  <c r="AZ68" i="67"/>
  <c r="BA68" i="67" s="1"/>
  <c r="AV68" i="67"/>
  <c r="AW68" i="67" s="1"/>
  <c r="AR68" i="67"/>
  <c r="AS68" i="67" s="1"/>
  <c r="AZ67" i="67"/>
  <c r="BA67" i="67" s="1"/>
  <c r="AV67" i="67"/>
  <c r="AW67" i="67" s="1"/>
  <c r="AR67" i="67"/>
  <c r="AS67" i="67" s="1"/>
  <c r="AZ66" i="67"/>
  <c r="BA66" i="67" s="1"/>
  <c r="AV66" i="67"/>
  <c r="AW66" i="67" s="1"/>
  <c r="AR66" i="67"/>
  <c r="AS66" i="67" s="1"/>
  <c r="AZ65" i="67"/>
  <c r="BA65" i="67" s="1"/>
  <c r="AV65" i="67"/>
  <c r="AW65" i="67"/>
  <c r="AR65" i="67"/>
  <c r="AS65" i="67"/>
  <c r="AZ64" i="67"/>
  <c r="BA64" i="67"/>
  <c r="AV64" i="67"/>
  <c r="AW64" i="67"/>
  <c r="AR64" i="67"/>
  <c r="AS64" i="67"/>
  <c r="AZ63" i="67"/>
  <c r="BA63" i="67"/>
  <c r="AV63" i="67"/>
  <c r="AW63" i="67"/>
  <c r="AR63" i="67"/>
  <c r="AS63" i="67"/>
  <c r="AZ62" i="67"/>
  <c r="BA62" i="67"/>
  <c r="AV62" i="67"/>
  <c r="AW62" i="67"/>
  <c r="AR62" i="67"/>
  <c r="AS62" i="67"/>
  <c r="AZ61" i="67"/>
  <c r="BA61" i="67" s="1"/>
  <c r="AV61" i="67"/>
  <c r="AW61" i="67" s="1"/>
  <c r="AR61" i="67"/>
  <c r="AS61" i="67" s="1"/>
  <c r="AZ60" i="67"/>
  <c r="BA60" i="67" s="1"/>
  <c r="AV60" i="67"/>
  <c r="AW60" i="67" s="1"/>
  <c r="AR60" i="67"/>
  <c r="AS60" i="67" s="1"/>
  <c r="AZ59" i="67"/>
  <c r="BA59" i="67" s="1"/>
  <c r="AZ58" i="67"/>
  <c r="BA58" i="67" s="1"/>
  <c r="AZ57" i="67"/>
  <c r="BA57" i="67" s="1"/>
  <c r="AV57" i="67"/>
  <c r="AW57" i="67"/>
  <c r="AR57" i="67"/>
  <c r="AS57" i="67"/>
  <c r="AZ56" i="67"/>
  <c r="BA56" i="67"/>
  <c r="AV56" i="67"/>
  <c r="AW56" i="67"/>
  <c r="AR56" i="67"/>
  <c r="AS56" i="67"/>
  <c r="AZ55" i="67"/>
  <c r="BA55" i="67"/>
  <c r="AV55" i="67"/>
  <c r="AW55" i="67"/>
  <c r="AR55" i="67"/>
  <c r="AS55" i="67"/>
  <c r="AZ54" i="67"/>
  <c r="BA54" i="67"/>
  <c r="AV54" i="67"/>
  <c r="AW54" i="67"/>
  <c r="AR54" i="67"/>
  <c r="AS54" i="67"/>
  <c r="AZ53" i="67"/>
  <c r="BA53" i="67" s="1"/>
  <c r="AV53" i="67"/>
  <c r="AW53" i="67" s="1"/>
  <c r="AR53" i="67"/>
  <c r="AS53" i="67" s="1"/>
  <c r="AZ52" i="67"/>
  <c r="BA52" i="67" s="1"/>
  <c r="AV52" i="67"/>
  <c r="AW52" i="67" s="1"/>
  <c r="AR52" i="67"/>
  <c r="AS52" i="67" s="1"/>
  <c r="AZ51" i="67"/>
  <c r="BA51" i="67" s="1"/>
  <c r="AV51" i="67"/>
  <c r="AW51" i="67" s="1"/>
  <c r="AR51" i="67"/>
  <c r="AS51" i="67" s="1"/>
  <c r="AZ50" i="67"/>
  <c r="BA50" i="67" s="1"/>
  <c r="AV50" i="67"/>
  <c r="AW50" i="67" s="1"/>
  <c r="AR50" i="67"/>
  <c r="AS50" i="67" s="1"/>
  <c r="AZ49" i="67"/>
  <c r="BA49" i="67" s="1"/>
  <c r="AV49" i="67"/>
  <c r="AW49" i="67"/>
  <c r="AR49" i="67"/>
  <c r="AS49" i="67"/>
  <c r="AZ48" i="67"/>
  <c r="BA48" i="67"/>
  <c r="AV48" i="67"/>
  <c r="AW48" i="67"/>
  <c r="AR48" i="67"/>
  <c r="AS48" i="67"/>
  <c r="AZ47" i="67"/>
  <c r="BA47" i="67"/>
  <c r="AV47" i="67"/>
  <c r="AW47" i="67"/>
  <c r="AR47" i="67"/>
  <c r="AS47" i="67"/>
  <c r="AZ46" i="67"/>
  <c r="BA46" i="67"/>
  <c r="AV46" i="67"/>
  <c r="AW46" i="67"/>
  <c r="AR46" i="67"/>
  <c r="AS46" i="67"/>
  <c r="AZ45" i="67"/>
  <c r="BA45" i="67" s="1"/>
  <c r="AV45" i="67"/>
  <c r="AW45" i="67" s="1"/>
  <c r="AR45" i="67"/>
  <c r="AS45" i="67" s="1"/>
  <c r="BA44" i="67"/>
  <c r="AW44" i="67"/>
  <c r="AS44" i="67"/>
  <c r="AZ43" i="67"/>
  <c r="BA43" i="67" s="1"/>
  <c r="AV43" i="67"/>
  <c r="AW43" i="67" s="1"/>
  <c r="AR43" i="67"/>
  <c r="AS43" i="67" s="1"/>
  <c r="AZ42" i="67"/>
  <c r="BA42" i="67" s="1"/>
  <c r="AV42" i="67"/>
  <c r="AW42" i="67" s="1"/>
  <c r="AR42" i="67"/>
  <c r="AS42" i="67" s="1"/>
  <c r="BA41" i="67"/>
  <c r="AW41" i="67"/>
  <c r="AS41" i="67"/>
  <c r="AZ40" i="67"/>
  <c r="BA40" i="67" s="1"/>
  <c r="AV40" i="67"/>
  <c r="AW40" i="67"/>
  <c r="AR40" i="67"/>
  <c r="AS40" i="67"/>
  <c r="AZ39" i="67"/>
  <c r="BA39" i="67"/>
  <c r="AV39" i="67"/>
  <c r="AW39" i="67" s="1"/>
  <c r="AR39" i="67"/>
  <c r="AS39" i="67" s="1"/>
  <c r="AZ38" i="67"/>
  <c r="BA38" i="67" s="1"/>
  <c r="AV38" i="67"/>
  <c r="AW38" i="67" s="1"/>
  <c r="AR38" i="67"/>
  <c r="AS38" i="67" s="1"/>
  <c r="AZ37" i="67"/>
  <c r="BA37" i="67"/>
  <c r="AV37" i="67"/>
  <c r="AW37" i="67"/>
  <c r="AR37" i="67"/>
  <c r="AS37" i="67"/>
  <c r="AZ36" i="67"/>
  <c r="BA36" i="67" s="1"/>
  <c r="AV36" i="67"/>
  <c r="AW36" i="67" s="1"/>
  <c r="AR36" i="67"/>
  <c r="AS36" i="67" s="1"/>
  <c r="AZ35" i="67"/>
  <c r="BA35" i="67" s="1"/>
  <c r="AV35" i="67"/>
  <c r="AW35" i="67" s="1"/>
  <c r="AR35" i="67"/>
  <c r="AS35" i="67" s="1"/>
  <c r="AZ34" i="67"/>
  <c r="BA34" i="67" s="1"/>
  <c r="AV34" i="67"/>
  <c r="AW34" i="67" s="1"/>
  <c r="AR34" i="67"/>
  <c r="AS34" i="67" s="1"/>
  <c r="AZ33" i="67"/>
  <c r="BA33" i="67"/>
  <c r="AV33" i="67"/>
  <c r="AW33" i="67"/>
  <c r="AR33" i="67"/>
  <c r="AS33" i="67"/>
  <c r="AZ32" i="67"/>
  <c r="BA32" i="67" s="1"/>
  <c r="AV32" i="67"/>
  <c r="AW32" i="67" s="1"/>
  <c r="AR32" i="67"/>
  <c r="AS32" i="67" s="1"/>
  <c r="AZ31" i="67"/>
  <c r="BA31" i="67" s="1"/>
  <c r="AV31" i="67"/>
  <c r="AW31" i="67" s="1"/>
  <c r="AR31" i="67"/>
  <c r="AS31" i="67"/>
  <c r="AZ30" i="67"/>
  <c r="BA30" i="67"/>
  <c r="AV30" i="67"/>
  <c r="AW30" i="67"/>
  <c r="AR30" i="67"/>
  <c r="AS30" i="67" s="1"/>
  <c r="AZ29" i="67"/>
  <c r="BA29" i="67" s="1"/>
  <c r="AV29" i="67"/>
  <c r="AW29" i="67" s="1"/>
  <c r="AR29" i="67"/>
  <c r="AS29" i="67" s="1"/>
  <c r="AZ28" i="67"/>
  <c r="BA28" i="67" s="1"/>
  <c r="AV28" i="67"/>
  <c r="AW28" i="67"/>
  <c r="AR28" i="67"/>
  <c r="AS28" i="67"/>
  <c r="AZ27" i="67"/>
  <c r="BA27" i="67"/>
  <c r="AV27" i="67"/>
  <c r="AW27" i="67" s="1"/>
  <c r="AR27" i="67"/>
  <c r="AS27" i="67" s="1"/>
  <c r="AZ26" i="67"/>
  <c r="BA26" i="67" s="1"/>
  <c r="AV26" i="67"/>
  <c r="AW26" i="67" s="1"/>
  <c r="AR26" i="67"/>
  <c r="AS26" i="67" s="1"/>
  <c r="AZ25" i="67"/>
  <c r="BA25" i="67"/>
  <c r="AV25" i="67"/>
  <c r="AW25" i="67"/>
  <c r="AR25" i="67"/>
  <c r="AS25" i="67"/>
  <c r="BA24" i="67"/>
  <c r="AW24" i="67"/>
  <c r="AS24" i="67"/>
  <c r="AZ23" i="67"/>
  <c r="BA23" i="67" s="1"/>
  <c r="AV23" i="67"/>
  <c r="AW23" i="67" s="1"/>
  <c r="AR23" i="67"/>
  <c r="AS23" i="67" s="1"/>
  <c r="AZ22" i="67"/>
  <c r="BA22" i="67" s="1"/>
  <c r="AV22" i="67"/>
  <c r="AW22" i="67" s="1"/>
  <c r="AR22" i="67"/>
  <c r="AS22" i="67" s="1"/>
  <c r="BA21" i="67"/>
  <c r="AW21" i="67"/>
  <c r="AS21" i="67"/>
  <c r="AZ20" i="67"/>
  <c r="BA20" i="67"/>
  <c r="AV20" i="67"/>
  <c r="AW20" i="67"/>
  <c r="AR20" i="67"/>
  <c r="AS20" i="67"/>
  <c r="AZ19" i="67"/>
  <c r="BA19" i="67" s="1"/>
  <c r="AV19" i="67"/>
  <c r="AW19" i="67" s="1"/>
  <c r="AR19" i="67"/>
  <c r="AS19" i="67" s="1"/>
  <c r="AZ18" i="67"/>
  <c r="BA18" i="67" s="1"/>
  <c r="AV18" i="67"/>
  <c r="AW18" i="67" s="1"/>
  <c r="AR18" i="67"/>
  <c r="AS18" i="67"/>
  <c r="AZ17" i="67"/>
  <c r="BA17" i="67"/>
  <c r="AV17" i="67"/>
  <c r="AW17" i="67"/>
  <c r="AR17" i="67"/>
  <c r="AS17" i="67" s="1"/>
  <c r="AZ16" i="67"/>
  <c r="BA16" i="67" s="1"/>
  <c r="AV16" i="67"/>
  <c r="AW16" i="67" s="1"/>
  <c r="AR16" i="67"/>
  <c r="AS16" i="67" s="1"/>
  <c r="AZ15" i="67"/>
  <c r="BA15" i="67" s="1"/>
  <c r="AV15" i="67"/>
  <c r="AW15" i="67"/>
  <c r="AR15" i="67"/>
  <c r="AS15" i="67"/>
  <c r="BA14" i="67"/>
  <c r="AW14" i="67"/>
  <c r="AS14" i="67"/>
  <c r="AZ13" i="67"/>
  <c r="BA13" i="67" s="1"/>
  <c r="AV13" i="67"/>
  <c r="AW13" i="67" s="1"/>
  <c r="AR13" i="67"/>
  <c r="AS13" i="67" s="1"/>
  <c r="AZ12" i="67"/>
  <c r="BA12" i="67" s="1"/>
  <c r="AV12" i="67"/>
  <c r="AW12" i="67" s="1"/>
  <c r="AR12" i="67"/>
  <c r="AS12" i="67" s="1"/>
  <c r="AZ11" i="67"/>
  <c r="BA11" i="67" s="1"/>
  <c r="AV11" i="67"/>
  <c r="AW11" i="67" s="1"/>
  <c r="AR11" i="67"/>
  <c r="AS11" i="67" s="1"/>
  <c r="AZ10" i="67"/>
  <c r="BA10" i="67" s="1"/>
  <c r="AV10" i="67"/>
  <c r="AW10" i="67" s="1"/>
  <c r="AR10" i="67"/>
  <c r="AS10" i="67" s="1"/>
  <c r="AZ9" i="67"/>
  <c r="BA9" i="67" s="1"/>
  <c r="AV9" i="67"/>
  <c r="AW9" i="67" s="1"/>
  <c r="AR9" i="67"/>
  <c r="AS9" i="67" s="1"/>
  <c r="AZ8" i="67"/>
  <c r="BA8" i="67" s="1"/>
  <c r="AV8" i="67"/>
  <c r="AW8" i="67" s="1"/>
  <c r="AR8" i="67"/>
  <c r="AS8" i="67" s="1"/>
  <c r="AY7" i="67"/>
  <c r="AX7" i="67"/>
  <c r="AU7" i="67"/>
  <c r="AT7" i="67"/>
  <c r="AQ7" i="67"/>
  <c r="AP7" i="67"/>
  <c r="AO81" i="67"/>
  <c r="AO80" i="67"/>
  <c r="AN79" i="67"/>
  <c r="AO79" i="67" s="1"/>
  <c r="AO78" i="67"/>
  <c r="AN77" i="67"/>
  <c r="AO77" i="67" s="1"/>
  <c r="AN76" i="67"/>
  <c r="AO76" i="67" s="1"/>
  <c r="AN75" i="67"/>
  <c r="AO75" i="67" s="1"/>
  <c r="AN74" i="67"/>
  <c r="AO74" i="67"/>
  <c r="AN73" i="67"/>
  <c r="AO73" i="67"/>
  <c r="AN72" i="67"/>
  <c r="AO72" i="67"/>
  <c r="AN71" i="67"/>
  <c r="AO71" i="67" s="1"/>
  <c r="AN70" i="67"/>
  <c r="AO70" i="67" s="1"/>
  <c r="AN69" i="67"/>
  <c r="AO69" i="67" s="1"/>
  <c r="AN68" i="67"/>
  <c r="AO68" i="67" s="1"/>
  <c r="AN67" i="67"/>
  <c r="AO67" i="67" s="1"/>
  <c r="AN66" i="67"/>
  <c r="AO66" i="67"/>
  <c r="AN65" i="67"/>
  <c r="AO65" i="67"/>
  <c r="AN64" i="67"/>
  <c r="AO64" i="67"/>
  <c r="AN63" i="67"/>
  <c r="AO63" i="67" s="1"/>
  <c r="AN62" i="67"/>
  <c r="AO62" i="67" s="1"/>
  <c r="AN61" i="67"/>
  <c r="AO61" i="67" s="1"/>
  <c r="AN60" i="67"/>
  <c r="AO60" i="67" s="1"/>
  <c r="AN59" i="67"/>
  <c r="AO59" i="67" s="1"/>
  <c r="AN58" i="67"/>
  <c r="AO58" i="67"/>
  <c r="AN57" i="67"/>
  <c r="AO57" i="67"/>
  <c r="AN56" i="67"/>
  <c r="AO56" i="67"/>
  <c r="AN55" i="67"/>
  <c r="AO55" i="67" s="1"/>
  <c r="AN54" i="67"/>
  <c r="AO54" i="67" s="1"/>
  <c r="AN53" i="67"/>
  <c r="AO53" i="67" s="1"/>
  <c r="AN52" i="67"/>
  <c r="AO52" i="67" s="1"/>
  <c r="AN51" i="67"/>
  <c r="AO51" i="67" s="1"/>
  <c r="AN50" i="67"/>
  <c r="AO50" i="67"/>
  <c r="AN49" i="67"/>
  <c r="AO49" i="67"/>
  <c r="AN48" i="67"/>
  <c r="AO48" i="67"/>
  <c r="AN47" i="67"/>
  <c r="AO47" i="67" s="1"/>
  <c r="AN46" i="67"/>
  <c r="AO46" i="67" s="1"/>
  <c r="AN45" i="67"/>
  <c r="AO45" i="67" s="1"/>
  <c r="AO44" i="67"/>
  <c r="AN43" i="67"/>
  <c r="AO43" i="67" s="1"/>
  <c r="AN42" i="67"/>
  <c r="AO42" i="67" s="1"/>
  <c r="AO41" i="67"/>
  <c r="AN40" i="67"/>
  <c r="AO40" i="67" s="1"/>
  <c r="AN39" i="67"/>
  <c r="AO39" i="67" s="1"/>
  <c r="AN38" i="67"/>
  <c r="AO38" i="67" s="1"/>
  <c r="AN37" i="67"/>
  <c r="AO37" i="67"/>
  <c r="AN36" i="67"/>
  <c r="AO36" i="67"/>
  <c r="AN35" i="67"/>
  <c r="AO35" i="67"/>
  <c r="AN34" i="67"/>
  <c r="AO34" i="67"/>
  <c r="AN33" i="67"/>
  <c r="AO33" i="67"/>
  <c r="AN32" i="67"/>
  <c r="AO32" i="67"/>
  <c r="AN31" i="67"/>
  <c r="AO31" i="67"/>
  <c r="AN30" i="67"/>
  <c r="AO30" i="67" s="1"/>
  <c r="AN29" i="67"/>
  <c r="AO29" i="67" s="1"/>
  <c r="AN28" i="67"/>
  <c r="AO28" i="67" s="1"/>
  <c r="AN27" i="67"/>
  <c r="AO27" i="67" s="1"/>
  <c r="AN26" i="67"/>
  <c r="AO26" i="67" s="1"/>
  <c r="AN25" i="67"/>
  <c r="AO25" i="67"/>
  <c r="AO24" i="67"/>
  <c r="AN23" i="67"/>
  <c r="AO23" i="67" s="1"/>
  <c r="AN22" i="67"/>
  <c r="AO22" i="67" s="1"/>
  <c r="AO21" i="67"/>
  <c r="AN20" i="67"/>
  <c r="AO20" i="67"/>
  <c r="AN19" i="67"/>
  <c r="AO19" i="67"/>
  <c r="AN18" i="67"/>
  <c r="AO18" i="67"/>
  <c r="AN17" i="67"/>
  <c r="AO17" i="67" s="1"/>
  <c r="AN16" i="67"/>
  <c r="AO16" i="67" s="1"/>
  <c r="AN15" i="67"/>
  <c r="AO15" i="67" s="1"/>
  <c r="AO14" i="67"/>
  <c r="AN13" i="67"/>
  <c r="AO13" i="67" s="1"/>
  <c r="AN12" i="67"/>
  <c r="AO12" i="67" s="1"/>
  <c r="AN11" i="67"/>
  <c r="AO11" i="67" s="1"/>
  <c r="AN10" i="67"/>
  <c r="AO10" i="67" s="1"/>
  <c r="AN9" i="67"/>
  <c r="AO9" i="67" s="1"/>
  <c r="AN8" i="67"/>
  <c r="AO8" i="67" s="1"/>
  <c r="AM7" i="67"/>
  <c r="AL7" i="67"/>
  <c r="AK81" i="67"/>
  <c r="AK80" i="67"/>
  <c r="AJ79" i="67"/>
  <c r="AK79" i="67" s="1"/>
  <c r="AK78" i="67"/>
  <c r="AJ77" i="67"/>
  <c r="AK77" i="67" s="1"/>
  <c r="AJ76" i="67"/>
  <c r="AK76" i="67" s="1"/>
  <c r="AJ75" i="67"/>
  <c r="AK75" i="67" s="1"/>
  <c r="AJ74" i="67"/>
  <c r="AK74" i="67" s="1"/>
  <c r="AJ73" i="67"/>
  <c r="AK73" i="67" s="1"/>
  <c r="AJ72" i="67"/>
  <c r="AK72" i="67" s="1"/>
  <c r="AJ71" i="67"/>
  <c r="AK71" i="67" s="1"/>
  <c r="AJ70" i="67"/>
  <c r="AK70" i="67" s="1"/>
  <c r="AJ69" i="67"/>
  <c r="AK69" i="67" s="1"/>
  <c r="AJ68" i="67"/>
  <c r="AK68" i="67" s="1"/>
  <c r="AJ67" i="67"/>
  <c r="AK67" i="67" s="1"/>
  <c r="AJ66" i="67"/>
  <c r="AK66" i="67" s="1"/>
  <c r="AJ65" i="67"/>
  <c r="AK65" i="67" s="1"/>
  <c r="AJ64" i="67"/>
  <c r="AK64" i="67" s="1"/>
  <c r="AJ63" i="67"/>
  <c r="AK63" i="67" s="1"/>
  <c r="AJ62" i="67"/>
  <c r="AK62" i="67" s="1"/>
  <c r="AJ61" i="67"/>
  <c r="AK61" i="67" s="1"/>
  <c r="AJ60" i="67"/>
  <c r="AK60" i="67" s="1"/>
  <c r="AJ59" i="67"/>
  <c r="AK59" i="67" s="1"/>
  <c r="AJ58" i="67"/>
  <c r="AK58" i="67" s="1"/>
  <c r="AJ57" i="67"/>
  <c r="AK57" i="67" s="1"/>
  <c r="AJ56" i="67"/>
  <c r="AK56" i="67" s="1"/>
  <c r="AJ55" i="67"/>
  <c r="AK55" i="67" s="1"/>
  <c r="AJ54" i="67"/>
  <c r="AK54" i="67" s="1"/>
  <c r="AJ53" i="67"/>
  <c r="AK53" i="67" s="1"/>
  <c r="AJ52" i="67"/>
  <c r="AK52" i="67" s="1"/>
  <c r="AJ51" i="67"/>
  <c r="AK51" i="67" s="1"/>
  <c r="AJ50" i="67"/>
  <c r="AK50" i="67" s="1"/>
  <c r="AJ49" i="67"/>
  <c r="AK49" i="67" s="1"/>
  <c r="AJ48" i="67"/>
  <c r="AK48" i="67" s="1"/>
  <c r="AJ47" i="67"/>
  <c r="AK47" i="67" s="1"/>
  <c r="AJ46" i="67"/>
  <c r="AK46" i="67" s="1"/>
  <c r="AJ45" i="67"/>
  <c r="AK45" i="67" s="1"/>
  <c r="AK44" i="67"/>
  <c r="AJ43" i="67"/>
  <c r="AK43" i="67" s="1"/>
  <c r="AJ42" i="67"/>
  <c r="AK42" i="67" s="1"/>
  <c r="AK41" i="67"/>
  <c r="AJ40" i="67"/>
  <c r="AK40" i="67" s="1"/>
  <c r="AJ39" i="67"/>
  <c r="AK39" i="67" s="1"/>
  <c r="AJ38" i="67"/>
  <c r="AK38" i="67" s="1"/>
  <c r="AJ37" i="67"/>
  <c r="AK37" i="67" s="1"/>
  <c r="AJ36" i="67"/>
  <c r="AK36" i="67" s="1"/>
  <c r="AJ35" i="67"/>
  <c r="AK35" i="67" s="1"/>
  <c r="AJ34" i="67"/>
  <c r="AK34" i="67" s="1"/>
  <c r="AJ33" i="67"/>
  <c r="AK33" i="67" s="1"/>
  <c r="AJ32" i="67"/>
  <c r="AK32" i="67" s="1"/>
  <c r="AJ31" i="67"/>
  <c r="AK31" i="67" s="1"/>
  <c r="AJ30" i="67"/>
  <c r="AK30" i="67" s="1"/>
  <c r="AJ29" i="67"/>
  <c r="AK29" i="67" s="1"/>
  <c r="AJ28" i="67"/>
  <c r="AK28" i="67" s="1"/>
  <c r="AJ27" i="67"/>
  <c r="AK27" i="67" s="1"/>
  <c r="AJ26" i="67"/>
  <c r="AK26" i="67" s="1"/>
  <c r="AJ25" i="67"/>
  <c r="AK25" i="67" s="1"/>
  <c r="AK24" i="67"/>
  <c r="AJ23" i="67"/>
  <c r="AK23" i="67" s="1"/>
  <c r="AJ22" i="67"/>
  <c r="AK22" i="67" s="1"/>
  <c r="AK21" i="67"/>
  <c r="AJ20" i="67"/>
  <c r="AK20" i="67"/>
  <c r="AJ19" i="67"/>
  <c r="AK19" i="67"/>
  <c r="AJ18" i="67"/>
  <c r="AK18" i="67"/>
  <c r="AJ17" i="67"/>
  <c r="AK17" i="67"/>
  <c r="AJ16" i="67"/>
  <c r="AK16" i="67"/>
  <c r="AJ15" i="67"/>
  <c r="AK15" i="67"/>
  <c r="AK14" i="67"/>
  <c r="AJ13" i="67"/>
  <c r="AK13" i="67" s="1"/>
  <c r="AJ12" i="67"/>
  <c r="AK12" i="67" s="1"/>
  <c r="AJ11" i="67"/>
  <c r="AK11" i="67" s="1"/>
  <c r="AJ10" i="67"/>
  <c r="AK10" i="67" s="1"/>
  <c r="AJ9" i="67"/>
  <c r="AK9" i="67" s="1"/>
  <c r="AJ8" i="67"/>
  <c r="AK8" i="67" s="1"/>
  <c r="AI7" i="67"/>
  <c r="AH7" i="67"/>
  <c r="B46" i="65"/>
  <c r="B45" i="65"/>
  <c r="B44" i="65"/>
  <c r="B19" i="65"/>
  <c r="B18" i="65"/>
  <c r="B17" i="65"/>
  <c r="B16" i="65"/>
  <c r="B15" i="65"/>
  <c r="B14" i="65"/>
  <c r="B13" i="65"/>
  <c r="B12" i="65"/>
  <c r="B11" i="65"/>
  <c r="B10" i="65"/>
  <c r="B9" i="65"/>
  <c r="B8" i="65"/>
  <c r="B31" i="65"/>
  <c r="B30" i="65"/>
  <c r="B29" i="65"/>
  <c r="B28" i="65"/>
  <c r="B27" i="65"/>
  <c r="B26" i="65"/>
  <c r="B25" i="65"/>
  <c r="B24" i="65"/>
  <c r="B23" i="65"/>
  <c r="B22" i="65"/>
  <c r="B21" i="65"/>
  <c r="B20" i="65"/>
  <c r="B37" i="65"/>
  <c r="B36" i="65"/>
  <c r="B35" i="65"/>
  <c r="B34" i="65"/>
  <c r="B33" i="65"/>
  <c r="B32" i="65"/>
  <c r="B40" i="65"/>
  <c r="B39" i="65"/>
  <c r="B38" i="65"/>
  <c r="B43" i="65"/>
  <c r="B42" i="65"/>
  <c r="B41" i="65"/>
  <c r="B47" i="65"/>
  <c r="AD7" i="67"/>
  <c r="AE7" i="67"/>
  <c r="W8" i="67"/>
  <c r="AF8" i="67"/>
  <c r="AG8" i="67" s="1"/>
  <c r="W9" i="67"/>
  <c r="AF9" i="67"/>
  <c r="AG9" i="67" s="1"/>
  <c r="W10" i="67"/>
  <c r="AF10" i="67"/>
  <c r="AG10" i="67" s="1"/>
  <c r="W11" i="67"/>
  <c r="AF11" i="67"/>
  <c r="AG11" i="67" s="1"/>
  <c r="W12" i="67"/>
  <c r="AF12" i="67"/>
  <c r="AG12" i="67" s="1"/>
  <c r="W13" i="67"/>
  <c r="AF13" i="67"/>
  <c r="AG13" i="67"/>
  <c r="W14" i="67"/>
  <c r="AG14" i="67"/>
  <c r="W15" i="67"/>
  <c r="AF15" i="67"/>
  <c r="AG15" i="67" s="1"/>
  <c r="W16" i="67"/>
  <c r="AF16" i="67"/>
  <c r="AG16" i="67"/>
  <c r="W17" i="67"/>
  <c r="AF17" i="67"/>
  <c r="AG17" i="67" s="1"/>
  <c r="W18" i="67"/>
  <c r="AF18" i="67"/>
  <c r="AG18" i="67"/>
  <c r="AF19" i="67"/>
  <c r="AG19" i="67" s="1"/>
  <c r="AF20" i="67"/>
  <c r="AG20" i="67"/>
  <c r="W21" i="67"/>
  <c r="AG21" i="67"/>
  <c r="W22" i="67"/>
  <c r="AF22" i="67"/>
  <c r="AG22" i="67" s="1"/>
  <c r="B23" i="67"/>
  <c r="AF23" i="67"/>
  <c r="AG23" i="67"/>
  <c r="B24" i="67"/>
  <c r="W24" i="67"/>
  <c r="AG24" i="67"/>
  <c r="B25" i="67"/>
  <c r="W25" i="67"/>
  <c r="AF25" i="67"/>
  <c r="AG25" i="67" s="1"/>
  <c r="B26" i="67"/>
  <c r="W26" i="67"/>
  <c r="AF26" i="67"/>
  <c r="AG26" i="67" s="1"/>
  <c r="B27" i="67"/>
  <c r="W27" i="67"/>
  <c r="AF27" i="67"/>
  <c r="AG27" i="67" s="1"/>
  <c r="B28" i="67"/>
  <c r="W28" i="67"/>
  <c r="AF28" i="67"/>
  <c r="AG28" i="67" s="1"/>
  <c r="B29" i="67"/>
  <c r="W29" i="67"/>
  <c r="AF29" i="67"/>
  <c r="AG29" i="67" s="1"/>
  <c r="B30" i="67"/>
  <c r="W30" i="67"/>
  <c r="AF30" i="67"/>
  <c r="AG30" i="67" s="1"/>
  <c r="B31" i="67"/>
  <c r="W31" i="67"/>
  <c r="AF31" i="67"/>
  <c r="AG31" i="67" s="1"/>
  <c r="B32" i="67"/>
  <c r="W32" i="67"/>
  <c r="AF32" i="67"/>
  <c r="AG32" i="67" s="1"/>
  <c r="B33" i="67"/>
  <c r="W33" i="67"/>
  <c r="AF33" i="67"/>
  <c r="AG33" i="67" s="1"/>
  <c r="B34" i="67"/>
  <c r="W34" i="67"/>
  <c r="AF34" i="67"/>
  <c r="AG34" i="67" s="1"/>
  <c r="B35" i="67"/>
  <c r="W35" i="67"/>
  <c r="AF35" i="67"/>
  <c r="AG35" i="67" s="1"/>
  <c r="B36" i="67"/>
  <c r="W36" i="67"/>
  <c r="AF36" i="67"/>
  <c r="AG36" i="67" s="1"/>
  <c r="B37" i="67"/>
  <c r="W37" i="67"/>
  <c r="AF37" i="67"/>
  <c r="AG37" i="67" s="1"/>
  <c r="B38" i="67"/>
  <c r="W38" i="67"/>
  <c r="AF38" i="67"/>
  <c r="AG38" i="67" s="1"/>
  <c r="B39" i="67"/>
  <c r="W39" i="67"/>
  <c r="AF39" i="67"/>
  <c r="AG39" i="67" s="1"/>
  <c r="B40" i="67"/>
  <c r="W40" i="67"/>
  <c r="AF40" i="67"/>
  <c r="AG40" i="67" s="1"/>
  <c r="B41" i="67"/>
  <c r="W41" i="67"/>
  <c r="AG41" i="67"/>
  <c r="B42" i="67"/>
  <c r="W42" i="67"/>
  <c r="AF42" i="67"/>
  <c r="AG42" i="67" s="1"/>
  <c r="B43" i="67"/>
  <c r="W43" i="67"/>
  <c r="AF43" i="67"/>
  <c r="AG43" i="67" s="1"/>
  <c r="B44" i="67"/>
  <c r="W44" i="67"/>
  <c r="AG44" i="67"/>
  <c r="B45" i="67"/>
  <c r="W45" i="67"/>
  <c r="AF45" i="67"/>
  <c r="AG45" i="67" s="1"/>
  <c r="B46" i="67"/>
  <c r="W46" i="67"/>
  <c r="AF46" i="67"/>
  <c r="AG46" i="67" s="1"/>
  <c r="B47" i="67"/>
  <c r="W47" i="67"/>
  <c r="AF47" i="67"/>
  <c r="AG47" i="67" s="1"/>
  <c r="B48" i="67"/>
  <c r="W48" i="67"/>
  <c r="AF48" i="67"/>
  <c r="AG48" i="67" s="1"/>
  <c r="B49" i="67"/>
  <c r="W49" i="67"/>
  <c r="AF49" i="67"/>
  <c r="AG49" i="67" s="1"/>
  <c r="B50" i="67"/>
  <c r="W50" i="67"/>
  <c r="AF50" i="67"/>
  <c r="AG50" i="67" s="1"/>
  <c r="B51" i="67"/>
  <c r="W51" i="67"/>
  <c r="AF51" i="67"/>
  <c r="AG51" i="67" s="1"/>
  <c r="B52" i="67"/>
  <c r="W52" i="67"/>
  <c r="AF52" i="67"/>
  <c r="AG52" i="67" s="1"/>
  <c r="B53" i="67"/>
  <c r="W53" i="67"/>
  <c r="AF53" i="67"/>
  <c r="AG53" i="67" s="1"/>
  <c r="B54" i="67"/>
  <c r="W54" i="67"/>
  <c r="AF54" i="67"/>
  <c r="AG54" i="67" s="1"/>
  <c r="B55" i="67"/>
  <c r="W55" i="67"/>
  <c r="AF55" i="67"/>
  <c r="AG55" i="67" s="1"/>
  <c r="B56" i="67"/>
  <c r="W56" i="67"/>
  <c r="AF56" i="67"/>
  <c r="AG56" i="67" s="1"/>
  <c r="B57" i="67"/>
  <c r="W57" i="67"/>
  <c r="AF57" i="67"/>
  <c r="AG57" i="67" s="1"/>
  <c r="B58" i="67"/>
  <c r="W58" i="67"/>
  <c r="AF58" i="67"/>
  <c r="AG58" i="67" s="1"/>
  <c r="B59" i="67"/>
  <c r="W59" i="67"/>
  <c r="AF59" i="67"/>
  <c r="AG59" i="67" s="1"/>
  <c r="B60" i="67"/>
  <c r="W60" i="67"/>
  <c r="AF60" i="67"/>
  <c r="AG60" i="67" s="1"/>
  <c r="B61" i="67"/>
  <c r="W61" i="67"/>
  <c r="AF61" i="67"/>
  <c r="AG61" i="67" s="1"/>
  <c r="B62" i="67"/>
  <c r="W62" i="67"/>
  <c r="AF62" i="67"/>
  <c r="AG62" i="67" s="1"/>
  <c r="B63" i="67"/>
  <c r="W63" i="67"/>
  <c r="AF63" i="67"/>
  <c r="AG63" i="67" s="1"/>
  <c r="B64" i="67"/>
  <c r="W64" i="67"/>
  <c r="AF64" i="67"/>
  <c r="AG64" i="67" s="1"/>
  <c r="B65" i="67"/>
  <c r="W65" i="67"/>
  <c r="AF65" i="67"/>
  <c r="AG65" i="67" s="1"/>
  <c r="B66" i="67"/>
  <c r="W66" i="67"/>
  <c r="AF66" i="67"/>
  <c r="AG66" i="67" s="1"/>
  <c r="B67" i="67"/>
  <c r="W67" i="67"/>
  <c r="AF67" i="67"/>
  <c r="AG67" i="67" s="1"/>
  <c r="B68" i="67"/>
  <c r="W68" i="67"/>
  <c r="AF68" i="67"/>
  <c r="AG68" i="67" s="1"/>
  <c r="B69" i="67"/>
  <c r="W69" i="67"/>
  <c r="AF69" i="67"/>
  <c r="AG69" i="67" s="1"/>
  <c r="B70" i="67"/>
  <c r="W70" i="67"/>
  <c r="AF70" i="67"/>
  <c r="AG70" i="67" s="1"/>
  <c r="B71" i="67"/>
  <c r="W71" i="67"/>
  <c r="AF71" i="67"/>
  <c r="AG71" i="67" s="1"/>
  <c r="B72" i="67"/>
  <c r="W72" i="67"/>
  <c r="AF72" i="67"/>
  <c r="AG72" i="67" s="1"/>
  <c r="B73" i="67"/>
  <c r="W73" i="67"/>
  <c r="AF73" i="67"/>
  <c r="AG73" i="67" s="1"/>
  <c r="B74" i="67"/>
  <c r="W74" i="67"/>
  <c r="AF74" i="67"/>
  <c r="AG74" i="67" s="1"/>
  <c r="B75" i="67"/>
  <c r="W75" i="67"/>
  <c r="AF75" i="67"/>
  <c r="AG75" i="67" s="1"/>
  <c r="B76" i="67"/>
  <c r="W76" i="67"/>
  <c r="AF76" i="67"/>
  <c r="AG76" i="67" s="1"/>
  <c r="B77" i="67"/>
  <c r="W77" i="67"/>
  <c r="AF77" i="67"/>
  <c r="AG77" i="67" s="1"/>
  <c r="B78" i="67"/>
  <c r="W78" i="67"/>
  <c r="AG78" i="67"/>
  <c r="B79" i="67"/>
  <c r="W79" i="67"/>
  <c r="AF79" i="67"/>
  <c r="AG79" i="67"/>
  <c r="B80" i="67"/>
  <c r="W80" i="67"/>
  <c r="AG80" i="67"/>
  <c r="B81" i="67"/>
  <c r="W81" i="67"/>
  <c r="AG81" i="67"/>
  <c r="B5" i="65"/>
  <c r="B6" i="65"/>
  <c r="B7" i="65"/>
  <c r="B48" i="65"/>
</calcChain>
</file>

<file path=xl/sharedStrings.xml><?xml version="1.0" encoding="utf-8"?>
<sst xmlns="http://schemas.openxmlformats.org/spreadsheetml/2006/main" count="9089" uniqueCount="2654">
  <si>
    <t>pattern</t>
  </si>
  <si>
    <t>項目名（要素名）</t>
    <rPh sb="0" eb="2">
      <t>コウモク</t>
    </rPh>
    <rPh sb="2" eb="3">
      <t>メイ</t>
    </rPh>
    <rPh sb="4" eb="6">
      <t>ヨウソ</t>
    </rPh>
    <rPh sb="6" eb="7">
      <t>メイ</t>
    </rPh>
    <phoneticPr fontId="3"/>
  </si>
  <si>
    <t>min桁</t>
    <rPh sb="3" eb="4">
      <t>ケタ</t>
    </rPh>
    <phoneticPr fontId="3"/>
  </si>
  <si>
    <t>max桁</t>
    <rPh sb="3" eb="4">
      <t>ケタ</t>
    </rPh>
    <phoneticPr fontId="3"/>
  </si>
  <si>
    <t>相関</t>
    <rPh sb="0" eb="2">
      <t>ソウカン</t>
    </rPh>
    <phoneticPr fontId="3"/>
  </si>
  <si>
    <t>API名称</t>
    <rPh sb="3" eb="5">
      <t>メイショウ</t>
    </rPh>
    <phoneticPr fontId="3"/>
  </si>
  <si>
    <t>API名称(英名)</t>
    <rPh sb="3" eb="5">
      <t>メイショウ</t>
    </rPh>
    <rPh sb="6" eb="8">
      <t>エイメイ</t>
    </rPh>
    <phoneticPr fontId="3"/>
  </si>
  <si>
    <t>項番</t>
    <rPh sb="0" eb="1">
      <t>コウ</t>
    </rPh>
    <rPh sb="1" eb="2">
      <t>バン</t>
    </rPh>
    <phoneticPr fontId="3"/>
  </si>
  <si>
    <t>階層</t>
    <rPh sb="0" eb="2">
      <t>カイソウ</t>
    </rPh>
    <phoneticPr fontId="3"/>
  </si>
  <si>
    <t>繰返</t>
    <rPh sb="0" eb="1">
      <t>ク</t>
    </rPh>
    <rPh sb="1" eb="2">
      <t>カエ</t>
    </rPh>
    <phoneticPr fontId="3"/>
  </si>
  <si>
    <t>必須</t>
    <rPh sb="0" eb="2">
      <t>ヒッス</t>
    </rPh>
    <phoneticPr fontId="3"/>
  </si>
  <si>
    <t>タグ名</t>
    <rPh sb="2" eb="3">
      <t>メイ</t>
    </rPh>
    <phoneticPr fontId="3"/>
  </si>
  <si>
    <t>内容説明</t>
    <rPh sb="0" eb="2">
      <t>ナイヨウ</t>
    </rPh>
    <rPh sb="2" eb="4">
      <t>セツメイ</t>
    </rPh>
    <phoneticPr fontId="3"/>
  </si>
  <si>
    <t>備考</t>
    <rPh sb="0" eb="2">
      <t>ビコウ</t>
    </rPh>
    <phoneticPr fontId="3"/>
  </si>
  <si>
    <t>O</t>
  </si>
  <si>
    <t>共通</t>
    <rPh sb="0" eb="2">
      <t>キョウツウ</t>
    </rPh>
    <phoneticPr fontId="3"/>
  </si>
  <si>
    <t>固定長形式</t>
    <rPh sb="0" eb="3">
      <t>コテイチョウ</t>
    </rPh>
    <rPh sb="3" eb="5">
      <t>ケイシキ</t>
    </rPh>
    <phoneticPr fontId="3"/>
  </si>
  <si>
    <t>XML形式</t>
    <rPh sb="3" eb="5">
      <t>ケイシキ</t>
    </rPh>
    <phoneticPr fontId="3"/>
  </si>
  <si>
    <t>相関
2</t>
    <rPh sb="0" eb="2">
      <t>ソウカン</t>
    </rPh>
    <phoneticPr fontId="3"/>
  </si>
  <si>
    <t>項目順</t>
    <rPh sb="0" eb="2">
      <t>コウモク</t>
    </rPh>
    <rPh sb="2" eb="3">
      <t>ジュン</t>
    </rPh>
    <phoneticPr fontId="3"/>
  </si>
  <si>
    <t>繰返グループ</t>
    <rPh sb="0" eb="2">
      <t>クリカエ</t>
    </rPh>
    <phoneticPr fontId="3"/>
  </si>
  <si>
    <t>最大繰返回数</t>
    <rPh sb="0" eb="2">
      <t>サイダイ</t>
    </rPh>
    <rPh sb="2" eb="4">
      <t>クリカエ</t>
    </rPh>
    <rPh sb="4" eb="6">
      <t>カイスウ</t>
    </rPh>
    <phoneticPr fontId="3"/>
  </si>
  <si>
    <t>*Default path is current path.</t>
  </si>
  <si>
    <t>○</t>
  </si>
  <si>
    <t>*If not be up, the macro should be modified.</t>
  </si>
  <si>
    <t>api-response</t>
  </si>
  <si>
    <t>About Generate-IN:</t>
  </si>
  <si>
    <t>The SheetName input is required.</t>
  </si>
  <si>
    <t>Please copy response stream here↓</t>
  </si>
  <si>
    <t>Analyze the response data from Response filepath or ResponseStream to CaseNo column.</t>
  </si>
  <si>
    <t>API（入力）</t>
    <rPh sb="4" eb="6">
      <t>ニュウリョク</t>
    </rPh>
    <phoneticPr fontId="3"/>
  </si>
  <si>
    <t>API（出力）</t>
    <rPh sb="4" eb="6">
      <t>シュツリョク</t>
    </rPh>
    <phoneticPr fontId="3"/>
  </si>
  <si>
    <t>ルート（出力）</t>
    <rPh sb="4" eb="6">
      <t>シュツリョク</t>
    </rPh>
    <phoneticPr fontId="3"/>
  </si>
  <si>
    <t>API共通情報</t>
    <rPh sb="3" eb="5">
      <t>キョウツウ</t>
    </rPh>
    <phoneticPr fontId="3"/>
  </si>
  <si>
    <t>API-IDは4桁</t>
    <rPh sb="8" eb="9">
      <t>ケタ</t>
    </rPh>
    <phoneticPr fontId="3"/>
  </si>
  <si>
    <t>API処理日時</t>
    <rPh sb="3" eb="5">
      <t>ショリ</t>
    </rPh>
    <rPh sb="5" eb="7">
      <t>ニチジ</t>
    </rPh>
    <phoneticPr fontId="3"/>
  </si>
  <si>
    <t>API呼出元情報</t>
    <rPh sb="3" eb="5">
      <t>ヨビダシ</t>
    </rPh>
    <rPh sb="5" eb="6">
      <t>モト</t>
    </rPh>
    <rPh sb="6" eb="8">
      <t>ジョウホウ</t>
    </rPh>
    <phoneticPr fontId="3"/>
  </si>
  <si>
    <t>呼出元システムID</t>
    <rPh sb="0" eb="2">
      <t>ヨビダシ</t>
    </rPh>
    <rPh sb="2" eb="3">
      <t>モト</t>
    </rPh>
    <phoneticPr fontId="3"/>
  </si>
  <si>
    <t>API呼出側のシステムID("FMC")を設定。</t>
    <rPh sb="5" eb="6">
      <t>ガワ</t>
    </rPh>
    <rPh sb="21" eb="23">
      <t>セッテイ</t>
    </rPh>
    <phoneticPr fontId="3"/>
  </si>
  <si>
    <t>au代理店コード</t>
    <rPh sb="2" eb="5">
      <t>ダイリテン</t>
    </rPh>
    <phoneticPr fontId="3"/>
  </si>
  <si>
    <t>担当者ID</t>
    <rPh sb="0" eb="3">
      <t>タントウシャ</t>
    </rPh>
    <phoneticPr fontId="3"/>
  </si>
  <si>
    <t>au代理店コードの受付担当者ID</t>
    <rPh sb="9" eb="11">
      <t>ウケツケ</t>
    </rPh>
    <rPh sb="11" eb="14">
      <t>タントウシャ</t>
    </rPh>
    <phoneticPr fontId="3"/>
  </si>
  <si>
    <t>ショップ端末IPアドレス</t>
    <rPh sb="4" eb="6">
      <t>タンマツ</t>
    </rPh>
    <phoneticPr fontId="3"/>
  </si>
  <si>
    <t>呼出元システム</t>
    <rPh sb="0" eb="2">
      <t>ヨビダシ</t>
    </rPh>
    <rPh sb="2" eb="3">
      <t>モト</t>
    </rPh>
    <phoneticPr fontId="3"/>
  </si>
  <si>
    <t>画面名</t>
    <rPh sb="0" eb="2">
      <t>ガメン</t>
    </rPh>
    <rPh sb="2" eb="3">
      <t>メイ</t>
    </rPh>
    <phoneticPr fontId="3"/>
  </si>
  <si>
    <t>API処理状態</t>
    <rPh sb="3" eb="5">
      <t>ショリ</t>
    </rPh>
    <rPh sb="5" eb="7">
      <t>ジョウタイ</t>
    </rPh>
    <phoneticPr fontId="3"/>
  </si>
  <si>
    <t xml:space="preserve">入力時：初期値を設定
出力時：各APIの応答内容を設定
　※リファレンスについては、「マッピング一覧」シート参照。
</t>
    <rPh sb="0" eb="2">
      <t>ニュウリョク</t>
    </rPh>
    <rPh sb="11" eb="13">
      <t>シュツリョク</t>
    </rPh>
    <rPh sb="15" eb="16">
      <t>カク</t>
    </rPh>
    <rPh sb="20" eb="22">
      <t>オウトウ</t>
    </rPh>
    <rPh sb="22" eb="24">
      <t>ナイヨウ</t>
    </rPh>
    <rPh sb="25" eb="27">
      <t>セッテイ</t>
    </rPh>
    <rPh sb="48" eb="50">
      <t>イチラン</t>
    </rPh>
    <rPh sb="54" eb="56">
      <t>サンショウ</t>
    </rPh>
    <phoneticPr fontId="3"/>
  </si>
  <si>
    <r>
      <t xml:space="preserve">*The start point of ATOM fix-size cell must be </t>
    </r>
    <r>
      <rPr>
        <b/>
        <sz val="11"/>
        <rFont val="ＭＳ Ｐゴシック"/>
        <family val="3"/>
        <charset val="128"/>
      </rPr>
      <t>P8</t>
    </r>
    <r>
      <rPr>
        <sz val="11"/>
        <rFont val="ＭＳ Ｐゴシック"/>
        <family val="3"/>
        <charset val="128"/>
      </rPr>
      <t xml:space="preserve"> and the xml's must be </t>
    </r>
    <r>
      <rPr>
        <b/>
        <sz val="11"/>
        <rFont val="ＭＳ Ｐゴシック"/>
        <family val="3"/>
        <charset val="128"/>
      </rPr>
      <t>W8</t>
    </r>
  </si>
  <si>
    <t>10</t>
  </si>
  <si>
    <t>The response filename must be API-ID_out_CaseNo.txt</t>
  </si>
  <si>
    <t>エラーコードは8行目で固定表示。</t>
  </si>
  <si>
    <t>00</t>
  </si>
  <si>
    <t>About Analyze-OUT、Analyze-OUTXML</t>
  </si>
  <si>
    <t>api-prm</t>
  </si>
  <si>
    <t>X</t>
  </si>
  <si>
    <t>M</t>
  </si>
  <si>
    <t>pc-res</t>
  </si>
  <si>
    <t>1</t>
    <phoneticPr fontId="3"/>
  </si>
  <si>
    <t>I/O</t>
    <phoneticPr fontId="3"/>
  </si>
  <si>
    <t>○</t>
    <phoneticPr fontId="3"/>
  </si>
  <si>
    <t>X</t>
    <phoneticPr fontId="3"/>
  </si>
  <si>
    <t>△</t>
    <phoneticPr fontId="3"/>
  </si>
  <si>
    <t>要求項目（初期値スペース）だが応答時に応答内容を設定して返す</t>
    <phoneticPr fontId="3"/>
  </si>
  <si>
    <t>err-flg</t>
    <phoneticPr fontId="3"/>
  </si>
  <si>
    <t>0,1</t>
    <phoneticPr fontId="3"/>
  </si>
  <si>
    <t>2</t>
    <phoneticPr fontId="3"/>
  </si>
  <si>
    <t>任意</t>
    <rPh sb="0" eb="2">
      <t>ニンイ</t>
    </rPh>
    <phoneticPr fontId="3"/>
  </si>
  <si>
    <t>個別結果コード</t>
    <rPh sb="0" eb="2">
      <t>コベツ</t>
    </rPh>
    <rPh sb="2" eb="4">
      <t>ケッカ</t>
    </rPh>
    <phoneticPr fontId="3"/>
  </si>
  <si>
    <t>商品コード</t>
    <rPh sb="0" eb="2">
      <t>ショウヒン</t>
    </rPh>
    <phoneticPr fontId="3"/>
  </si>
  <si>
    <t>N</t>
  </si>
  <si>
    <t>3</t>
    <phoneticPr fontId="3"/>
  </si>
  <si>
    <t>0</t>
    <phoneticPr fontId="3"/>
  </si>
  <si>
    <t>FMC</t>
  </si>
  <si>
    <t>E845001</t>
  </si>
  <si>
    <t>ORANGE</t>
  </si>
  <si>
    <t>0</t>
  </si>
  <si>
    <t>0000</t>
  </si>
  <si>
    <t>5</t>
  </si>
  <si>
    <t>4</t>
  </si>
  <si>
    <t>01</t>
  </si>
  <si>
    <t>20</t>
  </si>
  <si>
    <t>①応答内容
　API処理状態：00
　個別結果コード：0000
②テーブル登録内容
　異業種商材申込情報テーブル：登録有り</t>
    <rPh sb="37" eb="39">
      <t>トウロク</t>
    </rPh>
    <rPh sb="39" eb="41">
      <t>ナイヨウ</t>
    </rPh>
    <rPh sb="57" eb="59">
      <t>トウロク</t>
    </rPh>
    <rPh sb="59" eb="60">
      <t>ア</t>
    </rPh>
    <phoneticPr fontId="3"/>
  </si>
  <si>
    <t>要求項目チェック</t>
  </si>
  <si>
    <t>ケース</t>
    <phoneticPr fontId="4"/>
  </si>
  <si>
    <t>確認内容</t>
  </si>
  <si>
    <t>条件</t>
  </si>
  <si>
    <t>概要</t>
  </si>
  <si>
    <t>NO</t>
    <phoneticPr fontId="4"/>
  </si>
  <si>
    <t>試験観点</t>
  </si>
  <si>
    <t>担当者名</t>
  </si>
  <si>
    <t>／NG</t>
  </si>
  <si>
    <t>OK／</t>
  </si>
  <si>
    <t>試験結果</t>
  </si>
  <si>
    <t>日</t>
  </si>
  <si>
    <t>月</t>
  </si>
  <si>
    <t>試験実施日</t>
  </si>
  <si>
    <t>(回目)</t>
  </si>
  <si>
    <t>試行回数</t>
  </si>
  <si>
    <t>要求項目. API共通情報.API呼出元情報. 担当者ID</t>
  </si>
  <si>
    <t>レコード更新者</t>
  </si>
  <si>
    <t>システム日時</t>
  </si>
  <si>
    <t>レコード更新日時</t>
  </si>
  <si>
    <t>レコード登録者</t>
  </si>
  <si>
    <t>レコード登録日時</t>
  </si>
  <si>
    <t>0：バッチファイル未作成</t>
  </si>
  <si>
    <t>バッチファイル登録ステータス</t>
  </si>
  <si>
    <t>要求項目. 申込内部情報.申込押下ボタン</t>
  </si>
  <si>
    <t>申込押下ボタン</t>
  </si>
  <si>
    <t>要求項目. 申込内部情報. 販売店情報. 電話番号</t>
  </si>
  <si>
    <t>販売店電話番号</t>
  </si>
  <si>
    <t>販売店担当者ID</t>
  </si>
  <si>
    <t>要求項目. 申込内部情報. 販売店情報.担当者名(名)</t>
  </si>
  <si>
    <t>販売店担当者名(名)</t>
  </si>
  <si>
    <t>要求項目. 申込内部情報. 販売店情報.担当者名</t>
  </si>
  <si>
    <t>販売店担当者名</t>
  </si>
  <si>
    <t>要求項目. 申込内部情報. 販売店情報.店名</t>
  </si>
  <si>
    <t>販売店名</t>
  </si>
  <si>
    <t>要求項目. API共通情報.API呼出元情報.au代理店コード</t>
  </si>
  <si>
    <t>au代理店コード</t>
  </si>
  <si>
    <t>要求項目. 取次情報.申込時刻</t>
  </si>
  <si>
    <t>申込時刻</t>
  </si>
  <si>
    <t>要求項目. 取次情報.申込年月日</t>
  </si>
  <si>
    <t>申込年月日</t>
  </si>
  <si>
    <t>要求項目.本人確認情報.顧客区分</t>
  </si>
  <si>
    <t>顧客区分</t>
  </si>
  <si>
    <t>要求項目.本人確認情報.基本契約番号</t>
  </si>
  <si>
    <t>基本契約番号</t>
  </si>
  <si>
    <t>要求項目.本人確認情報.au加入者コード</t>
  </si>
  <si>
    <t>au加入者コード</t>
  </si>
  <si>
    <t>要求項目.取次情報.その他の情報.特記</t>
  </si>
  <si>
    <t>特記</t>
  </si>
  <si>
    <t>要求項目.取次情報.各事業者向け取次情報.備考20</t>
  </si>
  <si>
    <t>備考20</t>
    <phoneticPr fontId="3"/>
  </si>
  <si>
    <t>要求項目.取次情報.各事業者向け取次情報.備考19</t>
  </si>
  <si>
    <t>備考19</t>
    <phoneticPr fontId="3"/>
  </si>
  <si>
    <t>要求項目.取次情報.各事業者向け取次情報.備考18</t>
  </si>
  <si>
    <t>備考18</t>
    <phoneticPr fontId="3"/>
  </si>
  <si>
    <t>要求項目.取次情報.各事業者向け取次情報.備考17</t>
  </si>
  <si>
    <t>備考17</t>
    <phoneticPr fontId="3"/>
  </si>
  <si>
    <t>要求項目.取次情報.各事業者向け取次情報.備考16</t>
  </si>
  <si>
    <t>備考16</t>
    <phoneticPr fontId="3"/>
  </si>
  <si>
    <t>要求項目.取次情報.各事業者向け取次情報.備考15</t>
  </si>
  <si>
    <t>備考15</t>
    <phoneticPr fontId="3"/>
  </si>
  <si>
    <t>要求項目.取次情報.各事業者向け取次情報.備考14</t>
  </si>
  <si>
    <t>備考14</t>
    <phoneticPr fontId="3"/>
  </si>
  <si>
    <t>要求項目.取次情報.各事業者向け取次情報.備考13</t>
  </si>
  <si>
    <t>備考13</t>
    <phoneticPr fontId="3"/>
  </si>
  <si>
    <t>要求項目.取次情報.各事業者向け取次情報.備考12</t>
  </si>
  <si>
    <t>備考12</t>
    <phoneticPr fontId="3"/>
  </si>
  <si>
    <t>要求項目.取次情報.各事業者向け取次情報.備考11</t>
  </si>
  <si>
    <t>備考11</t>
    <phoneticPr fontId="3"/>
  </si>
  <si>
    <t>要求項目.取次情報.各事業者向け取次情報.備考10</t>
  </si>
  <si>
    <t>備考10</t>
    <phoneticPr fontId="3"/>
  </si>
  <si>
    <t>要求項目.取次情報.各事業者向け取次情報.備考9</t>
  </si>
  <si>
    <t>備考9</t>
    <phoneticPr fontId="3"/>
  </si>
  <si>
    <t>要求項目.取次情報.各事業者向け取次情報.備考8</t>
  </si>
  <si>
    <t>備考8</t>
    <phoneticPr fontId="3"/>
  </si>
  <si>
    <t>要求項目.取次情報.各事業者向け取次情報.備考7</t>
  </si>
  <si>
    <t>備考7</t>
    <phoneticPr fontId="3"/>
  </si>
  <si>
    <t>要求項目.取次情報.各事業者向け取次情報.備考6</t>
  </si>
  <si>
    <t>備考6</t>
  </si>
  <si>
    <t>要求項目.取次情報.各事業者向け取次情報.備考5</t>
  </si>
  <si>
    <t>備考5</t>
  </si>
  <si>
    <t>要求項目.取次情報.各事業者向け取次情報.備考4</t>
  </si>
  <si>
    <t>備考4</t>
  </si>
  <si>
    <t>要求項目.取次情報.各事業者向け取次情報.備考3</t>
  </si>
  <si>
    <t>備考3</t>
  </si>
  <si>
    <t>要求項目.取次情報.各事業者向け取次情報.備考2</t>
  </si>
  <si>
    <t>備考2</t>
  </si>
  <si>
    <t>要求項目.取次情報.各事業者向け取次情報.備考1</t>
  </si>
  <si>
    <t>備考1</t>
  </si>
  <si>
    <t>要求項目.取次情報.各事業者向け取次情報.お客様ID</t>
  </si>
  <si>
    <t>お客様ID</t>
  </si>
  <si>
    <t>要求項目.取次情報.各事業者向け取次情報.連絡希望時間帯</t>
  </si>
  <si>
    <t>連絡希望時間帯</t>
  </si>
  <si>
    <t>要求項目.取次情報.各事業者向け取次情報.連絡希望曜日</t>
  </si>
  <si>
    <t>連絡希望曜日</t>
  </si>
  <si>
    <t>要求項目. 取次情報.ご利用場所情報.所有区分</t>
  </si>
  <si>
    <t>所有区分</t>
  </si>
  <si>
    <t>要求項目. 取次情報.ご利用場所情報.住居区分</t>
  </si>
  <si>
    <t>住居区分</t>
  </si>
  <si>
    <t>要求項目. 取次情報.ご利用場所情報.ご利用場所住所情報.住所</t>
  </si>
  <si>
    <t>ご利用場所住所</t>
  </si>
  <si>
    <t>要求項目. 取次情報.ご利用場所情報.ご利用場所住所情報.郵便番号</t>
  </si>
  <si>
    <t>ご利用場所郵便番号</t>
  </si>
  <si>
    <t>要求項目. 取次情報.契約者連絡先情報. 携帯電話番号</t>
  </si>
  <si>
    <t>携帯電話番号</t>
  </si>
  <si>
    <t>要求項目. 取次情報.契約者連絡先情報. 自宅・勤務先電話番号</t>
  </si>
  <si>
    <t>自宅・勤務先電話番号</t>
  </si>
  <si>
    <t>要求項目. 取次情報.契約者氏名情報.カナ</t>
  </si>
  <si>
    <t>契約者氏名（カナ）</t>
  </si>
  <si>
    <t>要求項目. 取次情報.契約者氏名情報.漢字</t>
  </si>
  <si>
    <t>契約者氏名（漢字）</t>
  </si>
  <si>
    <t>要求項目. 取次情報.商品コード</t>
  </si>
  <si>
    <t>商品コード</t>
  </si>
  <si>
    <t>要求項目. 取次情報.事業者コード</t>
  </si>
  <si>
    <t>事業者コード</t>
  </si>
  <si>
    <t>紹介票管理番号（IG＋シーケンス）</t>
  </si>
  <si>
    <t>紹介票管理番号</t>
  </si>
  <si>
    <t>602:取次(異業種)</t>
  </si>
  <si>
    <t>申込登録種別</t>
  </si>
  <si>
    <t>異業種申込管理番号（シーケンス）</t>
  </si>
  <si>
    <t>異業種申込管理番号</t>
  </si>
  <si>
    <t>異業種商材申込情報テーブル</t>
    <phoneticPr fontId="3"/>
  </si>
  <si>
    <t>エラーメッセージなし</t>
  </si>
  <si>
    <t>システムログ</t>
  </si>
  <si>
    <t>アプリログ</t>
  </si>
  <si>
    <t>要求項目で取得した値をそのまま設定する。</t>
  </si>
  <si>
    <t>他の項目</t>
  </si>
  <si>
    <t>該当項目なし</t>
  </si>
  <si>
    <t>テーブルに登録された紹介票管理番号と同様</t>
  </si>
  <si>
    <t>テーブルに登録された異業種申込管理番号と同様</t>
  </si>
  <si>
    <t>個別結果コード</t>
  </si>
  <si>
    <t>API処理状態</t>
  </si>
  <si>
    <t>応答値</t>
  </si>
  <si>
    <t xml:space="preserve"> 確認内容概要</t>
  </si>
  <si>
    <t>M001を実行</t>
  </si>
  <si>
    <t>試験手順</t>
  </si>
  <si>
    <t>値</t>
  </si>
  <si>
    <t>CHECK_FLG</t>
  </si>
  <si>
    <t>キーワード</t>
  </si>
  <si>
    <t>BASE_SERVICE_TIME</t>
  </si>
  <si>
    <t>グープID</t>
  </si>
  <si>
    <t>FMC業務定数マスタ</t>
  </si>
  <si>
    <t>DBデータ準備</t>
  </si>
  <si>
    <t>本人確認情報.顧客区分</t>
    <phoneticPr fontId="3"/>
  </si>
  <si>
    <t>A1711001</t>
    <phoneticPr fontId="3"/>
  </si>
  <si>
    <t>本人確認情報.au加入者コード</t>
    <phoneticPr fontId="3"/>
  </si>
  <si>
    <t>特記欄００１</t>
  </si>
  <si>
    <t>取次情報.その他の情報.特記</t>
    <phoneticPr fontId="3"/>
  </si>
  <si>
    <t>取次情報.各事業者向け取次情報.備考20</t>
    <phoneticPr fontId="3"/>
  </si>
  <si>
    <t>取次情報.各事業者向け取次情報.備考19</t>
    <phoneticPr fontId="3"/>
  </si>
  <si>
    <t>取次情報.各事業者向け取次情報.備考18</t>
    <phoneticPr fontId="3"/>
  </si>
  <si>
    <t>取次情報.各事業者向け取次情報.備考17</t>
    <phoneticPr fontId="3"/>
  </si>
  <si>
    <t>取次情報.各事業者向け取次情報.備考16</t>
    <phoneticPr fontId="3"/>
  </si>
  <si>
    <t>取次情報.各事業者向け取次情報.備考15</t>
    <phoneticPr fontId="3"/>
  </si>
  <si>
    <t>取次情報.各事業者向け取次情報.備考14</t>
    <phoneticPr fontId="3"/>
  </si>
  <si>
    <t>取次情報.各事業者向け取次情報.備考13</t>
    <phoneticPr fontId="3"/>
  </si>
  <si>
    <t>取次情報.各事業者向け取次情報.備考12</t>
    <phoneticPr fontId="3"/>
  </si>
  <si>
    <t>取次情報.各事業者向け取次情報.備考11</t>
    <phoneticPr fontId="3"/>
  </si>
  <si>
    <t>取次情報.各事業者向け取次情報.備考10</t>
    <phoneticPr fontId="3"/>
  </si>
  <si>
    <t>取次情報.各事業者向け取次情報.備考9</t>
    <phoneticPr fontId="3"/>
  </si>
  <si>
    <t>取次情報.各事業者向け取次情報.備考8</t>
    <phoneticPr fontId="3"/>
  </si>
  <si>
    <t>取次情報.各事業者向け取次情報.備考7</t>
    <phoneticPr fontId="3"/>
  </si>
  <si>
    <t>取次情報.各事業者向け取次情報.備考6</t>
  </si>
  <si>
    <t>取次情報.各事業者向け取次情報.備考5</t>
  </si>
  <si>
    <t>取次情報.各事業者向け取次情報.備考4</t>
  </si>
  <si>
    <t>取次情報.各事業者向け取次情報.備考3</t>
  </si>
  <si>
    <t>取次情報.各事業者向け取次情報.備考2</t>
  </si>
  <si>
    <t>取次情報.各事業者向け取次情報.備考1</t>
    <phoneticPr fontId="3"/>
  </si>
  <si>
    <t>取次情報.各事業者向け取次情報.連絡希望時間帯</t>
    <phoneticPr fontId="3"/>
  </si>
  <si>
    <t>取次情報.各事業者向け取次情報.連絡希望曜日</t>
    <phoneticPr fontId="3"/>
  </si>
  <si>
    <t>取次情報.ご利用場所情報.所有区分</t>
    <phoneticPr fontId="3"/>
  </si>
  <si>
    <t>取次情報.ご利用場所情報.住居区分</t>
    <phoneticPr fontId="3"/>
  </si>
  <si>
    <t>東京都港区白金１丁目</t>
  </si>
  <si>
    <t>取次情報.ご利用場所情報.ご利用場所住所情報.住所</t>
    <phoneticPr fontId="3"/>
  </si>
  <si>
    <t>1080035</t>
  </si>
  <si>
    <t>取次情報.ご利用場所情報.ご利用場所住所情報.郵便番号</t>
    <phoneticPr fontId="3"/>
  </si>
  <si>
    <t>0312345678</t>
  </si>
  <si>
    <t>取次情報.契約者連絡先情報.自宅・勤務先電話番号</t>
    <phoneticPr fontId="3"/>
  </si>
  <si>
    <t>ケツゴウ　タロウ</t>
    <phoneticPr fontId="3"/>
  </si>
  <si>
    <t>取次情報.契約者氏名情報.カナ</t>
    <phoneticPr fontId="3"/>
  </si>
  <si>
    <t>結合　太郎</t>
    <rPh sb="0" eb="2">
      <t>ケツゴウ</t>
    </rPh>
    <rPh sb="3" eb="5">
      <t>タロウ</t>
    </rPh>
    <phoneticPr fontId="3"/>
  </si>
  <si>
    <t>取次情報.契約者氏名情報.漢字</t>
    <phoneticPr fontId="3"/>
  </si>
  <si>
    <t>171101</t>
    <phoneticPr fontId="3"/>
  </si>
  <si>
    <t>取次情報.商品コード</t>
    <phoneticPr fontId="3"/>
  </si>
  <si>
    <t>17110</t>
    <phoneticPr fontId="3"/>
  </si>
  <si>
    <t>取次情報.事業者コード</t>
    <phoneticPr fontId="3"/>
  </si>
  <si>
    <t>123456</t>
    <phoneticPr fontId="3"/>
  </si>
  <si>
    <t>取次情報.申込時刻</t>
    <phoneticPr fontId="3"/>
  </si>
  <si>
    <t>20170919</t>
    <phoneticPr fontId="3"/>
  </si>
  <si>
    <t>取次情報.申込年月日</t>
    <phoneticPr fontId="3"/>
  </si>
  <si>
    <t>ＯＲＡＮＧＥ担当者</t>
  </si>
  <si>
    <t>申込内部情報.申込押下ボタン.担当者名</t>
    <phoneticPr fontId="3"/>
  </si>
  <si>
    <t>Ｅ８４５００１</t>
  </si>
  <si>
    <t>申込内部情報.申込押下ボタン.店名</t>
    <phoneticPr fontId="3"/>
  </si>
  <si>
    <t>8</t>
  </si>
  <si>
    <t>申込内部情報.申込押下ボタン</t>
    <phoneticPr fontId="3"/>
  </si>
  <si>
    <t>要求項目</t>
  </si>
  <si>
    <t xml:space="preserve"> チェック条件</t>
  </si>
  <si>
    <t xml:space="preserve"> チェック項目</t>
  </si>
  <si>
    <t xml:space="preserve"> 試験項番</t>
  </si>
  <si>
    <t>小</t>
  </si>
  <si>
    <t>申し込み</t>
  </si>
  <si>
    <t xml:space="preserve"> チーム名</t>
  </si>
  <si>
    <t>M001</t>
  </si>
  <si>
    <t>中</t>
  </si>
  <si>
    <t>結合試験</t>
  </si>
  <si>
    <t xml:space="preserve"> 試験名</t>
  </si>
  <si>
    <t>案件1711</t>
    <phoneticPr fontId="3"/>
  </si>
  <si>
    <t>大</t>
  </si>
  <si>
    <t xml:space="preserve"> 試験項目</t>
  </si>
  <si>
    <t xml:space="preserve"> SMC-FMCオンライン</t>
  </si>
  <si>
    <t xml:space="preserve"> システム名</t>
  </si>
  <si>
    <t>自動採番</t>
    <rPh sb="0" eb="2">
      <t>ジドウ</t>
    </rPh>
    <rPh sb="2" eb="4">
      <t>サイバン</t>
    </rPh>
    <phoneticPr fontId="3"/>
  </si>
  <si>
    <t>introduction-no</t>
  </si>
  <si>
    <t>画面入力値または自動採番された番号を設定</t>
    <rPh sb="0" eb="2">
      <t>ガメン</t>
    </rPh>
    <rPh sb="2" eb="5">
      <t>ニュウリョクチ</t>
    </rPh>
    <rPh sb="8" eb="10">
      <t>ジドウ</t>
    </rPh>
    <rPh sb="10" eb="11">
      <t>サイ</t>
    </rPh>
    <rPh sb="11" eb="12">
      <t>バン</t>
    </rPh>
    <rPh sb="15" eb="17">
      <t>バンゴウ</t>
    </rPh>
    <rPh sb="18" eb="20">
      <t>セッテイ</t>
    </rPh>
    <phoneticPr fontId="3"/>
  </si>
  <si>
    <t>紹介票管理番号</t>
    <rPh sb="0" eb="2">
      <t>ショウカイ</t>
    </rPh>
    <rPh sb="2" eb="3">
      <t>ヒョウ</t>
    </rPh>
    <rPh sb="3" eb="5">
      <t>カンリ</t>
    </rPh>
    <rPh sb="5" eb="7">
      <t>バンゴウ</t>
    </rPh>
    <phoneticPr fontId="3"/>
  </si>
  <si>
    <t>○</t>
    <phoneticPr fontId="3"/>
  </si>
  <si>
    <t>different-appl-mng-no</t>
  </si>
  <si>
    <t xml:space="preserve">FMCオンラインシステム内のユニークな管理番号 </t>
  </si>
  <si>
    <t>異業種申込管理番号</t>
    <rPh sb="0" eb="3">
      <t>イギョウシュ</t>
    </rPh>
    <rPh sb="3" eb="5">
      <t>モウシコミ</t>
    </rPh>
    <rPh sb="5" eb="7">
      <t>カンリ</t>
    </rPh>
    <rPh sb="7" eb="9">
      <t>バンゴウ</t>
    </rPh>
    <phoneticPr fontId="3"/>
  </si>
  <si>
    <t>reg-info</t>
  </si>
  <si>
    <t>登録情報</t>
    <rPh sb="0" eb="2">
      <t>トウロク</t>
    </rPh>
    <rPh sb="2" eb="4">
      <t>ジョウホウ</t>
    </rPh>
    <phoneticPr fontId="3"/>
  </si>
  <si>
    <t>0000</t>
    <phoneticPr fontId="3"/>
  </si>
  <si>
    <t xml:space="preserve">処理結果を設定
"0000"：正常
</t>
    <rPh sb="0" eb="2">
      <t>ショリ</t>
    </rPh>
    <rPh sb="2" eb="4">
      <t>ケッカ</t>
    </rPh>
    <rPh sb="5" eb="7">
      <t>セッテイ</t>
    </rPh>
    <rPh sb="15" eb="17">
      <t>セイジョウ</t>
    </rPh>
    <phoneticPr fontId="3"/>
  </si>
  <si>
    <t>I</t>
  </si>
  <si>
    <t>cust-kbn</t>
  </si>
  <si>
    <t>1,2</t>
    <phoneticPr fontId="3"/>
  </si>
  <si>
    <t xml:space="preserve">"1":個人
"2":法人
</t>
    <phoneticPr fontId="3"/>
  </si>
  <si>
    <t>顧客区分</t>
    <rPh sb="0" eb="2">
      <t>コキャク</t>
    </rPh>
    <rPh sb="2" eb="4">
      <t>クブン</t>
    </rPh>
    <phoneticPr fontId="3"/>
  </si>
  <si>
    <t>login-id</t>
  </si>
  <si>
    <t>基本契約番号</t>
    <rPh sb="0" eb="2">
      <t>キホン</t>
    </rPh>
    <rPh sb="2" eb="4">
      <t>ケイヤク</t>
    </rPh>
    <rPh sb="4" eb="6">
      <t>バンゴウ</t>
    </rPh>
    <phoneticPr fontId="3"/>
  </si>
  <si>
    <t>A1701001</t>
    <phoneticPr fontId="3"/>
  </si>
  <si>
    <t>member-cd</t>
  </si>
  <si>
    <t>au加入者コード</t>
    <rPh sb="2" eb="5">
      <t>カニュウシャ</t>
    </rPh>
    <phoneticPr fontId="3"/>
  </si>
  <si>
    <t>proof-info</t>
  </si>
  <si>
    <t>本人確認情報</t>
    <rPh sb="0" eb="2">
      <t>ホンニン</t>
    </rPh>
    <rPh sb="2" eb="4">
      <t>カクニン</t>
    </rPh>
    <rPh sb="4" eb="6">
      <t>ジョウホウ</t>
    </rPh>
    <phoneticPr fontId="3"/>
  </si>
  <si>
    <t>特記欄００１</t>
    <rPh sb="0" eb="2">
      <t>トッキ</t>
    </rPh>
    <rPh sb="2" eb="3">
      <t>ラン</t>
    </rPh>
    <phoneticPr fontId="3"/>
  </si>
  <si>
    <t>special</t>
  </si>
  <si>
    <t>特記</t>
    <rPh sb="0" eb="2">
      <t>トッキ</t>
    </rPh>
    <phoneticPr fontId="4"/>
  </si>
  <si>
    <t>other-info</t>
  </si>
  <si>
    <t>「特記」が空白の場合タグ無しで連携</t>
    <rPh sb="1" eb="3">
      <t>トッキ</t>
    </rPh>
    <rPh sb="5" eb="7">
      <t>クウハク</t>
    </rPh>
    <rPh sb="8" eb="10">
      <t>バアイ</t>
    </rPh>
    <rPh sb="12" eb="13">
      <t>ナ</t>
    </rPh>
    <rPh sb="15" eb="17">
      <t>レンケイ</t>
    </rPh>
    <phoneticPr fontId="3"/>
  </si>
  <si>
    <t>その他の情報</t>
    <rPh sb="2" eb="3">
      <t>タ</t>
    </rPh>
    <rPh sb="4" eb="6">
      <t>ジョウホウ</t>
    </rPh>
    <phoneticPr fontId="4"/>
  </si>
  <si>
    <t>備考20</t>
    <rPh sb="0" eb="2">
      <t>ビコウ</t>
    </rPh>
    <phoneticPr fontId="3"/>
  </si>
  <si>
    <t>remarks-20</t>
  </si>
  <si>
    <t>△</t>
  </si>
  <si>
    <t>備考19</t>
    <rPh sb="0" eb="2">
      <t>ビコウ</t>
    </rPh>
    <phoneticPr fontId="3"/>
  </si>
  <si>
    <t>remarks-19</t>
  </si>
  <si>
    <t>備考18</t>
    <rPh sb="0" eb="2">
      <t>ビコウ</t>
    </rPh>
    <phoneticPr fontId="3"/>
  </si>
  <si>
    <t>remarks-18</t>
  </si>
  <si>
    <t>備考17</t>
    <rPh sb="0" eb="2">
      <t>ビコウ</t>
    </rPh>
    <phoneticPr fontId="3"/>
  </si>
  <si>
    <t>remarks-17</t>
  </si>
  <si>
    <t>○</t>
    <phoneticPr fontId="3"/>
  </si>
  <si>
    <t>備考16</t>
    <rPh sb="0" eb="2">
      <t>ビコウ</t>
    </rPh>
    <phoneticPr fontId="3"/>
  </si>
  <si>
    <t>remarks-16</t>
  </si>
  <si>
    <t>○</t>
    <phoneticPr fontId="3"/>
  </si>
  <si>
    <t>備考15</t>
    <rPh sb="0" eb="2">
      <t>ビコウ</t>
    </rPh>
    <phoneticPr fontId="3"/>
  </si>
  <si>
    <t>remarks-15</t>
  </si>
  <si>
    <t>備考14</t>
    <rPh sb="0" eb="2">
      <t>ビコウ</t>
    </rPh>
    <phoneticPr fontId="3"/>
  </si>
  <si>
    <t>remarks-14</t>
  </si>
  <si>
    <t>備考13</t>
    <rPh sb="0" eb="2">
      <t>ビコウ</t>
    </rPh>
    <phoneticPr fontId="3"/>
  </si>
  <si>
    <t>remarks-13</t>
  </si>
  <si>
    <t>備考12</t>
    <rPh sb="0" eb="2">
      <t>ビコウ</t>
    </rPh>
    <phoneticPr fontId="3"/>
  </si>
  <si>
    <t>remarks-12</t>
  </si>
  <si>
    <t>備考11</t>
    <rPh sb="0" eb="2">
      <t>ビコウ</t>
    </rPh>
    <phoneticPr fontId="3"/>
  </si>
  <si>
    <t>remarks-11</t>
  </si>
  <si>
    <t>備考10</t>
    <rPh sb="0" eb="2">
      <t>ビコウ</t>
    </rPh>
    <phoneticPr fontId="3"/>
  </si>
  <si>
    <t>remarks-10</t>
  </si>
  <si>
    <t>備考9</t>
    <rPh sb="0" eb="2">
      <t>ビコウ</t>
    </rPh>
    <phoneticPr fontId="3"/>
  </si>
  <si>
    <t>remarks-9</t>
  </si>
  <si>
    <t>備考8</t>
    <rPh sb="0" eb="2">
      <t>ビコウ</t>
    </rPh>
    <phoneticPr fontId="3"/>
  </si>
  <si>
    <t>remarks-8</t>
  </si>
  <si>
    <t>備考7</t>
    <rPh sb="0" eb="2">
      <t>ビコウ</t>
    </rPh>
    <phoneticPr fontId="3"/>
  </si>
  <si>
    <t>remarks-7</t>
  </si>
  <si>
    <t>備考6</t>
    <rPh sb="0" eb="2">
      <t>ビコウ</t>
    </rPh>
    <phoneticPr fontId="3"/>
  </si>
  <si>
    <t>remarks-6</t>
  </si>
  <si>
    <t>備考5</t>
    <rPh sb="0" eb="2">
      <t>ビコウ</t>
    </rPh>
    <phoneticPr fontId="3"/>
  </si>
  <si>
    <t>remarks-5</t>
  </si>
  <si>
    <t>備考4</t>
    <rPh sb="0" eb="2">
      <t>ビコウ</t>
    </rPh>
    <phoneticPr fontId="3"/>
  </si>
  <si>
    <t>remarks-4</t>
  </si>
  <si>
    <t>備考3</t>
    <rPh sb="0" eb="2">
      <t>ビコウ</t>
    </rPh>
    <phoneticPr fontId="3"/>
  </si>
  <si>
    <t>remarks-3</t>
  </si>
  <si>
    <t>備考2</t>
    <rPh sb="0" eb="2">
      <t>ビコウ</t>
    </rPh>
    <phoneticPr fontId="3"/>
  </si>
  <si>
    <t>remarks-2</t>
  </si>
  <si>
    <t>備考1</t>
    <rPh sb="0" eb="2">
      <t>ビコウ</t>
    </rPh>
    <phoneticPr fontId="3"/>
  </si>
  <si>
    <t>remarks-1</t>
  </si>
  <si>
    <t>customer-id</t>
  </si>
  <si>
    <t>相手先の顧客を特定するＩＤ</t>
  </si>
  <si>
    <t>お客様ID</t>
    <rPh sb="1" eb="3">
      <t>キャクサマ</t>
    </rPh>
    <phoneticPr fontId="4"/>
  </si>
  <si>
    <t>contact-time</t>
  </si>
  <si>
    <t>0,1,2,3</t>
    <phoneticPr fontId="3"/>
  </si>
  <si>
    <t xml:space="preserve">"0":指定なし
"1":9時～12時
"2":12時～18時
"3":18時～20時
</t>
    <phoneticPr fontId="3"/>
  </si>
  <si>
    <t>連絡希望時間帯</t>
    <rPh sb="0" eb="2">
      <t>レンラク</t>
    </rPh>
    <rPh sb="2" eb="4">
      <t>キボウ</t>
    </rPh>
    <rPh sb="4" eb="7">
      <t>ジカンタイ</t>
    </rPh>
    <phoneticPr fontId="4"/>
  </si>
  <si>
    <t>contact-date</t>
  </si>
  <si>
    <t>0,1,2</t>
    <phoneticPr fontId="3"/>
  </si>
  <si>
    <t xml:space="preserve">"0":指定なし
"1":平日
"2":土日祝日
</t>
    <phoneticPr fontId="3"/>
  </si>
  <si>
    <t>連絡希望曜日</t>
    <rPh sb="0" eb="2">
      <t>レンラク</t>
    </rPh>
    <rPh sb="2" eb="4">
      <t>キボウ</t>
    </rPh>
    <rPh sb="4" eb="6">
      <t>ヨウビ</t>
    </rPh>
    <phoneticPr fontId="4"/>
  </si>
  <si>
    <t>more-agency-info</t>
  </si>
  <si>
    <t>各事業者向け取次情報</t>
    <rPh sb="0" eb="1">
      <t>カク</t>
    </rPh>
    <rPh sb="1" eb="4">
      <t>ジギョウシャ</t>
    </rPh>
    <rPh sb="4" eb="5">
      <t>ム</t>
    </rPh>
    <rPh sb="6" eb="8">
      <t>トリツギ</t>
    </rPh>
    <rPh sb="8" eb="10">
      <t>ジョウホウ</t>
    </rPh>
    <phoneticPr fontId="4"/>
  </si>
  <si>
    <t>owner-kbn</t>
  </si>
  <si>
    <t xml:space="preserve">"0"：持家
"1"：賃貸
</t>
    <rPh sb="4" eb="6">
      <t>モチイエ</t>
    </rPh>
    <rPh sb="11" eb="13">
      <t>チンタイ</t>
    </rPh>
    <phoneticPr fontId="3"/>
  </si>
  <si>
    <t>所有区分</t>
    <rPh sb="0" eb="2">
      <t>ショユウ</t>
    </rPh>
    <rPh sb="2" eb="4">
      <t>クブン</t>
    </rPh>
    <phoneticPr fontId="4"/>
  </si>
  <si>
    <t>building-type</t>
  </si>
  <si>
    <t xml:space="preserve">"0"：一戸建
"1"：集合住宅
</t>
    <phoneticPr fontId="3"/>
  </si>
  <si>
    <t>住居区分</t>
    <rPh sb="0" eb="2">
      <t>ジュウキョ</t>
    </rPh>
    <rPh sb="2" eb="4">
      <t>クブン</t>
    </rPh>
    <phoneticPr fontId="4"/>
  </si>
  <si>
    <t>東京都港区白金１丁目</t>
    <phoneticPr fontId="3"/>
  </si>
  <si>
    <t>use-add</t>
  </si>
  <si>
    <t>住所</t>
    <phoneticPr fontId="3"/>
  </si>
  <si>
    <t>1080035</t>
    <phoneticPr fontId="3"/>
  </si>
  <si>
    <t>use-post-cd</t>
  </si>
  <si>
    <t>郵便番号</t>
    <rPh sb="0" eb="4">
      <t>ユウビンバンゴウ</t>
    </rPh>
    <phoneticPr fontId="4"/>
  </si>
  <si>
    <t>use-add-info</t>
  </si>
  <si>
    <t>ご利用場所住所情報</t>
    <rPh sb="1" eb="3">
      <t>リヨウ</t>
    </rPh>
    <rPh sb="3" eb="5">
      <t>バショ</t>
    </rPh>
    <rPh sb="5" eb="7">
      <t>ジュウショ</t>
    </rPh>
    <rPh sb="7" eb="9">
      <t>ジョウホウ</t>
    </rPh>
    <phoneticPr fontId="3"/>
  </si>
  <si>
    <t>use-info</t>
  </si>
  <si>
    <t>ご利用場所情報</t>
    <rPh sb="1" eb="3">
      <t>リヨウ</t>
    </rPh>
    <rPh sb="3" eb="5">
      <t>バショ</t>
    </rPh>
    <rPh sb="5" eb="7">
      <t>ジョウホウ</t>
    </rPh>
    <phoneticPr fontId="3"/>
  </si>
  <si>
    <t>mobile-tel-no</t>
  </si>
  <si>
    <t>0312345678</t>
    <phoneticPr fontId="3"/>
  </si>
  <si>
    <t>home-tel-no</t>
  </si>
  <si>
    <t>自宅・勤務先電話番号</t>
    <rPh sb="3" eb="6">
      <t>キンムサキ</t>
    </rPh>
    <phoneticPr fontId="4"/>
  </si>
  <si>
    <t>appl-cnct-info</t>
  </si>
  <si>
    <t>自宅・勤務先電話番号、携帯電話番号の何れか必須</t>
    <rPh sb="3" eb="6">
      <t>キンムサキ</t>
    </rPh>
    <phoneticPr fontId="3"/>
  </si>
  <si>
    <t>契約者連絡先情報</t>
    <rPh sb="0" eb="3">
      <t>ケイヤクシャ</t>
    </rPh>
    <rPh sb="3" eb="5">
      <t>レンラク</t>
    </rPh>
    <rPh sb="5" eb="6">
      <t>サキ</t>
    </rPh>
    <rPh sb="6" eb="8">
      <t>ジョウホウ</t>
    </rPh>
    <phoneticPr fontId="3"/>
  </si>
  <si>
    <t>cont-nm-kn</t>
  </si>
  <si>
    <t>カナ</t>
  </si>
  <si>
    <t>cont-nm-kj</t>
  </si>
  <si>
    <t>漢字</t>
    <rPh sb="0" eb="2">
      <t>カンジ</t>
    </rPh>
    <phoneticPr fontId="4"/>
  </si>
  <si>
    <t>cont-nm-info</t>
  </si>
  <si>
    <t>契約者氏名情報</t>
    <rPh sb="0" eb="3">
      <t>ケイヤクシャ</t>
    </rPh>
    <rPh sb="3" eb="5">
      <t>シメイ</t>
    </rPh>
    <rPh sb="5" eb="7">
      <t>ジョウホウ</t>
    </rPh>
    <phoneticPr fontId="4"/>
  </si>
  <si>
    <t>shouhin-cd</t>
  </si>
  <si>
    <t>carrier-cd</t>
  </si>
  <si>
    <t>appl-time</t>
  </si>
  <si>
    <t>サーバ時刻をhhmmss形式で設定</t>
  </si>
  <si>
    <t>申込時刻</t>
    <rPh sb="2" eb="4">
      <t>ジコク</t>
    </rPh>
    <phoneticPr fontId="3"/>
  </si>
  <si>
    <t>appl-date</t>
  </si>
  <si>
    <t>サーバ年月日をyyyymmdd形式で設定</t>
  </si>
  <si>
    <t>申込年月日</t>
    <phoneticPr fontId="3"/>
  </si>
  <si>
    <t>agency-info</t>
  </si>
  <si>
    <t>取次情報</t>
    <rPh sb="0" eb="2">
      <t>トリツギ</t>
    </rPh>
    <phoneticPr fontId="3"/>
  </si>
  <si>
    <t>au-agency-tel-no</t>
  </si>
  <si>
    <t>auショップ電話番号</t>
    <phoneticPr fontId="3"/>
  </si>
  <si>
    <t>電話番号</t>
    <rPh sb="0" eb="2">
      <t>デンワ</t>
    </rPh>
    <rPh sb="2" eb="4">
      <t>バンゴウ</t>
    </rPh>
    <phoneticPr fontId="4"/>
  </si>
  <si>
    <t>ope-nm-kj-first</t>
  </si>
  <si>
    <t>担当者名称(名)</t>
    <phoneticPr fontId="3"/>
  </si>
  <si>
    <t>担当者名(名)</t>
    <rPh sb="0" eb="2">
      <t>タントウ</t>
    </rPh>
    <rPh sb="2" eb="3">
      <t>シャ</t>
    </rPh>
    <rPh sb="3" eb="4">
      <t>メイ</t>
    </rPh>
    <phoneticPr fontId="3"/>
  </si>
  <si>
    <t>ＯＲＡＮＧＥ担当者</t>
    <rPh sb="6" eb="8">
      <t>タントウ</t>
    </rPh>
    <rPh sb="8" eb="9">
      <t>シャ</t>
    </rPh>
    <phoneticPr fontId="3"/>
  </si>
  <si>
    <t>ope-nm-kj</t>
  </si>
  <si>
    <t>担当者名称</t>
    <phoneticPr fontId="3"/>
  </si>
  <si>
    <t>担当者名</t>
    <rPh sb="0" eb="2">
      <t>タントウ</t>
    </rPh>
    <rPh sb="2" eb="3">
      <t>シャ</t>
    </rPh>
    <rPh sb="3" eb="4">
      <t>メイ</t>
    </rPh>
    <phoneticPr fontId="3"/>
  </si>
  <si>
    <t>Ｅ８４５００１</t>
    <phoneticPr fontId="3"/>
  </si>
  <si>
    <t>au-agency-nm-kj</t>
  </si>
  <si>
    <t>代理店名称</t>
    <phoneticPr fontId="3"/>
  </si>
  <si>
    <t>店名</t>
    <rPh sb="0" eb="2">
      <t>テンメイ</t>
    </rPh>
    <phoneticPr fontId="3"/>
  </si>
  <si>
    <t>au-agency-info</t>
  </si>
  <si>
    <t>販売店情報</t>
    <rPh sb="0" eb="3">
      <t>ハンバイテン</t>
    </rPh>
    <rPh sb="3" eb="5">
      <t>ジョウホウ</t>
    </rPh>
    <phoneticPr fontId="3"/>
  </si>
  <si>
    <t>select-btn</t>
  </si>
  <si>
    <t xml:space="preserve">"8"：取次申込
</t>
    <rPh sb="4" eb="6">
      <t>トリツギ</t>
    </rPh>
    <rPh sb="6" eb="8">
      <t>モウシコミ</t>
    </rPh>
    <phoneticPr fontId="3"/>
  </si>
  <si>
    <t>申込押下ボタン</t>
    <rPh sb="0" eb="2">
      <t>モウシコミ</t>
    </rPh>
    <rPh sb="2" eb="4">
      <t>オウカ</t>
    </rPh>
    <phoneticPr fontId="3"/>
  </si>
  <si>
    <t>appl-form-info</t>
  </si>
  <si>
    <t>申込内部情報</t>
    <rPh sb="0" eb="2">
      <t>モウシコミ</t>
    </rPh>
    <rPh sb="2" eb="4">
      <t>ナイブ</t>
    </rPh>
    <rPh sb="4" eb="6">
      <t>ジョウホウ</t>
    </rPh>
    <phoneticPr fontId="3"/>
  </si>
  <si>
    <t>I/O</t>
  </si>
  <si>
    <t>APIパラメータ</t>
    <phoneticPr fontId="3"/>
  </si>
  <si>
    <t>△</t>
    <phoneticPr fontId="3"/>
  </si>
  <si>
    <t>エラーフラグ</t>
    <phoneticPr fontId="3"/>
  </si>
  <si>
    <t>○</t>
    <phoneticPr fontId="3"/>
  </si>
  <si>
    <t>00</t>
    <phoneticPr fontId="3"/>
  </si>
  <si>
    <t>O</t>
    <phoneticPr fontId="3"/>
  </si>
  <si>
    <t>X</t>
    <phoneticPr fontId="3"/>
  </si>
  <si>
    <t>api-status</t>
    <phoneticPr fontId="3"/>
  </si>
  <si>
    <t>要求項目（初期値スペース）だが応答時に応答内容を設定して返す</t>
    <phoneticPr fontId="3"/>
  </si>
  <si>
    <t>I/O</t>
    <phoneticPr fontId="3"/>
  </si>
  <si>
    <t xml:space="preserve">入力時：初期値を設定
出力時：下記、API呼出結果を設定
　"00"：正常終了
　"01"：フォーマットエラー(入力XML不正)
　"02"：APIバージョン不正
　"03"：呼び出し元システムID不正
　"04"：設定ファイルエラー
　"05"：データ不正
　"80"：メンテナンス中(内部)
　"81"：システム利用時間外エラー
　"82"：メンテナンス中(外部)
　"90"：DBエラー(GATE内部)
　"91"：DBエラー(GATE外部)
　"92"：内部連携エラー
　"93"：外部連携エラー
　"99"：システムエラー(その他エラー)
</t>
  </si>
  <si>
    <t>ODP40570</t>
  </si>
  <si>
    <r>
      <t xml:space="preserve">絵喜伝：8桁
PASCAL：6桁
</t>
    </r>
    <r>
      <rPr>
        <sz val="11"/>
        <rFont val="ＭＳ Ｐゴシック"/>
        <family val="3"/>
        <charset val="128"/>
      </rPr>
      <t>ORANGE：8桁</t>
    </r>
    <r>
      <rPr>
        <sz val="11"/>
        <rFont val="ＭＳ Ｐゴシック"/>
        <family val="3"/>
        <charset val="128"/>
      </rPr>
      <t xml:space="preserve">
</t>
    </r>
    <rPh sb="25" eb="26">
      <t>ケタ</t>
    </rPh>
    <phoneticPr fontId="3"/>
  </si>
  <si>
    <t>api-title-name</t>
    <phoneticPr fontId="3"/>
  </si>
  <si>
    <r>
      <t xml:space="preserve">各FMCオンライン呼出元の画面名（ID)
</t>
    </r>
    <r>
      <rPr>
        <sz val="11"/>
        <rFont val="ＭＳ Ｐゴシック"/>
        <family val="3"/>
        <charset val="128"/>
      </rPr>
      <t xml:space="preserve">
</t>
    </r>
    <rPh sb="0" eb="1">
      <t>カク</t>
    </rPh>
    <rPh sb="9" eb="11">
      <t>ヨビダシ</t>
    </rPh>
    <rPh sb="11" eb="12">
      <t>モト</t>
    </rPh>
    <rPh sb="13" eb="15">
      <t>ガメン</t>
    </rPh>
    <rPh sb="15" eb="16">
      <t>メイ</t>
    </rPh>
    <phoneticPr fontId="3"/>
  </si>
  <si>
    <t>api-sys-name</t>
    <phoneticPr fontId="3"/>
  </si>
  <si>
    <r>
      <t>PASCAL,EKIDEN</t>
    </r>
    <r>
      <rPr>
        <sz val="11"/>
        <rFont val="ＭＳ Ｐゴシック"/>
        <family val="3"/>
        <charset val="128"/>
      </rPr>
      <t>,ORANGE</t>
    </r>
    <phoneticPr fontId="3"/>
  </si>
  <si>
    <r>
      <t>各FMCオンライン呼出元のシステム名
タブレット端末："PASCAL"</t>
    </r>
    <r>
      <rPr>
        <sz val="11"/>
        <rFont val="ＭＳ Ｐゴシック"/>
        <family val="3"/>
        <charset val="128"/>
      </rPr>
      <t xml:space="preserve">
絵喜伝："EKIDEN"
ORANGE："ORANGE"</t>
    </r>
    <r>
      <rPr>
        <sz val="11"/>
        <rFont val="ＭＳ Ｐゴシック"/>
        <family val="3"/>
        <charset val="128"/>
      </rPr>
      <t xml:space="preserve">
</t>
    </r>
    <rPh sb="0" eb="1">
      <t>カク</t>
    </rPh>
    <rPh sb="9" eb="11">
      <t>ヨビダシ</t>
    </rPh>
    <rPh sb="11" eb="12">
      <t>モト</t>
    </rPh>
    <rPh sb="17" eb="18">
      <t>メイ</t>
    </rPh>
    <rPh sb="24" eb="26">
      <t>タンマツ</t>
    </rPh>
    <rPh sb="36" eb="37">
      <t>エ</t>
    </rPh>
    <rPh sb="37" eb="38">
      <t>キ</t>
    </rPh>
    <rPh sb="38" eb="39">
      <t>デン</t>
    </rPh>
    <phoneticPr fontId="3"/>
  </si>
  <si>
    <t>192.168.134.246</t>
  </si>
  <si>
    <t>api-ip-add</t>
    <phoneticPr fontId="3"/>
  </si>
  <si>
    <t>\d{1,3}\.\d{1,3}\.\d{1,3}\.\d{1,3}</t>
    <phoneticPr fontId="3"/>
  </si>
  <si>
    <r>
      <t>API呼出を行ったPASCAL、絵喜伝</t>
    </r>
    <r>
      <rPr>
        <sz val="11"/>
        <rFont val="ＭＳ Ｐゴシック"/>
        <family val="3"/>
        <charset val="128"/>
      </rPr>
      <t>、ORANGE端末のIPアドレスを設定。</t>
    </r>
    <r>
      <rPr>
        <sz val="11"/>
        <rFont val="ＭＳ Ｐゴシック"/>
        <family val="3"/>
        <charset val="128"/>
      </rPr>
      <t xml:space="preserve">
</t>
    </r>
    <rPh sb="6" eb="7">
      <t>オコナ</t>
    </rPh>
    <rPh sb="16" eb="19">
      <t>エキデン</t>
    </rPh>
    <rPh sb="26" eb="28">
      <t>タンマツ</t>
    </rPh>
    <rPh sb="36" eb="38">
      <t>セッテイ</t>
    </rPh>
    <phoneticPr fontId="3"/>
  </si>
  <si>
    <t>AUE31814</t>
  </si>
  <si>
    <r>
      <t>api-pson-chg-</t>
    </r>
    <r>
      <rPr>
        <sz val="11"/>
        <rFont val="ＭＳ Ｐゴシック"/>
        <family val="3"/>
        <charset val="128"/>
      </rPr>
      <t>id</t>
    </r>
    <phoneticPr fontId="3"/>
  </si>
  <si>
    <r>
      <t>api-</t>
    </r>
    <r>
      <rPr>
        <sz val="11"/>
        <rFont val="ＭＳ Ｐゴシック"/>
        <family val="3"/>
        <charset val="128"/>
      </rPr>
      <t>agency-cd</t>
    </r>
    <phoneticPr fontId="3"/>
  </si>
  <si>
    <r>
      <t xml:space="preserve">au代理店コードを設定。
</t>
    </r>
    <r>
      <rPr>
        <sz val="11"/>
        <rFont val="ＭＳ Ｐゴシック"/>
        <family val="3"/>
        <charset val="128"/>
      </rPr>
      <t xml:space="preserve">下記の条件を全て満たす場合のみ非必須。
満たさない場合は、必須。
API識別：H001（申込情報照会API）
呼出元：EKIDEN（絵喜伝）
</t>
    </r>
    <rPh sb="9" eb="11">
      <t>セッテイ</t>
    </rPh>
    <rPh sb="14" eb="16">
      <t>カキ</t>
    </rPh>
    <rPh sb="17" eb="19">
      <t>ジョウケン</t>
    </rPh>
    <rPh sb="20" eb="21">
      <t>スベ</t>
    </rPh>
    <rPh sb="22" eb="23">
      <t>ミ</t>
    </rPh>
    <rPh sb="25" eb="27">
      <t>バアイ</t>
    </rPh>
    <rPh sb="29" eb="30">
      <t>ヒ</t>
    </rPh>
    <rPh sb="30" eb="32">
      <t>ヒッス</t>
    </rPh>
    <rPh sb="34" eb="35">
      <t>ミ</t>
    </rPh>
    <rPh sb="39" eb="41">
      <t>バアイ</t>
    </rPh>
    <rPh sb="43" eb="45">
      <t>ヒッス</t>
    </rPh>
    <rPh sb="58" eb="60">
      <t>モウシコミ</t>
    </rPh>
    <rPh sb="60" eb="62">
      <t>ジョウホウ</t>
    </rPh>
    <rPh sb="62" eb="64">
      <t>ショウカイ</t>
    </rPh>
    <rPh sb="69" eb="71">
      <t>ヨビダ</t>
    </rPh>
    <rPh sb="71" eb="72">
      <t>モト</t>
    </rPh>
    <rPh sb="80" eb="81">
      <t>エ</t>
    </rPh>
    <rPh sb="81" eb="82">
      <t>キ</t>
    </rPh>
    <rPh sb="82" eb="83">
      <t>デン</t>
    </rPh>
    <phoneticPr fontId="3"/>
  </si>
  <si>
    <t>api-sys-id</t>
    <phoneticPr fontId="3"/>
  </si>
  <si>
    <t>api-caller-info</t>
    <phoneticPr fontId="3"/>
  </si>
  <si>
    <t>api-dtime</t>
    <phoneticPr fontId="3"/>
  </si>
  <si>
    <t>API呼出日時を設定　形式：yyyymmddhhmmss</t>
    <phoneticPr fontId="3"/>
  </si>
  <si>
    <t>api-var</t>
    <phoneticPr fontId="3"/>
  </si>
  <si>
    <r>
      <t xml:space="preserve">APIのバージョンを設定。
</t>
    </r>
    <r>
      <rPr>
        <sz val="11"/>
        <rFont val="ＭＳ Ｐゴシック"/>
        <family val="3"/>
        <charset val="128"/>
      </rPr>
      <t>「10」固定。</t>
    </r>
    <rPh sb="10" eb="12">
      <t>セッテイ</t>
    </rPh>
    <rPh sb="18" eb="20">
      <t>コテイ</t>
    </rPh>
    <phoneticPr fontId="3"/>
  </si>
  <si>
    <t>APIバージョン</t>
    <phoneticPr fontId="3"/>
  </si>
  <si>
    <t>M001</t>
    <phoneticPr fontId="3"/>
  </si>
  <si>
    <t>api-id</t>
    <phoneticPr fontId="3"/>
  </si>
  <si>
    <r>
      <t>APIを識別するコード</t>
    </r>
    <r>
      <rPr>
        <sz val="11"/>
        <rFont val="ＭＳ Ｐゴシック"/>
        <family val="3"/>
        <charset val="128"/>
      </rPr>
      <t>（API-ID）を設定。
設定内容は「付録C FMCオンラインAPI補足資料」を参照。</t>
    </r>
    <rPh sb="4" eb="6">
      <t>シキベツ</t>
    </rPh>
    <rPh sb="20" eb="22">
      <t>セッテイ</t>
    </rPh>
    <phoneticPr fontId="3"/>
  </si>
  <si>
    <t>API識別</t>
    <phoneticPr fontId="3"/>
  </si>
  <si>
    <t>api-com-info</t>
    <phoneticPr fontId="3"/>
  </si>
  <si>
    <t>I</t>
    <phoneticPr fontId="3"/>
  </si>
  <si>
    <t>api-request</t>
    <phoneticPr fontId="3"/>
  </si>
  <si>
    <r>
      <t>ルート</t>
    </r>
    <r>
      <rPr>
        <sz val="11"/>
        <rFont val="ＭＳ Ｐゴシック"/>
        <family val="3"/>
        <charset val="128"/>
      </rPr>
      <t>（入力）</t>
    </r>
    <rPh sb="4" eb="6">
      <t>ニュウリョク</t>
    </rPh>
    <phoneticPr fontId="3"/>
  </si>
  <si>
    <t>-</t>
    <phoneticPr fontId="3"/>
  </si>
  <si>
    <t>OK/NG</t>
    <phoneticPr fontId="3"/>
  </si>
  <si>
    <t>期待値</t>
    <rPh sb="0" eb="2">
      <t>キタイ</t>
    </rPh>
    <rPh sb="2" eb="3">
      <t>アタイ</t>
    </rPh>
    <phoneticPr fontId="3"/>
  </si>
  <si>
    <t>I/O</t>
    <phoneticPr fontId="3"/>
  </si>
  <si>
    <t>ﾀｲﾌﾟ</t>
    <phoneticPr fontId="3"/>
  </si>
  <si>
    <t>ﾊﾞｲﾄ</t>
    <phoneticPr fontId="3"/>
  </si>
  <si>
    <t>Ref</t>
    <phoneticPr fontId="3"/>
  </si>
  <si>
    <t>http://kddi.com/smc/fmconline/bbcappl/schema/reg_diff_industries_appl_response</t>
    <phoneticPr fontId="3"/>
  </si>
  <si>
    <r>
      <rPr>
        <b/>
        <sz val="11"/>
        <color indexed="10"/>
        <rFont val="ＭＳ Ｐゴシック"/>
        <family val="3"/>
        <charset val="128"/>
      </rPr>
      <t>応答</t>
    </r>
    <r>
      <rPr>
        <b/>
        <sz val="11"/>
        <rFont val="ＭＳ Ｐゴシック"/>
        <family val="3"/>
        <charset val="128"/>
      </rPr>
      <t>名前空間（URI）</t>
    </r>
    <rPh sb="0" eb="2">
      <t>オウトウ</t>
    </rPh>
    <phoneticPr fontId="3"/>
  </si>
  <si>
    <t>確認対象でないものは「判定対象外」を入力する</t>
    <rPh sb="0" eb="2">
      <t>カクニン</t>
    </rPh>
    <rPh sb="2" eb="4">
      <t>タイショウ</t>
    </rPh>
    <rPh sb="11" eb="13">
      <t>ハンテイ</t>
    </rPh>
    <rPh sb="13" eb="16">
      <t>タイショウガイ</t>
    </rPh>
    <rPh sb="18" eb="20">
      <t>ニュウリョク</t>
    </rPh>
    <phoneticPr fontId="3"/>
  </si>
  <si>
    <t>http://kddi.com/smc/fmconline/bbcappl/schema/reg_diff_industries_appl_request</t>
    <phoneticPr fontId="3"/>
  </si>
  <si>
    <r>
      <rPr>
        <b/>
        <sz val="11"/>
        <color indexed="10"/>
        <rFont val="ＭＳ Ｐゴシック"/>
        <family val="3"/>
        <charset val="128"/>
      </rPr>
      <t>要求</t>
    </r>
    <r>
      <rPr>
        <b/>
        <sz val="11"/>
        <rFont val="ＭＳ Ｐゴシック"/>
        <family val="3"/>
        <charset val="128"/>
      </rPr>
      <t>名前空間（URI）</t>
    </r>
    <rPh sb="0" eb="2">
      <t>ヨウキュウ</t>
    </rPh>
    <phoneticPr fontId="3"/>
  </si>
  <si>
    <t>テスト時に入力（自動採番値　等）</t>
    <rPh sb="3" eb="4">
      <t>ジ</t>
    </rPh>
    <phoneticPr fontId="3"/>
  </si>
  <si>
    <t>※値の入っている箇所</t>
    <rPh sb="1" eb="2">
      <t>アタイ</t>
    </rPh>
    <rPh sb="3" eb="4">
      <t>ハイ</t>
    </rPh>
    <rPh sb="8" eb="10">
      <t>カショ</t>
    </rPh>
    <phoneticPr fontId="3"/>
  </si>
  <si>
    <t>reg_diff_industries_appl</t>
    <phoneticPr fontId="3"/>
  </si>
  <si>
    <t>異業種商材申込情報登録</t>
    <rPh sb="0" eb="3">
      <t>イギョウシュ</t>
    </rPh>
    <rPh sb="3" eb="5">
      <t>ショウザイ</t>
    </rPh>
    <rPh sb="5" eb="7">
      <t>モウシコミ</t>
    </rPh>
    <rPh sb="7" eb="9">
      <t>ジョウホウ</t>
    </rPh>
    <rPh sb="9" eb="11">
      <t>トウロク</t>
    </rPh>
    <phoneticPr fontId="3"/>
  </si>
  <si>
    <t>M001</t>
    <phoneticPr fontId="3"/>
  </si>
  <si>
    <t>API-ID</t>
    <phoneticPr fontId="3"/>
  </si>
  <si>
    <t>FMCオンラインAPIパラメータ</t>
    <phoneticPr fontId="3"/>
  </si>
  <si>
    <t>属性チェック：OK</t>
    <rPh sb="0" eb="2">
      <t>ゾクセイ</t>
    </rPh>
    <phoneticPr fontId="3"/>
  </si>
  <si>
    <t>属性チェック：NG</t>
    <rPh sb="0" eb="2">
      <t>ゾクセイ</t>
    </rPh>
    <phoneticPr fontId="3"/>
  </si>
  <si>
    <t>バイト数チェック：OK</t>
    <rPh sb="3" eb="4">
      <t>スウ</t>
    </rPh>
    <phoneticPr fontId="3"/>
  </si>
  <si>
    <t>バイト数チェック：NG</t>
    <rPh sb="3" eb="4">
      <t>カズ</t>
    </rPh>
    <phoneticPr fontId="3"/>
  </si>
  <si>
    <t>6</t>
  </si>
  <si>
    <t>7</t>
  </si>
  <si>
    <t>9</t>
  </si>
  <si>
    <t>11</t>
  </si>
  <si>
    <t>12</t>
  </si>
  <si>
    <t>13</t>
  </si>
  <si>
    <t>14</t>
  </si>
  <si>
    <t>15</t>
  </si>
  <si>
    <t>16</t>
  </si>
  <si>
    <t>17</t>
  </si>
  <si>
    <t>18</t>
  </si>
  <si>
    <t>19</t>
  </si>
  <si>
    <t>21</t>
  </si>
  <si>
    <t>22</t>
  </si>
  <si>
    <t>23</t>
  </si>
  <si>
    <t>24</t>
  </si>
  <si>
    <t>25</t>
  </si>
  <si>
    <t>26</t>
  </si>
  <si>
    <t>27</t>
  </si>
  <si>
    <t>28</t>
  </si>
  <si>
    <t>29</t>
  </si>
  <si>
    <t>30</t>
  </si>
  <si>
    <t>31</t>
  </si>
  <si>
    <t>32</t>
  </si>
  <si>
    <t>33</t>
  </si>
  <si>
    <t>34</t>
  </si>
  <si>
    <t>35</t>
  </si>
  <si>
    <t>36</t>
  </si>
  <si>
    <t>37</t>
  </si>
  <si>
    <t>38</t>
  </si>
  <si>
    <t>39</t>
  </si>
  <si>
    <t>40</t>
  </si>
  <si>
    <t>41</t>
  </si>
  <si>
    <t>42</t>
  </si>
  <si>
    <t>43</t>
  </si>
  <si>
    <t>取次情報.各事業者向け取次情報.備考1～20のバイト数不正の旨のメッセージが出力</t>
    <rPh sb="26" eb="27">
      <t>スウ</t>
    </rPh>
    <phoneticPr fontId="3"/>
  </si>
  <si>
    <t>取次情報.各事業者向け取次情報.備考1～20のフォーマット不正の旨のメッセージが出力</t>
    <phoneticPr fontId="3"/>
  </si>
  <si>
    <t>①応答内容
　API処理状態：01
②テーブル登録内容
　異業種商材申込情報テーブル：登録無し
③アプリログ
　フォーマット不正の旨のメッセージが出力</t>
    <phoneticPr fontId="3"/>
  </si>
  <si>
    <t>①応答内容
　API処理状態：01
②テーブル登録内容
　異業種商材申込情報テーブル：登録無し
③アプリログ
　バイト数不正の旨のメッセージが出力</t>
    <phoneticPr fontId="3"/>
  </si>
  <si>
    <t>取次情報.各事業者向け取次情報.備考8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</si>
  <si>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取次情報.各事業者向け取次情報.備考8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</si>
  <si>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取次情報.各事業者向け取次情報.備考9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</si>
  <si>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取次情報.各事業者向け取次情報.備考9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</si>
  <si>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取次情報.各事業者向け取次情報.備考10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</si>
  <si>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取次情報.各事業者向け取次情報.備考10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</si>
  <si>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取次情報.各事業者向け取次情報.備考11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</si>
  <si>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取次情報.各事業者向け取次情報.備考11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</si>
  <si>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取次情報.各事業者向け取次情報.備考12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</si>
  <si>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取次情報.各事業者向け取次情報.備考12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</si>
  <si>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取次情報.各事業者向け取次情報.備考13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</si>
  <si>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取次情報.各事業者向け取次情報.備考13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</si>
  <si>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取次情報.各事業者向け取次情報.備考15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</si>
  <si>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取次情報.各事業者向け取次情報.備考14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</si>
  <si>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取次情報.各事業者向け取次情報.備考14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</si>
  <si>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取次情報.各事業者向け取次情報.備考15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</si>
  <si>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取次情報.各事業者向け取次情報.備考16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</si>
  <si>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取次情報.各事業者向け取次情報.備考16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</si>
  <si>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取次情報.各事業者向け取次情報.備考17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</si>
  <si>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取次情報.各事業者向け取次情報.備考17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</si>
  <si>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取次情報.各事業者向け取次情報.備考18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</si>
  <si>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取次情報.各事業者向け取次情報.備考18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</si>
  <si>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取次情報.各事業者向け取次情報.備考19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</si>
  <si>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取次情報.各事業者向け取次情報.備考19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</si>
  <si>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取次情報.各事業者向け取次情報.備考20
属性チェック：NG</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</si>
  <si>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取次情報.各事業者向け取次情報.備考20
バイト数チェック：NG</t>
    <rPh sb="0" eb="2">
      <t>トリツギ</t>
    </rPh>
    <rPh sb="2" eb="4">
      <t>ジョウホウ</t>
    </rPh>
    <rPh sb="5" eb="9">
      <t>カクジギョウシャ</t>
    </rPh>
    <rPh sb="9" eb="10">
      <t>ム</t>
    </rPh>
    <rPh sb="11" eb="13">
      <t>トリツギ</t>
    </rPh>
    <rPh sb="13" eb="15">
      <t>ジョウホウ</t>
    </rPh>
    <rPh sb="16" eb="18">
      <t>ビコウ</t>
    </rPh>
    <phoneticPr fontId="3"/>
  </si>
  <si>
    <t>20170920</t>
    <phoneticPr fontId="3"/>
  </si>
  <si>
    <t>ＦＭＣ試験　太郎</t>
    <phoneticPr fontId="3"/>
  </si>
  <si>
    <t>ＦＭＣシケン　タロウ</t>
    <phoneticPr fontId="3"/>
  </si>
  <si>
    <t>0123456789012345678901234567890123456789012345678901234567890123456789012345678901234567890123456789012345678901234567890123456789012345678901234567890123456789012345678901234567890</t>
    <phoneticPr fontId="3"/>
  </si>
  <si>
    <t>備考13</t>
  </si>
  <si>
    <t>備考14</t>
  </si>
  <si>
    <t>備考15</t>
  </si>
  <si>
    <t>備考16</t>
  </si>
  <si>
    <t>備考17</t>
  </si>
  <si>
    <t>備考18</t>
  </si>
  <si>
    <t>備考19</t>
  </si>
  <si>
    <t>,</t>
    <phoneticPr fontId="3"/>
  </si>
  <si>
    <t>012345678901234567890123456789012345678901234567890123456789012345678901234567890123456789012345678901234567890123456789012345678901234567890123456789012345678901234567890123456789°</t>
    <phoneticPr fontId="3"/>
  </si>
  <si>
    <t>０１２３４５６７８９０１２３４５６７８９０１２３４５６７８９０１２３４５６７８９０１２３４５６７８０１２３４５６７８９０１２３４５６７８９０１２３４５６７８９０１２３４５６７８９０１</t>
  </si>
  <si>
    <r>
      <rPr>
        <sz val="10"/>
        <rFont val="ＭＳ Ｐゴシック"/>
        <family val="3"/>
        <charset val="128"/>
      </rPr>
      <t>備考</t>
    </r>
    <r>
      <rPr>
        <sz val="10"/>
        <rFont val="Arial"/>
        <family val="2"/>
      </rPr>
      <t>20</t>
    </r>
    <r>
      <rPr>
        <sz val="10"/>
        <rFont val="ＭＳ Ｐゴシック"/>
        <family val="3"/>
        <charset val="128"/>
      </rPr>
      <t>°</t>
    </r>
    <rPh sb="0" eb="2">
      <t>ビコウ</t>
    </rPh>
    <phoneticPr fontId="3"/>
  </si>
  <si>
    <t>171102</t>
    <phoneticPr fontId="3"/>
  </si>
  <si>
    <t>171103</t>
    <phoneticPr fontId="3"/>
  </si>
  <si>
    <t>171104</t>
    <phoneticPr fontId="3"/>
  </si>
  <si>
    <t>171105</t>
    <phoneticPr fontId="3"/>
  </si>
  <si>
    <t>171106</t>
    <phoneticPr fontId="3"/>
  </si>
  <si>
    <t>171107</t>
    <phoneticPr fontId="3"/>
  </si>
  <si>
    <t>171108</t>
    <phoneticPr fontId="3"/>
  </si>
  <si>
    <t>171109</t>
    <phoneticPr fontId="3"/>
  </si>
  <si>
    <t>171111</t>
    <phoneticPr fontId="3"/>
  </si>
  <si>
    <t>171112</t>
    <phoneticPr fontId="3"/>
  </si>
  <si>
    <t>171113</t>
    <phoneticPr fontId="3"/>
  </si>
  <si>
    <t>171114</t>
    <phoneticPr fontId="3"/>
  </si>
  <si>
    <t>171115</t>
    <phoneticPr fontId="3"/>
  </si>
  <si>
    <t>171116</t>
    <phoneticPr fontId="3"/>
  </si>
  <si>
    <t>171117</t>
    <phoneticPr fontId="3"/>
  </si>
  <si>
    <t>171118</t>
    <phoneticPr fontId="3"/>
  </si>
  <si>
    <t>171119</t>
    <phoneticPr fontId="3"/>
  </si>
  <si>
    <t>171120</t>
    <phoneticPr fontId="3"/>
  </si>
  <si>
    <t>171121</t>
    <phoneticPr fontId="3"/>
  </si>
  <si>
    <t>171122</t>
    <phoneticPr fontId="3"/>
  </si>
  <si>
    <t>171123</t>
    <phoneticPr fontId="3"/>
  </si>
  <si>
    <t>171124</t>
    <phoneticPr fontId="3"/>
  </si>
  <si>
    <t>171125</t>
    <phoneticPr fontId="3"/>
  </si>
  <si>
    <t>171126</t>
    <phoneticPr fontId="3"/>
  </si>
  <si>
    <t>171127</t>
    <phoneticPr fontId="3"/>
  </si>
  <si>
    <t>171128</t>
    <phoneticPr fontId="3"/>
  </si>
  <si>
    <t>171129</t>
    <phoneticPr fontId="3"/>
  </si>
  <si>
    <t>171130</t>
    <phoneticPr fontId="3"/>
  </si>
  <si>
    <t>171131</t>
    <phoneticPr fontId="3"/>
  </si>
  <si>
    <t>171132</t>
    <phoneticPr fontId="3"/>
  </si>
  <si>
    <t>171133</t>
    <phoneticPr fontId="3"/>
  </si>
  <si>
    <t>171134</t>
    <phoneticPr fontId="3"/>
  </si>
  <si>
    <t>171135</t>
    <phoneticPr fontId="3"/>
  </si>
  <si>
    <t>171136</t>
    <phoneticPr fontId="3"/>
  </si>
  <si>
    <t>171137</t>
    <phoneticPr fontId="3"/>
  </si>
  <si>
    <t>171138</t>
    <phoneticPr fontId="3"/>
  </si>
  <si>
    <t>171139</t>
    <phoneticPr fontId="3"/>
  </si>
  <si>
    <t>171140</t>
    <phoneticPr fontId="3"/>
  </si>
  <si>
    <t>171141</t>
    <phoneticPr fontId="3"/>
  </si>
  <si>
    <t>171142</t>
    <phoneticPr fontId="3"/>
  </si>
  <si>
    <t>171143</t>
    <phoneticPr fontId="3"/>
  </si>
  <si>
    <t>171110</t>
    <phoneticPr fontId="3"/>
  </si>
  <si>
    <r>
      <rPr>
        <sz val="10"/>
        <rFont val="ＭＳ Ｐゴシック"/>
        <family val="3"/>
        <charset val="128"/>
      </rPr>
      <t>シナリオ</t>
    </r>
    <r>
      <rPr>
        <sz val="10"/>
        <rFont val="Arial"/>
        <family val="2"/>
      </rPr>
      <t>1</t>
    </r>
    <phoneticPr fontId="3"/>
  </si>
  <si>
    <r>
      <rPr>
        <sz val="10"/>
        <rFont val="ＭＳ Ｐゴシック"/>
        <family val="3"/>
        <charset val="128"/>
      </rPr>
      <t>シナリオ</t>
    </r>
    <r>
      <rPr>
        <sz val="10"/>
        <rFont val="Arial"/>
        <family val="2"/>
      </rPr>
      <t>2</t>
    </r>
    <phoneticPr fontId="3"/>
  </si>
  <si>
    <r>
      <rPr>
        <sz val="10"/>
        <rFont val="ＭＳ Ｐゴシック"/>
        <family val="3"/>
        <charset val="128"/>
      </rPr>
      <t>シナリオ</t>
    </r>
    <r>
      <rPr>
        <sz val="10"/>
        <rFont val="Arial"/>
        <family val="2"/>
      </rPr>
      <t>3</t>
    </r>
    <r>
      <rPr>
        <sz val="11"/>
        <rFont val="ＭＳ Ｐゴシック"/>
        <family val="3"/>
        <charset val="128"/>
      </rPr>
      <t/>
    </r>
  </si>
  <si>
    <r>
      <rPr>
        <sz val="10"/>
        <rFont val="ＭＳ Ｐゴシック"/>
        <family val="3"/>
        <charset val="128"/>
      </rPr>
      <t>シナリオ</t>
    </r>
    <r>
      <rPr>
        <sz val="10"/>
        <rFont val="Arial"/>
        <family val="2"/>
      </rPr>
      <t>4</t>
    </r>
    <r>
      <rPr>
        <sz val="11"/>
        <rFont val="ＭＳ Ｐゴシック"/>
        <family val="3"/>
        <charset val="128"/>
      </rPr>
      <t/>
    </r>
  </si>
  <si>
    <r>
      <rPr>
        <sz val="10"/>
        <rFont val="ＭＳ Ｐゴシック"/>
        <family val="3"/>
        <charset val="128"/>
      </rPr>
      <t>シナリオ</t>
    </r>
    <r>
      <rPr>
        <sz val="10"/>
        <rFont val="Arial"/>
        <family val="2"/>
      </rPr>
      <t>5</t>
    </r>
    <r>
      <rPr>
        <sz val="11"/>
        <rFont val="ＭＳ Ｐゴシック"/>
        <family val="3"/>
        <charset val="128"/>
      </rPr>
      <t/>
    </r>
  </si>
  <si>
    <r>
      <rPr>
        <sz val="10"/>
        <rFont val="ＭＳ Ｐゴシック"/>
        <family val="3"/>
        <charset val="128"/>
      </rPr>
      <t>シナリオ</t>
    </r>
    <r>
      <rPr>
        <sz val="10"/>
        <rFont val="Arial"/>
        <family val="2"/>
      </rPr>
      <t>6</t>
    </r>
    <r>
      <rPr>
        <sz val="11"/>
        <rFont val="ＭＳ Ｐゴシック"/>
        <family val="3"/>
        <charset val="128"/>
      </rPr>
      <t/>
    </r>
  </si>
  <si>
    <r>
      <rPr>
        <sz val="10"/>
        <rFont val="ＭＳ Ｐゴシック"/>
        <family val="3"/>
        <charset val="128"/>
      </rPr>
      <t>シナリオ</t>
    </r>
    <r>
      <rPr>
        <sz val="10"/>
        <rFont val="Arial"/>
        <family val="2"/>
      </rPr>
      <t>7</t>
    </r>
    <r>
      <rPr>
        <sz val="11"/>
        <rFont val="ＭＳ Ｐゴシック"/>
        <family val="3"/>
        <charset val="128"/>
      </rPr>
      <t/>
    </r>
  </si>
  <si>
    <r>
      <rPr>
        <sz val="10"/>
        <rFont val="ＭＳ Ｐゴシック"/>
        <family val="3"/>
        <charset val="128"/>
      </rPr>
      <t>シナリオ</t>
    </r>
    <r>
      <rPr>
        <sz val="10"/>
        <rFont val="Arial"/>
        <family val="2"/>
      </rPr>
      <t>8</t>
    </r>
    <r>
      <rPr>
        <sz val="11"/>
        <rFont val="ＭＳ Ｐゴシック"/>
        <family val="3"/>
        <charset val="128"/>
      </rPr>
      <t/>
    </r>
  </si>
  <si>
    <r>
      <rPr>
        <sz val="10"/>
        <rFont val="ＭＳ Ｐゴシック"/>
        <family val="3"/>
        <charset val="128"/>
      </rPr>
      <t>シナリオ</t>
    </r>
    <r>
      <rPr>
        <sz val="10"/>
        <rFont val="Arial"/>
        <family val="2"/>
      </rPr>
      <t>9</t>
    </r>
    <r>
      <rPr>
        <sz val="11"/>
        <rFont val="ＭＳ Ｐゴシック"/>
        <family val="3"/>
        <charset val="128"/>
      </rPr>
      <t/>
    </r>
  </si>
  <si>
    <r>
      <rPr>
        <sz val="10"/>
        <rFont val="ＭＳ Ｐゴシック"/>
        <family val="3"/>
        <charset val="128"/>
      </rPr>
      <t>シナリオ</t>
    </r>
    <r>
      <rPr>
        <sz val="10"/>
        <rFont val="Arial"/>
        <family val="2"/>
      </rPr>
      <t>10</t>
    </r>
    <r>
      <rPr>
        <sz val="11"/>
        <rFont val="ＭＳ Ｐゴシック"/>
        <family val="3"/>
        <charset val="128"/>
      </rPr>
      <t/>
    </r>
  </si>
  <si>
    <r>
      <rPr>
        <sz val="10"/>
        <rFont val="ＭＳ Ｐゴシック"/>
        <family val="3"/>
        <charset val="128"/>
      </rPr>
      <t>シナリオ</t>
    </r>
    <r>
      <rPr>
        <sz val="10"/>
        <rFont val="Arial"/>
        <family val="2"/>
      </rPr>
      <t>11</t>
    </r>
    <r>
      <rPr>
        <sz val="11"/>
        <rFont val="ＭＳ Ｐゴシック"/>
        <family val="3"/>
        <charset val="128"/>
      </rPr>
      <t/>
    </r>
  </si>
  <si>
    <r>
      <rPr>
        <sz val="10"/>
        <rFont val="ＭＳ Ｐゴシック"/>
        <family val="3"/>
        <charset val="128"/>
      </rPr>
      <t>シナリオ</t>
    </r>
    <r>
      <rPr>
        <sz val="10"/>
        <rFont val="Arial"/>
        <family val="2"/>
      </rPr>
      <t>12</t>
    </r>
    <r>
      <rPr>
        <sz val="11"/>
        <rFont val="ＭＳ Ｐゴシック"/>
        <family val="3"/>
        <charset val="128"/>
      </rPr>
      <t/>
    </r>
  </si>
  <si>
    <r>
      <rPr>
        <sz val="10"/>
        <rFont val="ＭＳ Ｐゴシック"/>
        <family val="3"/>
        <charset val="128"/>
      </rPr>
      <t>シナリオ</t>
    </r>
    <r>
      <rPr>
        <sz val="10"/>
        <rFont val="Arial"/>
        <family val="2"/>
      </rPr>
      <t>13</t>
    </r>
    <r>
      <rPr>
        <sz val="11"/>
        <rFont val="ＭＳ Ｐゴシック"/>
        <family val="3"/>
        <charset val="128"/>
      </rPr>
      <t/>
    </r>
  </si>
  <si>
    <r>
      <rPr>
        <sz val="10"/>
        <rFont val="ＭＳ Ｐゴシック"/>
        <family val="3"/>
        <charset val="128"/>
      </rPr>
      <t>シナリオ</t>
    </r>
    <r>
      <rPr>
        <sz val="10"/>
        <rFont val="Arial"/>
        <family val="2"/>
      </rPr>
      <t>14</t>
    </r>
    <r>
      <rPr>
        <sz val="11"/>
        <rFont val="ＭＳ Ｐゴシック"/>
        <family val="3"/>
        <charset val="128"/>
      </rPr>
      <t/>
    </r>
  </si>
  <si>
    <r>
      <rPr>
        <sz val="10"/>
        <rFont val="ＭＳ Ｐゴシック"/>
        <family val="3"/>
        <charset val="128"/>
      </rPr>
      <t>シナリオ</t>
    </r>
    <r>
      <rPr>
        <sz val="10"/>
        <rFont val="Arial"/>
        <family val="2"/>
      </rPr>
      <t>15</t>
    </r>
    <r>
      <rPr>
        <sz val="11"/>
        <rFont val="ＭＳ Ｐゴシック"/>
        <family val="3"/>
        <charset val="128"/>
      </rPr>
      <t/>
    </r>
  </si>
  <si>
    <r>
      <rPr>
        <sz val="10"/>
        <rFont val="ＭＳ Ｐゴシック"/>
        <family val="3"/>
        <charset val="128"/>
      </rPr>
      <t>シナリオ</t>
    </r>
    <r>
      <rPr>
        <sz val="10"/>
        <rFont val="Arial"/>
        <family val="2"/>
      </rPr>
      <t>16</t>
    </r>
    <r>
      <rPr>
        <sz val="11"/>
        <rFont val="ＭＳ Ｐゴシック"/>
        <family val="3"/>
        <charset val="128"/>
      </rPr>
      <t/>
    </r>
  </si>
  <si>
    <r>
      <rPr>
        <sz val="10"/>
        <rFont val="ＭＳ Ｐゴシック"/>
        <family val="3"/>
        <charset val="128"/>
      </rPr>
      <t>シナリオ</t>
    </r>
    <r>
      <rPr>
        <sz val="10"/>
        <rFont val="Arial"/>
        <family val="2"/>
      </rPr>
      <t>17</t>
    </r>
    <r>
      <rPr>
        <sz val="11"/>
        <rFont val="ＭＳ Ｐゴシック"/>
        <family val="3"/>
        <charset val="128"/>
      </rPr>
      <t/>
    </r>
  </si>
  <si>
    <r>
      <rPr>
        <sz val="10"/>
        <rFont val="ＭＳ Ｐゴシック"/>
        <family val="3"/>
        <charset val="128"/>
      </rPr>
      <t>シナリオ</t>
    </r>
    <r>
      <rPr>
        <sz val="10"/>
        <rFont val="Arial"/>
        <family val="2"/>
      </rPr>
      <t>18</t>
    </r>
    <r>
      <rPr>
        <sz val="11"/>
        <rFont val="ＭＳ Ｐゴシック"/>
        <family val="3"/>
        <charset val="128"/>
      </rPr>
      <t/>
    </r>
  </si>
  <si>
    <r>
      <rPr>
        <sz val="10"/>
        <rFont val="ＭＳ Ｐゴシック"/>
        <family val="3"/>
        <charset val="128"/>
      </rPr>
      <t>シナリオ</t>
    </r>
    <r>
      <rPr>
        <sz val="10"/>
        <rFont val="Arial"/>
        <family val="2"/>
      </rPr>
      <t>19</t>
    </r>
    <r>
      <rPr>
        <sz val="11"/>
        <rFont val="ＭＳ Ｐゴシック"/>
        <family val="3"/>
        <charset val="128"/>
      </rPr>
      <t/>
    </r>
  </si>
  <si>
    <r>
      <rPr>
        <sz val="10"/>
        <rFont val="ＭＳ Ｐゴシック"/>
        <family val="3"/>
        <charset val="128"/>
      </rPr>
      <t>シナリオ</t>
    </r>
    <r>
      <rPr>
        <sz val="10"/>
        <rFont val="Arial"/>
        <family val="2"/>
      </rPr>
      <t>20</t>
    </r>
    <r>
      <rPr>
        <sz val="11"/>
        <rFont val="ＭＳ Ｐゴシック"/>
        <family val="3"/>
        <charset val="128"/>
      </rPr>
      <t/>
    </r>
  </si>
  <si>
    <r>
      <rPr>
        <sz val="10"/>
        <rFont val="ＭＳ Ｐゴシック"/>
        <family val="3"/>
        <charset val="128"/>
      </rPr>
      <t>シナリオ</t>
    </r>
    <r>
      <rPr>
        <sz val="10"/>
        <rFont val="Arial"/>
        <family val="2"/>
      </rPr>
      <t>21</t>
    </r>
    <r>
      <rPr>
        <sz val="11"/>
        <rFont val="ＭＳ Ｐゴシック"/>
        <family val="3"/>
        <charset val="128"/>
      </rPr>
      <t/>
    </r>
  </si>
  <si>
    <r>
      <rPr>
        <sz val="10"/>
        <rFont val="ＭＳ Ｐゴシック"/>
        <family val="3"/>
        <charset val="128"/>
      </rPr>
      <t>シナリオ</t>
    </r>
    <r>
      <rPr>
        <sz val="10"/>
        <rFont val="Arial"/>
        <family val="2"/>
      </rPr>
      <t>22</t>
    </r>
    <r>
      <rPr>
        <sz val="11"/>
        <rFont val="ＭＳ Ｐゴシック"/>
        <family val="3"/>
        <charset val="128"/>
      </rPr>
      <t/>
    </r>
  </si>
  <si>
    <r>
      <rPr>
        <sz val="10"/>
        <rFont val="ＭＳ Ｐゴシック"/>
        <family val="3"/>
        <charset val="128"/>
      </rPr>
      <t>シナリオ</t>
    </r>
    <r>
      <rPr>
        <sz val="10"/>
        <rFont val="Arial"/>
        <family val="2"/>
      </rPr>
      <t>23</t>
    </r>
    <r>
      <rPr>
        <sz val="11"/>
        <rFont val="ＭＳ Ｐゴシック"/>
        <family val="3"/>
        <charset val="128"/>
      </rPr>
      <t/>
    </r>
  </si>
  <si>
    <r>
      <rPr>
        <sz val="10"/>
        <rFont val="ＭＳ Ｐゴシック"/>
        <family val="3"/>
        <charset val="128"/>
      </rPr>
      <t>シナリオ</t>
    </r>
    <r>
      <rPr>
        <sz val="10"/>
        <rFont val="Arial"/>
        <family val="2"/>
      </rPr>
      <t>24</t>
    </r>
    <r>
      <rPr>
        <sz val="11"/>
        <rFont val="ＭＳ Ｐゴシック"/>
        <family val="3"/>
        <charset val="128"/>
      </rPr>
      <t/>
    </r>
  </si>
  <si>
    <r>
      <rPr>
        <sz val="10"/>
        <rFont val="ＭＳ Ｐゴシック"/>
        <family val="3"/>
        <charset val="128"/>
      </rPr>
      <t>シナリオ</t>
    </r>
    <r>
      <rPr>
        <sz val="10"/>
        <rFont val="Arial"/>
        <family val="2"/>
      </rPr>
      <t>25</t>
    </r>
    <r>
      <rPr>
        <sz val="11"/>
        <rFont val="ＭＳ Ｐゴシック"/>
        <family val="3"/>
        <charset val="128"/>
      </rPr>
      <t/>
    </r>
  </si>
  <si>
    <r>
      <rPr>
        <sz val="10"/>
        <rFont val="ＭＳ Ｐゴシック"/>
        <family val="3"/>
        <charset val="128"/>
      </rPr>
      <t>シナリオ</t>
    </r>
    <r>
      <rPr>
        <sz val="10"/>
        <rFont val="Arial"/>
        <family val="2"/>
      </rPr>
      <t>26</t>
    </r>
    <r>
      <rPr>
        <sz val="11"/>
        <rFont val="ＭＳ Ｐゴシック"/>
        <family val="3"/>
        <charset val="128"/>
      </rPr>
      <t/>
    </r>
  </si>
  <si>
    <r>
      <rPr>
        <sz val="10"/>
        <rFont val="ＭＳ Ｐゴシック"/>
        <family val="3"/>
        <charset val="128"/>
      </rPr>
      <t>シナリオ</t>
    </r>
    <r>
      <rPr>
        <sz val="10"/>
        <rFont val="Arial"/>
        <family val="2"/>
      </rPr>
      <t>27</t>
    </r>
    <r>
      <rPr>
        <sz val="11"/>
        <rFont val="ＭＳ Ｐゴシック"/>
        <family val="3"/>
        <charset val="128"/>
      </rPr>
      <t/>
    </r>
  </si>
  <si>
    <r>
      <rPr>
        <sz val="10"/>
        <rFont val="ＭＳ Ｐゴシック"/>
        <family val="3"/>
        <charset val="128"/>
      </rPr>
      <t>シナリオ</t>
    </r>
    <r>
      <rPr>
        <sz val="10"/>
        <rFont val="Arial"/>
        <family val="2"/>
      </rPr>
      <t>28</t>
    </r>
    <r>
      <rPr>
        <sz val="11"/>
        <rFont val="ＭＳ Ｐゴシック"/>
        <family val="3"/>
        <charset val="128"/>
      </rPr>
      <t/>
    </r>
  </si>
  <si>
    <r>
      <rPr>
        <sz val="10"/>
        <rFont val="ＭＳ Ｐゴシック"/>
        <family val="3"/>
        <charset val="128"/>
      </rPr>
      <t>シナリオ</t>
    </r>
    <r>
      <rPr>
        <sz val="10"/>
        <rFont val="Arial"/>
        <family val="2"/>
      </rPr>
      <t>29</t>
    </r>
    <r>
      <rPr>
        <sz val="11"/>
        <rFont val="ＭＳ Ｐゴシック"/>
        <family val="3"/>
        <charset val="128"/>
      </rPr>
      <t/>
    </r>
  </si>
  <si>
    <r>
      <rPr>
        <sz val="10"/>
        <rFont val="ＭＳ Ｐゴシック"/>
        <family val="3"/>
        <charset val="128"/>
      </rPr>
      <t>シナリオ</t>
    </r>
    <r>
      <rPr>
        <sz val="10"/>
        <rFont val="Arial"/>
        <family val="2"/>
      </rPr>
      <t>30</t>
    </r>
    <r>
      <rPr>
        <sz val="11"/>
        <rFont val="ＭＳ Ｐゴシック"/>
        <family val="3"/>
        <charset val="128"/>
      </rPr>
      <t/>
    </r>
  </si>
  <si>
    <r>
      <rPr>
        <sz val="10"/>
        <rFont val="ＭＳ Ｐゴシック"/>
        <family val="3"/>
        <charset val="128"/>
      </rPr>
      <t>シナリオ</t>
    </r>
    <r>
      <rPr>
        <sz val="10"/>
        <rFont val="Arial"/>
        <family val="2"/>
      </rPr>
      <t>31</t>
    </r>
    <r>
      <rPr>
        <sz val="11"/>
        <rFont val="ＭＳ Ｐゴシック"/>
        <family val="3"/>
        <charset val="128"/>
      </rPr>
      <t/>
    </r>
  </si>
  <si>
    <r>
      <rPr>
        <sz val="10"/>
        <rFont val="ＭＳ Ｐゴシック"/>
        <family val="3"/>
        <charset val="128"/>
      </rPr>
      <t>シナリオ</t>
    </r>
    <r>
      <rPr>
        <sz val="10"/>
        <rFont val="Arial"/>
        <family val="2"/>
      </rPr>
      <t>32</t>
    </r>
    <r>
      <rPr>
        <sz val="11"/>
        <rFont val="ＭＳ Ｐゴシック"/>
        <family val="3"/>
        <charset val="128"/>
      </rPr>
      <t/>
    </r>
  </si>
  <si>
    <r>
      <rPr>
        <sz val="10"/>
        <rFont val="ＭＳ Ｐゴシック"/>
        <family val="3"/>
        <charset val="128"/>
      </rPr>
      <t>シナリオ</t>
    </r>
    <r>
      <rPr>
        <sz val="10"/>
        <rFont val="Arial"/>
        <family val="2"/>
      </rPr>
      <t>33</t>
    </r>
    <r>
      <rPr>
        <sz val="11"/>
        <rFont val="ＭＳ Ｐゴシック"/>
        <family val="3"/>
        <charset val="128"/>
      </rPr>
      <t/>
    </r>
  </si>
  <si>
    <r>
      <rPr>
        <sz val="10"/>
        <rFont val="ＭＳ Ｐゴシック"/>
        <family val="3"/>
        <charset val="128"/>
      </rPr>
      <t>シナリオ</t>
    </r>
    <r>
      <rPr>
        <sz val="10"/>
        <rFont val="Arial"/>
        <family val="2"/>
      </rPr>
      <t>34</t>
    </r>
    <r>
      <rPr>
        <sz val="11"/>
        <rFont val="ＭＳ Ｐゴシック"/>
        <family val="3"/>
        <charset val="128"/>
      </rPr>
      <t/>
    </r>
  </si>
  <si>
    <r>
      <rPr>
        <sz val="10"/>
        <rFont val="ＭＳ Ｐゴシック"/>
        <family val="3"/>
        <charset val="128"/>
      </rPr>
      <t>シナリオ</t>
    </r>
    <r>
      <rPr>
        <sz val="10"/>
        <rFont val="Arial"/>
        <family val="2"/>
      </rPr>
      <t>35</t>
    </r>
    <r>
      <rPr>
        <sz val="11"/>
        <rFont val="ＭＳ Ｐゴシック"/>
        <family val="3"/>
        <charset val="128"/>
      </rPr>
      <t/>
    </r>
  </si>
  <si>
    <r>
      <rPr>
        <sz val="10"/>
        <rFont val="ＭＳ Ｐゴシック"/>
        <family val="3"/>
        <charset val="128"/>
      </rPr>
      <t>シナリオ</t>
    </r>
    <r>
      <rPr>
        <sz val="10"/>
        <rFont val="Arial"/>
        <family val="2"/>
      </rPr>
      <t>36</t>
    </r>
    <r>
      <rPr>
        <sz val="11"/>
        <rFont val="ＭＳ Ｐゴシック"/>
        <family val="3"/>
        <charset val="128"/>
      </rPr>
      <t/>
    </r>
  </si>
  <si>
    <r>
      <rPr>
        <sz val="10"/>
        <rFont val="ＭＳ Ｐゴシック"/>
        <family val="3"/>
        <charset val="128"/>
      </rPr>
      <t>シナリオ</t>
    </r>
    <r>
      <rPr>
        <sz val="10"/>
        <rFont val="Arial"/>
        <family val="2"/>
      </rPr>
      <t>37</t>
    </r>
    <r>
      <rPr>
        <sz val="11"/>
        <rFont val="ＭＳ Ｐゴシック"/>
        <family val="3"/>
        <charset val="128"/>
      </rPr>
      <t/>
    </r>
  </si>
  <si>
    <r>
      <rPr>
        <sz val="10"/>
        <rFont val="ＭＳ Ｐゴシック"/>
        <family val="3"/>
        <charset val="128"/>
      </rPr>
      <t>シナリオ</t>
    </r>
    <r>
      <rPr>
        <sz val="10"/>
        <rFont val="Arial"/>
        <family val="2"/>
      </rPr>
      <t>38</t>
    </r>
    <r>
      <rPr>
        <sz val="11"/>
        <rFont val="ＭＳ Ｐゴシック"/>
        <family val="3"/>
        <charset val="128"/>
      </rPr>
      <t/>
    </r>
  </si>
  <si>
    <r>
      <rPr>
        <sz val="10"/>
        <rFont val="ＭＳ Ｐゴシック"/>
        <family val="3"/>
        <charset val="128"/>
      </rPr>
      <t>シナリオ</t>
    </r>
    <r>
      <rPr>
        <sz val="10"/>
        <rFont val="Arial"/>
        <family val="2"/>
      </rPr>
      <t>39</t>
    </r>
    <r>
      <rPr>
        <sz val="11"/>
        <rFont val="ＭＳ Ｐゴシック"/>
        <family val="3"/>
        <charset val="128"/>
      </rPr>
      <t/>
    </r>
  </si>
  <si>
    <r>
      <rPr>
        <sz val="10"/>
        <rFont val="ＭＳ Ｐゴシック"/>
        <family val="3"/>
        <charset val="128"/>
      </rPr>
      <t>シナリオ</t>
    </r>
    <r>
      <rPr>
        <sz val="10"/>
        <rFont val="Arial"/>
        <family val="2"/>
      </rPr>
      <t>40</t>
    </r>
    <r>
      <rPr>
        <sz val="11"/>
        <rFont val="ＭＳ Ｐゴシック"/>
        <family val="3"/>
        <charset val="128"/>
      </rPr>
      <t/>
    </r>
  </si>
  <si>
    <r>
      <rPr>
        <sz val="10"/>
        <rFont val="ＭＳ Ｐゴシック"/>
        <family val="3"/>
        <charset val="128"/>
      </rPr>
      <t>シナリオ</t>
    </r>
    <r>
      <rPr>
        <sz val="10"/>
        <rFont val="Arial"/>
        <family val="2"/>
      </rPr>
      <t>41</t>
    </r>
    <r>
      <rPr>
        <sz val="11"/>
        <rFont val="ＭＳ Ｐゴシック"/>
        <family val="3"/>
        <charset val="128"/>
      </rPr>
      <t/>
    </r>
  </si>
  <si>
    <r>
      <rPr>
        <sz val="10"/>
        <rFont val="ＭＳ Ｐゴシック"/>
        <family val="3"/>
        <charset val="128"/>
      </rPr>
      <t>シナリオ</t>
    </r>
    <r>
      <rPr>
        <sz val="10"/>
        <rFont val="Arial"/>
        <family val="2"/>
      </rPr>
      <t>42</t>
    </r>
    <r>
      <rPr>
        <sz val="11"/>
        <rFont val="ＭＳ Ｐゴシック"/>
        <family val="3"/>
        <charset val="128"/>
      </rPr>
      <t/>
    </r>
  </si>
  <si>
    <r>
      <rPr>
        <sz val="10"/>
        <rFont val="ＭＳ Ｐゴシック"/>
        <family val="3"/>
        <charset val="128"/>
      </rPr>
      <t>シナリオ</t>
    </r>
    <r>
      <rPr>
        <sz val="10"/>
        <rFont val="Arial"/>
        <family val="2"/>
      </rPr>
      <t>43</t>
    </r>
    <r>
      <rPr>
        <sz val="11"/>
        <rFont val="ＭＳ Ｐゴシック"/>
        <family val="3"/>
        <charset val="128"/>
      </rPr>
      <t/>
    </r>
  </si>
  <si>
    <t>&lt;?xml version="1.0" encoding="UTF-8"?&gt;</t>
  </si>
  <si>
    <t>APIレスポンス</t>
    <phoneticPr fontId="3"/>
  </si>
  <si>
    <t>アプリログ</t>
    <phoneticPr fontId="3"/>
  </si>
  <si>
    <t xml:space="preserve">com.kddi.smc.fmconline.common.exception.ApplicationException: </t>
  </si>
  <si>
    <t>at com.kddi.smc.fmconline.common.servlet.BaseServlet.validate(BaseServlet.java:293)</t>
  </si>
  <si>
    <t>at com.kddi.smc.fmconline.common.servlet.BaseServlet.service(BaseServlet.java:88)</t>
  </si>
  <si>
    <t>at javax.servlet.http.HttpServlet.service(HttpServlet.java:847)</t>
  </si>
  <si>
    <t>at org.apache.catalina.core.ApplicationFilterChain.internalDoFilter(ApplicationFilterChain.java:295)</t>
  </si>
  <si>
    <t>at org.apache.catalina.core.ApplicationFilterChain.doFilter(ApplicationFilterChain.java:214)</t>
  </si>
  <si>
    <t>at org.apache.catalina.core.StandardWrapperValve.invoke(StandardWrapperValve.java:231)</t>
  </si>
  <si>
    <t>at org.apache.catalina.core.StandardContextValve.invoke(StandardContextValve.java:149)</t>
  </si>
  <si>
    <t>at org.jboss.as.web.security.SecurityContextAssociationValve.invoke(SecurityContextAssociationValve.java:169)</t>
  </si>
  <si>
    <t>at org.apache.catalina.core.StandardHostValve.invoke(StandardHostValve.java:150)</t>
  </si>
  <si>
    <t>at org.apache.catalina.valves.ErrorReportValve.invoke(ErrorReportValve.java:97)</t>
  </si>
  <si>
    <t>at org.apache.catalina.core.StandardEngineValve.invoke(StandardEngineValve.java:102)</t>
  </si>
  <si>
    <t>at org.apache.catalina.connector.CoyoteAdapter.service(CoyoteAdapter.java:344)</t>
  </si>
  <si>
    <t>at org.apache.coyote.http11.Http11Processor.process(Http11Processor.java:854)</t>
  </si>
  <si>
    <t>at org.apache.coyote.http11.Http11Protocol$Http11ConnectionHandler.process(Http11Protocol.java:653)</t>
  </si>
  <si>
    <t>at org.apache.tomcat.util.net.JIoEndpoint$Worker.run(JIoEndpoint.java:926)</t>
  </si>
  <si>
    <t>at java.lang.Thread.run(Thread.java:745)</t>
  </si>
  <si>
    <t>9</t>
    <phoneticPr fontId="3"/>
  </si>
  <si>
    <t>25</t>
    <phoneticPr fontId="3"/>
  </si>
  <si>
    <t>OK</t>
    <phoneticPr fontId="3"/>
  </si>
  <si>
    <t>正田</t>
    <rPh sb="0" eb="2">
      <t>マサダ</t>
    </rPh>
    <phoneticPr fontId="3"/>
  </si>
  <si>
    <t>Message    :&lt;CI&gt;String: ',' does not match pattern for type of remarks-7 element in type of more-agency-info element in type of agency-info element in type of api-prm element in type of element api-request in namespace http://kddi.com/smc/fmconline/bbcappl/schema/reg_diff_industries_appl_request</t>
  </si>
  <si>
    <t>Invalid XML:&lt;CI&gt;&lt;xml-fragment xmlns:com="http://kddi.com/smc/fmconline/common/schema/common_request"&gt;,&lt;/xml-fragment&gt;</t>
  </si>
  <si>
    <t>2017/09/25 13:04:35.661 I 21347 AUE31814 RegDiffIndustriesApplServlet 00002I:Service End</t>
  </si>
  <si>
    <t>Message    :&lt;CI&gt;String length (181) is greater than max length facet (180) for type of remarks-7 element in type of more-agency-info element in type of agency-info element in type of api-prm element in type of element api-request in namespace http://kddi.com/smc/fmconline/bbcappl/schema/reg_diff_industries_appl_request</t>
  </si>
  <si>
    <t>Invalid XML:&lt;CI&gt;&lt;xml-fragment xmlns:com="http://kddi.com/smc/fmconline/common/schema/common_request"&gt;0123456789012345678901234567890123456789012345678901234567890123456789012345678901234567890123456789012345678901234567890123456789012345678901234567890123456789012345678901234567890&lt;/xml-fragment&gt;</t>
  </si>
  <si>
    <t>Message    :&lt;CI&gt;String: ',' does not match pattern for type of remarks-8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</si>
  <si>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remarks-8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</si>
  <si>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remarks-9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</si>
  <si>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remarks-9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</si>
  <si>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remarks-10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</si>
  <si>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remarks-10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</si>
  <si>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remarks-11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</si>
  <si>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remarks-11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</si>
  <si>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remarks-12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</si>
  <si>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remarks-12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</si>
  <si>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remarks-13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</si>
  <si>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remarks-13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</si>
  <si>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remarks-14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</si>
  <si>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remarks-14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</si>
  <si>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remarks-15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</si>
  <si>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remarks-15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</si>
  <si>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remarks-16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</si>
  <si>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remarks-17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</si>
  <si>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remarks-17 element in type of more-agency-info element in type of agency-info element in type of api-prm element in type of element api-request in namespace http://kddi.com/smc/fmconline/bbcappl/schema/reg_diff_industries_appl_request</t>
  </si>
  <si>
    <t>Message    :&lt;CI&gt;String: ',' does not match pattern for type of remarks-18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</si>
  <si>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remarks-18 element in type of more-agency-info element in type of agency-info element in type of api-prm element in type of element api-request in namespace http://kddi.com/smc/fmconline/bbcappl/schema/reg_diff_industries_appl_request</t>
  </si>
  <si>
    <t>Message    :&lt;CI&gt;String length (181) is greater than max length facet (180) for type of remarks-19 element in type of more-agency-info element in type of agency-info element in type of api-prm element in type of element api-request in namespace http://kddi.com/smc/fmconline/bbcappl/schema/reg_diff_industries_appl_request</t>
  </si>
  <si>
    <t>Invalid XML:&lt;CI&gt;&lt;xml-fragment xmlns:com="http://kddi.com/smc/fmconline/common/schema/common_request"&gt;012345678901234567890123456789012345678901234567890123456789012345678901234567890123456789012345678901234567890123456789012345678901234567890123456789012345678901234567890123456789°&lt;/xml-fragment&gt;</t>
  </si>
  <si>
    <t>Message    :&lt;CI&gt;String: ',' does not match pattern for type of remarks-20 element in type of more-agency-info element in type of agency-info element in type of api-prm element in type of element api-request in namespace http://kddi.com/smc/fmconline/bbcappl/schema/reg_diff_industries_appl_request</t>
  </si>
  <si>
    <t>12345</t>
    <phoneticPr fontId="3"/>
  </si>
  <si>
    <t>20170920130000</t>
    <phoneticPr fontId="3"/>
  </si>
  <si>
    <t>20170920130000</t>
  </si>
  <si>
    <t>com.kddi.smc.fmconline.common.exception.ApplicationException: checkByte name = [REMARKS-20]</t>
  </si>
  <si>
    <t>at com.kddi.smc.fmconline.diffindustappl.regdiffindustriesappl.bl.RegDiffIndustriesApplBL.checkByte_aroundBody6(RegDiffIndustriesApplBL.java:319)</t>
  </si>
  <si>
    <t>at com.kddi.smc.fmconline.diffindustappl.regdiffindustriesappl.bl.RegDiffIndustriesApplBL$AjcClosure7.run(RegDiffIndustriesApplBL.java:1)</t>
  </si>
  <si>
    <t>at org.aspectj.runtime.reflect.JoinPointImpl.proceed(JoinPointImpl.java:149)</t>
  </si>
  <si>
    <t>at MethodTraceLoggerAspect.trace(MethodTraceLoggerAspect.java:32)</t>
  </si>
  <si>
    <t>at com.kddi.smc.fmconline.diffindustappl.regdiffindustriesappl.bl.RegDiffIndustriesApplBL.checkByte(RegDiffIndustriesApplBL.java:107)</t>
  </si>
  <si>
    <t>at com.kddi.smc.fmconline.diffindustappl.regdiffindustriesappl.bl.RegDiffIndustriesApplBL.execute_aroundBody4(RegDiffIndustriesApplBL.java:74)</t>
  </si>
  <si>
    <t>at com.kddi.smc.fmconline.diffindustappl.regdiffindustriesappl.bl.RegDiffIndustriesApplBL$AjcClosure5.run(RegDiffIndustriesApplBL.java:1)</t>
  </si>
  <si>
    <t>at com.kddi.smc.fmconline.diffindustappl.regdiffindustriesappl.bl.RegDiffIndustriesApplBL.execute(RegDiffIndustriesApplBL.java:63)</t>
  </si>
  <si>
    <t>at com.kddi.smc.fmconline.diffindustappl.regdiffindustriesappl.bl.RegDiffIndustriesApplBL$$EnhancedByS2AOP$$5c146a29.execute$$invokeSuperMethod$$(RegDiffIndustriesApplBL$$EnhancedByS2AOP$$5c146a29.java)</t>
  </si>
  <si>
    <t>at com.kddi.smc.fmconline.diffindustappl.regdiffindustriesappl.bl.RegDiffIndustriesApplBL$$EnhancedByS2AOP$$5c146a29$$MethodInvocation$$execute0.proceed(MethodInvocationClassGenerator.java)</t>
  </si>
  <si>
    <t>at org.seasar.extension.tx.RequiredInterceptor.invoke(RequiredInterceptor.java:40)</t>
  </si>
  <si>
    <t>at com.kddi.smc.fmconline.diffindustappl.regdiffindustriesappl.bl.RegDiffIndustriesApplBL$$EnhancedByS2AOP$$5c146a29.execute(RegDiffIndustriesApplBL$$EnhancedByS2AOP$$5c146a29.java)</t>
  </si>
  <si>
    <t>at com.kddi.smc.fmconline.diffindustappl.regdiffindustriesappl.servlet.RegDiffIndustriesApplServlet.execute(RegDiffIndustriesApplServlet.java:21)</t>
  </si>
  <si>
    <t>at com.kddi.smc.fmconline.bbcbase.servlet.BBCBaseServlet.callExecute(BBCBaseServlet.java:443)</t>
  </si>
  <si>
    <t>at com.kddi.smc.fmconline.bbcbase.servlet.BBCBaseServlet.doMethod(BBCBaseServlet.java:387)</t>
  </si>
  <si>
    <t>at com.kddi.smc.fmconline.bbcbase.servlet.BBCBaseServlet.start(BBCBaseServlet.java:53)</t>
  </si>
  <si>
    <t>at com.kddi.smc.fmconline.common.servlet.BaseServlet.service(BaseServlet.java:117)</t>
  </si>
  <si>
    <t>マラメータ：なし</t>
    <phoneticPr fontId="3"/>
  </si>
  <si>
    <t>パラメータ：あり</t>
    <phoneticPr fontId="3"/>
  </si>
  <si>
    <t>Nul</t>
    <phoneticPr fontId="3"/>
  </si>
  <si>
    <t>取次情報.各事業者向け取次情報.備考7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</si>
  <si>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取次情報.各事業者向け取次情報.備考8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</si>
  <si>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取次情報.各事業者向け取次情報.備考9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</si>
  <si>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取次情報.各事業者向け取次情報.備考10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</si>
  <si>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取次情報.各事業者向け取次情報.備考11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</si>
  <si>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取次情報.各事業者向け取次情報.備考12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</si>
  <si>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取次情報.各事業者向け取次情報.備考13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</si>
  <si>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取次情報.各事業者向け取次情報.備考14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</si>
  <si>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取次情報.各事業者向け取次情報.備考15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</si>
  <si>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取次情報.各事業者向け取次情報.備考16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</si>
  <si>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取次情報.各事業者向け取次情報.備考17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</si>
  <si>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取次情報.各事業者向け取次情報.備考18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</si>
  <si>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取次情報.各事業者向け取次情報.備考19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</si>
  <si>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取次情報.各事業者向け取次情報.備考20
パラメータ：なし</t>
    <rPh sb="0" eb="2">
      <t>トリツギ</t>
    </rPh>
    <rPh sb="2" eb="4">
      <t>ジョウホウ</t>
    </rPh>
    <rPh sb="5" eb="9">
      <t>カクジギョウシャ</t>
    </rPh>
    <rPh sb="9" eb="10">
      <t>ム</t>
    </rPh>
    <rPh sb="11" eb="13">
      <t>トリツギ</t>
    </rPh>
    <rPh sb="13" eb="15">
      <t>ジョウホウ</t>
    </rPh>
    <rPh sb="16" eb="18">
      <t>ビコウ</t>
    </rPh>
    <phoneticPr fontId="3"/>
  </si>
  <si>
    <t>①応答内容
　API処理状態：00
　個別結果コード：0000
②テーブル登録内容
　異業種商材申込情報テーブル：登録有り
　NULL設定</t>
    <rPh sb="37" eb="39">
      <t>トウロク</t>
    </rPh>
    <rPh sb="39" eb="41">
      <t>ナイヨウ</t>
    </rPh>
    <rPh sb="57" eb="59">
      <t>トウロク</t>
    </rPh>
    <rPh sb="59" eb="60">
      <t>ア</t>
    </rPh>
    <rPh sb="67" eb="69">
      <t>セッテイ</t>
    </rPh>
    <phoneticPr fontId="3"/>
  </si>
  <si>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20&lt;/different-appl-mng-no&gt;&lt;introduction-no&gt;IG0000020&lt;/introduction-no&gt;&lt;/reg-info&gt;&lt;/api-prm&gt;&lt;/api-response&gt;</t>
  </si>
  <si>
    <t>2017/09/25 15:39:00.795 I 21347 AUE31814 RegDiffIndustriesApplServlet 00002I:Service End</t>
  </si>
  <si>
    <t>2017/09/25 16:09:03.020 I 21345          RegDiffIndustriesApplServlet 00001I:Service Start</t>
  </si>
  <si>
    <t>2017/09/25 16:09:03.020 D 21345          RegDiffIndustriesApplServlet :▽▽parse▽▽</t>
  </si>
  <si>
    <t>2017/09/25 16:09:03.020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171101&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</si>
  <si>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16:09:03.020 D 21345          RegDiffIndustriesApplServlet :△△parse△△[0ミリ秒]</t>
  </si>
  <si>
    <t>2017/09/25 16:09:03.020 D 21345 AUE31814 DBCacheUtil 00104D:Trace:groupId=BASE_SERVICE_TIME;keyword=CHECK_FLG;value=0</t>
  </si>
  <si>
    <t>2017/09/25 16:09:03.020 D 21345 AUE31814 RegDiffIndustriesApplServlet :▽▽validate▽▽</t>
  </si>
  <si>
    <t>2017/09/25 16:09:03.020 D 21345 AUE31814 RegDiffIndustriesApplServlet :△△validate△△[0ミリ秒]</t>
  </si>
  <si>
    <t>2017/09/25 16:09:03.020 D 21345 AUE31814 DBCacheUtil 00104D:Trace:groupId=API_VERSION;keyword=/fmc-on/bbc-appl-api/diffindustappl/reg_diff_industries_appl;value=10</t>
  </si>
  <si>
    <t>2017/09/25 16:09:03.020 D 21345 AUE31814 RegDiffIndustriesApplServlet :▽▽業務ロジック▽▽</t>
  </si>
  <si>
    <t>2017/09/25 16:09:03.020 D 21345 AUE31814 RegDiffIndustriesApplBL 00104D:Trace:[setSequenceDao開始]</t>
  </si>
  <si>
    <t>2017/09/25 16:09:03.020 D 21345 AUE31814 RegDiffIndustriesApplBL 00104D:Trace:[setSequenceDao終了]</t>
  </si>
  <si>
    <t>2017/09/25 16:09:03.020 D 21345 AUE31814 RegDiffIndustriesApplBL 00104D:Trace:[setdApplDiffIndustryInfoApplDao開始]</t>
  </si>
  <si>
    <t>2017/09/25 16:09:03.020 D 21345 AUE31814 RegDiffIndustriesApplBL 00104D:Trace:[setdApplDiffIndustryInfoApplDao終了]</t>
  </si>
  <si>
    <t>2017/09/25 16:09:03.030 D 21345 AUE31814 RegDiffIndustriesApplBL 00104D:Trace:[execute開始]</t>
  </si>
  <si>
    <t>2017/09/25 16:09:03.030 D 21345 AUE31814 RegDiffIndustriesApplBL 00104D:Trace:[traceRequest開始]</t>
  </si>
  <si>
    <t>2017/09/25 16:09:03.030 D 21345 AUE31814 RegDiffIndustriesApplBL 00104D:Trace:au代理店コード：E845001</t>
  </si>
  <si>
    <t>2017/09/25 16:09:03.030 D 21345 AUE31814 RegDiffIndustriesApplBL 00104D:Trace: 申込押下ボタン：8</t>
  </si>
  <si>
    <t>2017/09/25 16:09:03.030 D 21345 AUE31814 RegDiffIndustriesApplBL 00104D:Trace: 店名：Ｅ８４５００１</t>
  </si>
  <si>
    <t>2017/09/25 16:09:03.030 D 21345 AUE31814 RegDiffIndustriesApplBL 00104D:Trace: 担当者名：ＯＲＡＮＧＥ担当者</t>
  </si>
  <si>
    <t>2017/09/25 16:09:03.030 D 21345 AUE31814 RegDiffIndustriesApplBL 00104D:Trace: 担当者名(名)：null</t>
  </si>
  <si>
    <t>2017/09/25 16:09:03.030 D 21345 AUE31814 RegDiffIndustriesApplBL 00104D:Trace: 電話番号：null</t>
  </si>
  <si>
    <t>2017/09/25 16:09:03.030 D 21345 AUE31814 RegDiffIndustriesApplBL 00104D:Trace: 申込年月日：20170920</t>
  </si>
  <si>
    <t>2017/09/25 16:09:03.030 D 21345 AUE31814 RegDiffIndustriesApplBL 00104D:Trace: 申込時刻：123456</t>
  </si>
  <si>
    <t>2017/09/25 16:09:03.030 D 21345 AUE31814 RegDiffIndustriesApplBL 00104D:Trace: 事業者コード：17110</t>
  </si>
  <si>
    <t>2017/09/25 16:09:03.030 D 21345 AUE31814 RegDiffIndustriesApplBL 00104D:Trace: 商品コード：171101</t>
  </si>
  <si>
    <t>2017/09/25 16:09:03.030 D 21345 AUE31814 RegDiffIndustriesApplBL 00104D:Trace: 漢字：ＦＭＣ試験　太郎</t>
  </si>
  <si>
    <t>2017/09/25 16:09:03.030 D 21345 AUE31814 RegDiffIndustriesApplBL 00104D:Trace: カナ：ＦＭＣシケン　タロウ</t>
  </si>
  <si>
    <t>2017/09/25 16:09:03.030 D 21345 AUE31814 RegDiffIndustriesApplBL 00104D:Trace: 自宅・勤務先電話番号：0312345678</t>
  </si>
  <si>
    <t>2017/09/25 16:09:03.030 D 21345 AUE31814 RegDiffIndustriesApplBL 00104D:Trace: 携帯電話番号：null</t>
  </si>
  <si>
    <t>2017/09/25 16:09:03.030 D 21345 AUE31814 RegDiffIndustriesApplBL 00104D:Trace: 郵便番号：1080035</t>
  </si>
  <si>
    <t>2017/09/25 16:09:03.030 D 21345 AUE31814 RegDiffIndustriesApplBL 00104D:Trace: 住所：東京都港区白金１丁目</t>
  </si>
  <si>
    <t>2017/09/25 16:09:03.030 D 21345 AUE31814 RegDiffIndustriesApplBL 00104D:Trace: 住居区分：0</t>
  </si>
  <si>
    <t>2017/09/25 16:09:03.030 D 21345 AUE31814 RegDiffIndustriesApplBL 00104D:Trace: 所有区分：1</t>
  </si>
  <si>
    <t>2017/09/25 16:09:03.030 D 21345 AUE31814 RegDiffIndustriesApplBL 00104D:Trace: 連絡希望曜日：0</t>
  </si>
  <si>
    <t>2017/09/25 16:09:03.030 D 21345 AUE31814 RegDiffIndustriesApplBL 00104D:Trace: 連絡希望時間帯：1</t>
  </si>
  <si>
    <t>2017/09/25 16:09:03.030 D 21345 AUE31814 RegDiffIndustriesApplBL 00104D:Trace: お客様ID：null</t>
  </si>
  <si>
    <t>2017/09/25 16:09:03.030 D 21345 AUE31814 RegDiffIndustriesApplBL 00104D:Trace: 備考1：備考1</t>
  </si>
  <si>
    <t>2017/09/25 16:09:03.030 D 21345 AUE31814 RegDiffIndustriesApplBL 00104D:Trace: 備考2：備考2</t>
  </si>
  <si>
    <t>2017/09/25 16:09:03.030 D 21345 AUE31814 RegDiffIndustriesApplBL 00104D:Trace: 備考3：備考3</t>
  </si>
  <si>
    <t>2017/09/25 16:09:03.030 D 21345 AUE31814 RegDiffIndustriesApplBL 00104D:Trace: 備考4：備考4</t>
  </si>
  <si>
    <t>2017/09/25 16:09:03.030 D 21345 AUE31814 RegDiffIndustriesApplBL 00104D:Trace: 備考5：備考5</t>
  </si>
  <si>
    <t>2017/09/25 16:09:03.030 D 21345 AUE31814 RegDiffIndustriesApplBL 00104D:Trace: 備考6：備考6</t>
  </si>
  <si>
    <t>2017/09/25 16:09:03.030 D 21345 AUE31814 RegDiffIndustriesApplBL 00104D:Trace: 備考7：null</t>
  </si>
  <si>
    <t>2017/09/25 16:09:03.030 D 21345 AUE31814 RegDiffIndustriesApplBL 00104D:Trace: 備考8：備考8</t>
  </si>
  <si>
    <t>2017/09/25 16:09:03.030 D 21345 AUE31814 RegDiffIndustriesApplBL 00104D:Trace: 備考9：備考9</t>
  </si>
  <si>
    <t>2017/09/25 16:09:03.030 D 21345 AUE31814 RegDiffIndustriesApplBL 00104D:Trace: 備考10：備考10</t>
  </si>
  <si>
    <t>2017/09/25 16:09:03.030 D 21345 AUE31814 RegDiffIndustriesApplBL 00104D:Trace: 備考11：備考11</t>
  </si>
  <si>
    <t>2017/09/25 16:09:03.030 D 21345 AUE31814 RegDiffIndustriesApplBL 00104D:Trace: 備考12：備考12</t>
  </si>
  <si>
    <t>2017/09/25 16:09:03.030 D 21345 AUE31814 RegDiffIndustriesApplBL 00104D:Trace: 備考13：備考13</t>
  </si>
  <si>
    <t>2017/09/25 16:09:03.030 D 21345 AUE31814 RegDiffIndustriesApplBL 00104D:Trace: 備考14：備考14</t>
  </si>
  <si>
    <t>2017/09/25 16:09:03.030 D 21345 AUE31814 RegDiffIndustriesApplBL 00104D:Trace: 備考15：備考15</t>
  </si>
  <si>
    <t>2017/09/25 16:09:03.030 D 21345 AUE31814 RegDiffIndustriesApplBL 00104D:Trace: 備考16：備考16</t>
  </si>
  <si>
    <t>2017/09/25 16:09:03.030 D 21345 AUE31814 RegDiffIndustriesApplBL 00104D:Trace: 備考17：備考17</t>
  </si>
  <si>
    <t>2017/09/25 16:09:03.030 D 21345 AUE31814 RegDiffIndustriesApplBL 00104D:Trace: 備考18：備考18</t>
  </si>
  <si>
    <t>2017/09/25 16:09:03.030 D 21345 AUE31814 RegDiffIndustriesApplBL 00104D:Trace: 備考19：備考19</t>
  </si>
  <si>
    <t>2017/09/25 16:09:03.030 D 21345 AUE31814 RegDiffIndustriesApplBL 00104D:Trace: 備考20：備考20</t>
  </si>
  <si>
    <t>2017/09/25 16:09:03.030 D 21345 AUE31814 RegDiffIndustriesApplBL 00104D:Trace: 特記：特記欄００１</t>
  </si>
  <si>
    <t>2017/09/25 16:09:03.030 D 21345 AUE31814 RegDiffIndustriesApplBL 00104D:Trace: au加入者コード:A1701001</t>
  </si>
  <si>
    <t>2017/09/25 16:09:03.030 D 21345 AUE31814 RegDiffIndustriesApplBL 00104D:Trace: 基本契約番号:null</t>
  </si>
  <si>
    <t>2017/09/25 16:09:03.030 I 21345 AUE31814 RegDiffIndustriesApplBL 00105I:Trace:&lt;CI&gt; 顧客区分：1</t>
  </si>
  <si>
    <t>2017/09/25 16:09:03.030 D 21345 AUE31814 RegDiffIndustriesApplBL 00104D:Trace:[traceRequest終了]</t>
  </si>
  <si>
    <t>2017/09/25 16:09:03.030 D 21345 AUE31814 RegDiffIndustriesApplBL 00104D:Trace:[checkByte開始]</t>
  </si>
  <si>
    <t>2017/09/25 16:09:03.030 I 21345 AUE31814 RegDiffIndustriesApplBL 00105I:Trace:&lt;CI&gt;errByteMessage.size =「0」</t>
  </si>
  <si>
    <t>2017/09/25 16:09:03.030 D 21345 AUE31814 RegDiffIndustriesApplBL 00104D:Trace:[checkByte終了]</t>
  </si>
  <si>
    <t>2017/09/25 16:09:03.030 D 21345 AUE31814 RegDiffIndustriesApplBL 00104D:Trace:[getDiffIndustryApplMngNo開始]</t>
  </si>
  <si>
    <t>2017/09/25 16:09:03.060 I 21345 AUE31814 RegDiffIndustriesApplBL 00101I:SQL:&lt;CI&gt;SELECT SQ_DIFF_INDUSTRY_APPL_MNG_NO.NEXTVAL FROM DUAL</t>
  </si>
  <si>
    <t>2017/09/25 16:09:03.060 D 21345 AUE31814 RegDiffIndustriesApplBL 00104D:Trace:異業種商材申込管理番号：20</t>
  </si>
  <si>
    <t>2017/09/25 16:09:03.060 D 21345 AUE31814 RegDiffIndustriesApplBL 00104D:Trace:[getDiffIndustryApplMngNo終了]</t>
  </si>
  <si>
    <t>2017/09/25 16:09:03.060 D 21345 AUE31814 RegDiffIndustriesApplBL 00104D:Trace:[getDiffIndustryIntroductionNo開始]</t>
  </si>
  <si>
    <t>2017/09/25 16:09:03.060 D 21345 AUE31814 RegDiffIndustriesApplBL 00104D:Trace:++プロパティファイルより取得した紹介票管理番号取得リトライ回数：4</t>
  </si>
  <si>
    <t>2017/09/25 16:09:03.060 D 21345 AUE31814 RegDiffIndustriesApplBL 00104D:Trace:[getSqDiffIndustryIntroductionNo開始]</t>
  </si>
  <si>
    <t>2017/09/25 16:09:03.080 I 21345 AUE31814 RegDiffIndustriesApplBL 00101I:SQL:&lt;CI&gt;SELECT SQ_DIFF_INDUSTRY_INTRODUCTION_NO.NEXTVAL FROM DUAL</t>
  </si>
  <si>
    <t>2017/09/25 16:09:03.080 D 21345 AUE31814 RegDiffIndustriesApplBL 00104D:Trace:[getSqDiffIndustryIntroductionNo終了]</t>
  </si>
  <si>
    <t>2017/09/25 16:09:03.080 D 21345 AUE31814 RegDiffIndustriesApplBL 00104D:Trace:[chkDiffIndustryIntroductionNo開始]</t>
  </si>
  <si>
    <t>2017/09/25 16:09:03.110 I 21345 AUE31814 RegDiffIndustriesApplBL 00101I:SQL:&lt;CI&gt;SELECT     count(*) FROM     D_APPL_DIFF_INDUSTRY_INFO d WHERE     d.INTRODUCTION_NO = 'IG0000020'  AND     d.BATCH_FILE_IN_STS in ('0','1')</t>
  </si>
  <si>
    <t>2017/09/25 16:09:03.110 D 21345 AUE31814 RegDiffIndustriesApplBL 00104D:Trace:[chkDiffIndustryIntroductionNo終了]</t>
  </si>
  <si>
    <t>2017/09/25 16:09:03.110 D 21345 AUE31814 RegDiffIndustriesApplBL 00104D:Trace:++紹介票管理番号を取得して完了。</t>
  </si>
  <si>
    <t>2017/09/25 16:09:03.110 D 21345 AUE31814 RegDiffIndustriesApplBL 00104D:Trace:紹介票管理番号：IG0000020</t>
  </si>
  <si>
    <t>2017/09/25 16:09:03.110 D 21345 AUE31814 RegDiffIndustriesApplBL 00104D:Trace:[getDiffIndustryIntroductionNo終了]</t>
  </si>
  <si>
    <t>2017/09/25 16:09:03.110 D 21345 AUE31814 RegDiffIndustriesApplBL 00104D:Trace:[insertDiffIndustryInfo開始]</t>
  </si>
  <si>
    <t>2017/09/25 16:09:03.110 D 21345 AUE31814 RegDiffIndustriesApplBL 00104D:Trace:[insertDiffIndustryInfo終了]</t>
  </si>
  <si>
    <t>2017/09/25 16:09:03.130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remarks_8, remarks_9, remarks_10, remarks_11, remarks_12, remarks_13, remarks_14, remarks_15, remarks_16, remarks_17, remarks_18, remarks_19, remarks_20) VALUES (20, 'ＯＲＡＮＧＥ担当者', 'A1701001', '0', '123456', '特記欄００１', '1', 'ＦＭＣ試験　太郎', 'ＦＭＣシケン　タロウ', '1080035', '東京都港区白金１丁目', 602, '20170920', 'AUE31814', '8', 'E845001', 'Ｅ８４５００１', '0', '2017-09-25', 'AUE31814', '2017-09-25', 'AUE31814', 'IG0000020', '0', '1', '0312345678', '備考1', '備考2', '備考3', '備考4', '備考5', '備考6', '1', '17110', '171101', '備考8', '備考9', '備考10', '備考11', '備考12', '備考13', '備考14', '備考15', '備考16', '備考17', '備考18', '備考19', '備考20')</t>
  </si>
  <si>
    <t>2017/09/25 16:09:03.130 D 21345 AUE31814 RegDiffIndustriesApplBL 00104D:Trace:[setResponseObjectChkPass開始]</t>
  </si>
  <si>
    <t>2017/09/25 16:09:03.130 D 21345 AUE31814 RegDiffIndustriesApplBL 00104D:Trace:[setResponseObjectChkPass終了]</t>
  </si>
  <si>
    <t>2017/09/25 16:09:03.130 D 21345 AUE31814 RegDiffIndustriesApplBL 00104D:Trace:[traceResponse開始]</t>
  </si>
  <si>
    <t>2017/09/25 16:09:03.130 D 21345 AUE31814 RegDiffIndustriesApplBL 00104D:Trace:個別結果コード0000</t>
  </si>
  <si>
    <t>2017/09/25 16:09:03.130 D 21345 AUE31814 RegDiffIndustriesApplBL 00104D:Trace:異業種申込管理番号20</t>
  </si>
  <si>
    <t>2017/09/25 16:09:03.130 D 21345 AUE31814 RegDiffIndustriesApplBL 00104D:Trace:紹介票管理番号IG0000020</t>
  </si>
  <si>
    <t>2017/09/25 16:09:03.130 D 21345 AUE31814 RegDiffIndustriesApplBL 00104D:Trace:[traceResponse終了]</t>
  </si>
  <si>
    <t>2017/09/25 16:09:03.130 D 21345 AUE31814 RegDiffIndustriesApplBL 00104D:Trace:[execute終了]</t>
  </si>
  <si>
    <t>2017/09/25 16:09:03.140 D 21345 AUE31814 RegDiffIndustriesApplServlet :△△業務ロジック△△[120ミリ秒]</t>
  </si>
  <si>
    <t>2017/09/25 16:09:03.140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20&lt;/different-appl-mng-no&gt;&lt;introduction-no&gt;IG0000020&lt;/introduction-no&gt;&lt;/reg-info&gt;&lt;/api-prm&gt;&lt;/api-response&gt;</t>
  </si>
  <si>
    <t>2017/09/25 16:09:03.140 I 21345 AUE31814 RegDiffIndustriesApplServlet 00002I:Service End</t>
  </si>
  <si>
    <t>Nul</t>
    <phoneticPr fontId="3"/>
  </si>
  <si>
    <t>DBログ</t>
    <phoneticPr fontId="3"/>
  </si>
  <si>
    <t>BSS1=# select * from D_APPL_DIFF_INDUSTRY_INFO where carrier_cd='17110' and shouhin_cd='171101';</t>
  </si>
  <si>
    <t>-[ RECORD 1 ]---------+----------------------</t>
  </si>
  <si>
    <t>different_appl_mng_no | 20</t>
  </si>
  <si>
    <t>appl_in_kind          | 602</t>
  </si>
  <si>
    <t>introduction_no       | IG0000020</t>
  </si>
  <si>
    <t>carrier_cd            | 17110</t>
  </si>
  <si>
    <t>shouhin_cd            | 171101</t>
  </si>
  <si>
    <t>cont_nm_kj            | ＦＭＣ試験　太郎</t>
  </si>
  <si>
    <t>cont_nm_kn            | ＦＭＣシケン　タロウ</t>
  </si>
  <si>
    <t>home_tel_no           | 0312345678</t>
  </si>
  <si>
    <t>mobile_tel_no         | (null)</t>
  </si>
  <si>
    <t>use_post_cd           | 1080035</t>
  </si>
  <si>
    <t>use_add               | 東京都港区白金１丁目</t>
  </si>
  <si>
    <t>building_type         | 0</t>
  </si>
  <si>
    <t>owner_kbn             | 1</t>
  </si>
  <si>
    <t>contact_date          | 0</t>
  </si>
  <si>
    <t>contact_time          | 1</t>
  </si>
  <si>
    <t>customer_id           | (null)</t>
  </si>
  <si>
    <t>remarks_1             | 備考1</t>
  </si>
  <si>
    <t>remarks_2             | 備考2</t>
  </si>
  <si>
    <t>remarks_3             | 備考3</t>
  </si>
  <si>
    <t>remarks_4             | 備考4</t>
  </si>
  <si>
    <t>remarks_5             | 備考5</t>
  </si>
  <si>
    <t>remarks_6             | 備考6</t>
  </si>
  <si>
    <t>special               | 特記欄００１</t>
  </si>
  <si>
    <t>member_cd             | A1701001</t>
  </si>
  <si>
    <t>login_id              | (null)</t>
  </si>
  <si>
    <t>cust_kbn              | 1</t>
  </si>
  <si>
    <t>appl_date             | 20170920</t>
  </si>
  <si>
    <t>appl_time             | 123456</t>
  </si>
  <si>
    <t>au_agency_code        | E845001</t>
  </si>
  <si>
    <t>au_agency_name        | Ｅ８４５００１</t>
  </si>
  <si>
    <t>operator_fmly_name    | ＯＲＡＮＧＥ担当者</t>
  </si>
  <si>
    <t>operator_frst_name    | (null)</t>
  </si>
  <si>
    <t>operator_id           | AUE31814</t>
  </si>
  <si>
    <t>au_agency_tel_no      | (null)</t>
  </si>
  <si>
    <t>select_btn            | 8</t>
  </si>
  <si>
    <t>batch_file_in_sts     | 0</t>
  </si>
  <si>
    <t>rec_entry_dtime       | 25-SEP-17 16:09:03.11</t>
  </si>
  <si>
    <t>rec_entry_user        | AUE31814</t>
  </si>
  <si>
    <t>rec_update_dtime      | 25-SEP-17 16:09:03.11</t>
  </si>
  <si>
    <t>rec_update_user       | AUE31814</t>
  </si>
  <si>
    <t>remarks_7             | (null)</t>
  </si>
  <si>
    <t>remarks_8             | 備考8</t>
  </si>
  <si>
    <t>remarks_9             | 備考9</t>
  </si>
  <si>
    <t>remarks_10            | 備考10</t>
  </si>
  <si>
    <t>remarks_11            | 備考11</t>
  </si>
  <si>
    <t>remarks_12            | 備考12</t>
  </si>
  <si>
    <t>remarks_13            | 備考13</t>
  </si>
  <si>
    <t>remarks_14            | 備考14</t>
  </si>
  <si>
    <t>remarks_15            | 備考15</t>
  </si>
  <si>
    <t>remarks_16            | 備考16</t>
  </si>
  <si>
    <t>remarks_17            | 備考17</t>
  </si>
  <si>
    <t>remarks_18            | 備考18</t>
  </si>
  <si>
    <t>remarks_19            | 備考19</t>
  </si>
  <si>
    <t>remarks_20            | 備考20</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</si>
  <si>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</si>
  <si>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16:17:20.695 I 21347          RegDiffIndustriesApplServlet 00001I:Service Start</t>
  </si>
  <si>
    <t>2017/09/25 16:17:20.695 D 21347          RegDiffIndustriesApplServlet :▽▽parse▽▽</t>
  </si>
  <si>
    <t>2017/09/25 16:17:20.695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171102&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</si>
  <si>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16:17:20.695 D 21347          RegDiffIndustriesApplServlet :△△parse△△[0ミリ秒]</t>
  </si>
  <si>
    <t>2017/09/25 16:17:20.695 D 21347 AUE31814 DBCacheUtil 00104D:Trace:groupId=BASE_SERVICE_TIME;keyword=CHECK_FLG;value=0</t>
  </si>
  <si>
    <t>2017/09/25 16:17:20.695 D 21347 AUE31814 RegDiffIndustriesApplServlet :▽▽validate▽▽</t>
  </si>
  <si>
    <t>2017/09/25 16:17:20.705 I 21347 AUE31814 RegDiffIndustriesApplServlet 01001I:Parameter Error</t>
  </si>
  <si>
    <t>2017/09/25 16:17:20.705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</si>
  <si>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16:17:20.705 I 21347 AUE31814 RegDiffIndustriesApplServlet 00002I:Service End</t>
  </si>
  <si>
    <t>2017/09/25 16:19:02.888 I 21345          RegDiffIndustriesApplServlet 00001I:Service Start</t>
  </si>
  <si>
    <t>2017/09/25 16:19:02.888 D 21345          RegDiffIndustriesApplServlet :▽▽parse▽▽</t>
  </si>
  <si>
    <t>2017/09/25 16:19:02.888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171103&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0123456789012345678901234567890123456789012345678901234567890123456789012345678901234567890123456789012345678901234567890123456789012345678901234567890123456789012345678901234567890&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</si>
  <si>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16:19:02.888 D 21345          RegDiffIndustriesApplServlet :△△parse△△[0ミリ秒]</t>
  </si>
  <si>
    <t>2017/09/25 16:19:02.888 D 21345 AUE31814 DBCacheUtil 00104D:Trace:groupId=BASE_SERVICE_TIME;keyword=CHECK_FLG;value=0</t>
  </si>
  <si>
    <t>2017/09/25 16:19:02.888 D 21345 AUE31814 RegDiffIndustriesApplServlet :▽▽validate▽▽</t>
  </si>
  <si>
    <t>2017/09/25 16:19:02.888 I 21345 AUE31814 RegDiffIndustriesApplServlet 01001I:Parameter Error</t>
  </si>
  <si>
    <t>2017/09/25 16:19:02.888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</si>
  <si>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16:19:02.888 I 21345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</si>
  <si>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21&lt;/different-appl-mng-no&gt;&lt;introduction-no&gt;IG0000021&lt;/introduction-no&gt;&lt;/reg-info&gt;&lt;/api-prm&gt;&lt;/api-response&gt;</t>
  </si>
  <si>
    <t>2017/09/25 16:20:57.175 I 21347          RegDiffIndustriesApplServlet 00001I:Service Start</t>
  </si>
  <si>
    <t>2017/09/25 16:20:57.175 D 21347          RegDiffIndustriesApplServlet :▽▽parse▽▽</t>
  </si>
  <si>
    <t>2017/09/25 16:20:57.175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171104&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</si>
  <si>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16:20:57.175 D 21347          RegDiffIndustriesApplServlet :△△parse△△[0ミリ秒]</t>
  </si>
  <si>
    <t>2017/09/25 16:20:57.175 D 21347 AUE31814 DBCacheUtil 00104D:Trace:groupId=BASE_SERVICE_TIME;keyword=CHECK_FLG;value=0</t>
  </si>
  <si>
    <t>2017/09/25 16:20:57.175 D 21347 AUE31814 RegDiffIndustriesApplServlet :▽▽validate▽▽</t>
  </si>
  <si>
    <t>2017/09/25 16:20:57.175 D 21347 AUE31814 RegDiffIndustriesApplServlet :△△validate△△[0ミリ秒]</t>
  </si>
  <si>
    <t>2017/09/25 16:20:57.175 D 21347 AUE31814 DBCacheUtil 00104D:Trace:groupId=API_VERSION;keyword=/fmc-on/bbc-appl-api/diffindustappl/reg_diff_industries_appl;value=10</t>
  </si>
  <si>
    <t>2017/09/25 16:20:57.175 D 21347 AUE31814 RegDiffIndustriesApplServlet :▽▽業務ロジック▽▽</t>
  </si>
  <si>
    <t>2017/09/25 16:20:57.175 D 21347 AUE31814 RegDiffIndustriesApplBL 00104D:Trace:[setSequenceDao開始]</t>
  </si>
  <si>
    <t>2017/09/25 16:20:57.175 D 21347 AUE31814 RegDiffIndustriesApplBL 00104D:Trace:[setSequenceDao終了]</t>
  </si>
  <si>
    <t>2017/09/25 16:20:57.175 D 21347 AUE31814 RegDiffIndustriesApplBL 00104D:Trace:[setdApplDiffIndustryInfoApplDao開始]</t>
  </si>
  <si>
    <t>2017/09/25 16:20:57.175 D 21347 AUE31814 RegDiffIndustriesApplBL 00104D:Trace:[setdApplDiffIndustryInfoApplDao終了]</t>
  </si>
  <si>
    <t>2017/09/25 16:20:57.175 D 21347 AUE31814 RegDiffIndustriesApplBL 00104D:Trace:[execute開始]</t>
  </si>
  <si>
    <t>2017/09/25 16:20:57.175 D 21347 AUE31814 RegDiffIndustriesApplBL 00104D:Trace:[traceRequest開始]</t>
  </si>
  <si>
    <t>2017/09/25 16:20:57.175 D 21347 AUE31814 RegDiffIndustriesApplBL 00104D:Trace:au代理店コード：E845001</t>
  </si>
  <si>
    <t>2017/09/25 16:20:57.175 D 21347 AUE31814 RegDiffIndustriesApplBL 00104D:Trace: 申込押下ボタン：8</t>
  </si>
  <si>
    <t>2017/09/25 16:20:57.175 D 21347 AUE31814 RegDiffIndustriesApplBL 00104D:Trace: 店名：Ｅ８４５００１</t>
  </si>
  <si>
    <t>2017/09/25 16:20:57.175 D 21347 AUE31814 RegDiffIndustriesApplBL 00104D:Trace: 担当者名：ＯＲＡＮＧＥ担当者</t>
  </si>
  <si>
    <t>2017/09/25 16:20:57.175 D 21347 AUE31814 RegDiffIndustriesApplBL 00104D:Trace: 担当者名(名)：null</t>
  </si>
  <si>
    <t>2017/09/25 16:20:57.175 D 21347 AUE31814 RegDiffIndustriesApplBL 00104D:Trace: 電話番号：null</t>
  </si>
  <si>
    <t>2017/09/25 16:20:57.175 D 21347 AUE31814 RegDiffIndustriesApplBL 00104D:Trace: 申込年月日：20170920</t>
  </si>
  <si>
    <t>2017/09/25 16:20:57.175 D 21347 AUE31814 RegDiffIndustriesApplBL 00104D:Trace: 申込時刻：123456</t>
  </si>
  <si>
    <t>2017/09/25 16:20:57.175 D 21347 AUE31814 RegDiffIndustriesApplBL 00104D:Trace: 事業者コード：17110</t>
  </si>
  <si>
    <t>2017/09/25 16:20:57.175 D 21347 AUE31814 RegDiffIndustriesApplBL 00104D:Trace: 商品コード：171104</t>
  </si>
  <si>
    <t>2017/09/25 16:20:57.175 D 21347 AUE31814 RegDiffIndustriesApplBL 00104D:Trace: 漢字：ＦＭＣ試験　太郎</t>
  </si>
  <si>
    <t>2017/09/25 16:20:57.175 D 21347 AUE31814 RegDiffIndustriesApplBL 00104D:Trace: カナ：ＦＭＣシケン　タロウ</t>
  </si>
  <si>
    <t>2017/09/25 16:20:57.175 D 21347 AUE31814 RegDiffIndustriesApplBL 00104D:Trace: 自宅・勤務先電話番号：0312345678</t>
  </si>
  <si>
    <t>2017/09/25 16:20:57.175 D 21347 AUE31814 RegDiffIndustriesApplBL 00104D:Trace: 携帯電話番号：null</t>
  </si>
  <si>
    <t>2017/09/25 16:20:57.175 D 21347 AUE31814 RegDiffIndustriesApplBL 00104D:Trace: 郵便番号：1080035</t>
  </si>
  <si>
    <t>2017/09/25 16:20:57.175 D 21347 AUE31814 RegDiffIndustriesApplBL 00104D:Trace: 住所：東京都港区白金１丁目</t>
  </si>
  <si>
    <t>2017/09/25 16:20:57.175 D 21347 AUE31814 RegDiffIndustriesApplBL 00104D:Trace: 住居区分：0</t>
  </si>
  <si>
    <t>2017/09/25 16:20:57.175 D 21347 AUE31814 RegDiffIndustriesApplBL 00104D:Trace: 所有区分：1</t>
  </si>
  <si>
    <t>2017/09/25 16:20:57.175 D 21347 AUE31814 RegDiffIndustriesApplBL 00104D:Trace: 連絡希望曜日：0</t>
  </si>
  <si>
    <t>2017/09/25 16:20:57.175 D 21347 AUE31814 RegDiffIndustriesApplBL 00104D:Trace: 連絡希望時間帯：1</t>
  </si>
  <si>
    <t>2017/09/25 16:20:57.175 D 21347 AUE31814 RegDiffIndustriesApplBL 00104D:Trace: お客様ID：null</t>
  </si>
  <si>
    <t>2017/09/25 16:20:57.175 D 21347 AUE31814 RegDiffIndustriesApplBL 00104D:Trace: 備考1：備考1</t>
  </si>
  <si>
    <t>2017/09/25 16:20:57.175 D 21347 AUE31814 RegDiffIndustriesApplBL 00104D:Trace: 備考2：備考2</t>
  </si>
  <si>
    <t>2017/09/25 16:20:57.175 D 21347 AUE31814 RegDiffIndustriesApplBL 00104D:Trace: 備考3：備考3</t>
  </si>
  <si>
    <t>2017/09/25 16:20:57.175 D 21347 AUE31814 RegDiffIndustriesApplBL 00104D:Trace: 備考4：備考4</t>
  </si>
  <si>
    <t>2017/09/25 16:20:57.175 D 21347 AUE31814 RegDiffIndustriesApplBL 00104D:Trace: 備考5：備考5</t>
  </si>
  <si>
    <t>2017/09/25 16:20:57.175 D 21347 AUE31814 RegDiffIndustriesApplBL 00104D:Trace: 備考6：備考6</t>
  </si>
  <si>
    <t>2017/09/25 16:20:57.175 D 21347 AUE31814 RegDiffIndustriesApplBL 00104D:Trace: 備考7：備考7</t>
  </si>
  <si>
    <t>2017/09/25 16:20:57.175 D 21347 AUE31814 RegDiffIndustriesApplBL 00104D:Trace: 備考8：null</t>
  </si>
  <si>
    <t>2017/09/25 16:20:57.175 D 21347 AUE31814 RegDiffIndustriesApplBL 00104D:Trace: 備考9：備考9</t>
  </si>
  <si>
    <t>2017/09/25 16:20:57.175 D 21347 AUE31814 RegDiffIndustriesApplBL 00104D:Trace: 備考10：備考10</t>
  </si>
  <si>
    <t>2017/09/25 16:20:57.175 D 21347 AUE31814 RegDiffIndustriesApplBL 00104D:Trace: 備考11：備考11</t>
  </si>
  <si>
    <t>2017/09/25 16:20:57.175 D 21347 AUE31814 RegDiffIndustriesApplBL 00104D:Trace: 備考12：備考12</t>
  </si>
  <si>
    <t>2017/09/25 16:20:57.175 D 21347 AUE31814 RegDiffIndustriesApplBL 00104D:Trace: 備考13：備考13</t>
  </si>
  <si>
    <t>2017/09/25 16:20:57.175 D 21347 AUE31814 RegDiffIndustriesApplBL 00104D:Trace: 備考14：備考14</t>
  </si>
  <si>
    <t>2017/09/25 16:20:57.175 D 21347 AUE31814 RegDiffIndustriesApplBL 00104D:Trace: 備考15：備考15</t>
  </si>
  <si>
    <t>2017/09/25 16:20:57.175 D 21347 AUE31814 RegDiffIndustriesApplBL 00104D:Trace: 備考16：備考16</t>
  </si>
  <si>
    <t>2017/09/25 16:20:57.175 D 21347 AUE31814 RegDiffIndustriesApplBL 00104D:Trace: 備考17：備考17</t>
  </si>
  <si>
    <t>2017/09/25 16:20:57.175 D 21347 AUE31814 RegDiffIndustriesApplBL 00104D:Trace: 備考18：備考18</t>
  </si>
  <si>
    <t>2017/09/25 16:20:57.175 D 21347 AUE31814 RegDiffIndustriesApplBL 00104D:Trace: 備考19：備考19</t>
  </si>
  <si>
    <t>2017/09/25 16:20:57.175 D 21347 AUE31814 RegDiffIndustriesApplBL 00104D:Trace: 備考20：備考20</t>
  </si>
  <si>
    <t>2017/09/25 16:20:57.175 D 21347 AUE31814 RegDiffIndustriesApplBL 00104D:Trace: 特記：特記欄００１</t>
  </si>
  <si>
    <t>2017/09/25 16:20:57.175 D 21347 AUE31814 RegDiffIndustriesApplBL 00104D:Trace: au加入者コード:A1701001</t>
  </si>
  <si>
    <t>2017/09/25 16:20:57.175 D 21347 AUE31814 RegDiffIndustriesApplBL 00104D:Trace: 基本契約番号:null</t>
  </si>
  <si>
    <t>2017/09/25 16:20:57.175 I 21347 AUE31814 RegDiffIndustriesApplBL 00105I:Trace:&lt;CI&gt; 顧客区分：1</t>
  </si>
  <si>
    <t>2017/09/25 16:20:57.175 D 21347 AUE31814 RegDiffIndustriesApplBL 00104D:Trace:[traceRequest終了]</t>
  </si>
  <si>
    <t>2017/09/25 16:20:57.175 D 21347 AUE31814 RegDiffIndustriesApplBL 00104D:Trace:[checkByte開始]</t>
  </si>
  <si>
    <t>2017/09/25 16:20:57.175 I 21347 AUE31814 RegDiffIndustriesApplBL 00105I:Trace:&lt;CI&gt;errByteMessage.size =「0」</t>
  </si>
  <si>
    <t>2017/09/25 16:20:57.175 D 21347 AUE31814 RegDiffIndustriesApplBL 00104D:Trace:[checkByte終了]</t>
  </si>
  <si>
    <t>2017/09/25 16:20:57.185 D 21347 AUE31814 RegDiffIndustriesApplBL 00104D:Trace:[getDiffIndustryApplMngNo開始]</t>
  </si>
  <si>
    <t>2017/09/25 16:20:57.195 I 21347 AUE31814 RegDiffIndustriesApplBL 00101I:SQL:&lt;CI&gt;SELECT SQ_DIFF_INDUSTRY_APPL_MNG_NO.NEXTVAL FROM DUAL</t>
  </si>
  <si>
    <t>2017/09/25 16:20:57.195 D 21347 AUE31814 RegDiffIndustriesApplBL 00104D:Trace:異業種商材申込管理番号：21</t>
  </si>
  <si>
    <t>2017/09/25 16:20:57.195 D 21347 AUE31814 RegDiffIndustriesApplBL 00104D:Trace:[getDiffIndustryApplMngNo終了]</t>
  </si>
  <si>
    <t>2017/09/25 16:20:57.195 D 21347 AUE31814 RegDiffIndustriesApplBL 00104D:Trace:[getDiffIndustryIntroductionNo開始]</t>
  </si>
  <si>
    <t>2017/09/25 16:20:57.195 D 21347 AUE31814 RegDiffIndustriesApplBL 00104D:Trace:++プロパティファイルより取得した紹介票管理番号取得リトライ回数：4</t>
  </si>
  <si>
    <t>2017/09/25 16:20:57.195 D 21347 AUE31814 RegDiffIndustriesApplBL 00104D:Trace:[getSqDiffIndustryIntroductionNo開始]</t>
  </si>
  <si>
    <t>2017/09/25 16:20:57.205 I 21347 AUE31814 RegDiffIndustriesApplBL 00101I:SQL:&lt;CI&gt;SELECT SQ_DIFF_INDUSTRY_INTRODUCTION_NO.NEXTVAL FROM DUAL</t>
  </si>
  <si>
    <t>2017/09/25 16:20:57.205 D 21347 AUE31814 RegDiffIndustriesApplBL 00104D:Trace:[getSqDiffIndustryIntroductionNo終了]</t>
  </si>
  <si>
    <t>2017/09/25 16:20:57.205 D 21347 AUE31814 RegDiffIndustriesApplBL 00104D:Trace:[chkDiffIndustryIntroductionNo開始]</t>
  </si>
  <si>
    <t>2017/09/25 16:20:57.225 I 21347 AUE31814 RegDiffIndustriesApplBL 00101I:SQL:&lt;CI&gt;SELECT     count(*) FROM     D_APPL_DIFF_INDUSTRY_INFO d WHERE     d.INTRODUCTION_NO = 'IG0000021'  AND     d.BATCH_FILE_IN_STS in ('0','1')</t>
  </si>
  <si>
    <t>2017/09/25 16:20:57.225 D 21347 AUE31814 RegDiffIndustriesApplBL 00104D:Trace:[chkDiffIndustryIntroductionNo終了]</t>
  </si>
  <si>
    <t>2017/09/25 16:20:57.225 D 21347 AUE31814 RegDiffIndustriesApplBL 00104D:Trace:++紹介票管理番号を取得して完了。</t>
  </si>
  <si>
    <t>2017/09/25 16:20:57.225 D 21347 AUE31814 RegDiffIndustriesApplBL 00104D:Trace:紹介票管理番号：IG0000021</t>
  </si>
  <si>
    <t>2017/09/25 16:20:57.225 D 21347 AUE31814 RegDiffIndustriesApplBL 00104D:Trace:[getDiffIndustryIntroductionNo終了]</t>
  </si>
  <si>
    <t>2017/09/25 16:20:57.225 D 21347 AUE31814 RegDiffIndustriesApplBL 00104D:Trace:[insertDiffIndustryInfo開始]</t>
  </si>
  <si>
    <t>2017/09/25 16:20:57.225 D 21347 AUE31814 RegDiffIndustriesApplBL 00104D:Trace:[insertDiffIndustryInfo終了]</t>
  </si>
  <si>
    <t>2017/09/25 16:20:57.235 I 21347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remarks_9, remarks_10, remarks_11, remarks_12, remarks_13, remarks_14, remarks_15, remarks_16, remarks_17, remarks_18, remarks_19, remarks_20) VALUES (21, 'ＯＲＡＮＧＥ担当者', 'A1701001', '0', '123456', '特記欄００１', '1', 'ＦＭＣ試験　太郎', 'ＦＭＣシケン　タロウ', '1080035', '東京都港区白金１丁目', 602, '20170920', 'AUE31814', '8', 'E845001', 'Ｅ８４５００１', '0', '2017-09-25', 'AUE31814', '2017-09-25', 'AUE31814', 'IG0000021', '0', '1', '0312345678', '備考1', '備考2', '備考3', '備考4', '備考5', '備考6', '1', '17110', '171104', '備考7', '備考9', '備考10', '備考11', '備考12', '備考13', '備考14', '備考15', '備考16', '備考17', '備考18', '備考19', '備考20')</t>
  </si>
  <si>
    <t>2017/09/25 16:20:57.235 D 21347 AUE31814 RegDiffIndustriesApplBL 00104D:Trace:[setResponseObjectChkPass開始]</t>
  </si>
  <si>
    <t>2017/09/25 16:20:57.245 D 21347 AUE31814 RegDiffIndustriesApplBL 00104D:Trace:[setResponseObjectChkPass終了]</t>
  </si>
  <si>
    <t>2017/09/25 16:20:57.245 D 21347 AUE31814 RegDiffIndustriesApplBL 00104D:Trace:[traceResponse開始]</t>
  </si>
  <si>
    <t>2017/09/25 16:20:57.245 D 21347 AUE31814 RegDiffIndustriesApplBL 00104D:Trace:個別結果コード0000</t>
  </si>
  <si>
    <t>2017/09/25 16:20:57.245 D 21347 AUE31814 RegDiffIndustriesApplBL 00104D:Trace:異業種申込管理番号21</t>
  </si>
  <si>
    <t>2017/09/25 16:20:57.245 D 21347 AUE31814 RegDiffIndustriesApplBL 00104D:Trace:紹介票管理番号IG0000021</t>
  </si>
  <si>
    <t>2017/09/25 16:20:57.245 D 21347 AUE31814 RegDiffIndustriesApplBL 00104D:Trace:[traceResponse終了]</t>
  </si>
  <si>
    <t>2017/09/25 16:20:57.245 D 21347 AUE31814 RegDiffIndustriesApplBL 00104D:Trace:[execute終了]</t>
  </si>
  <si>
    <t>2017/09/25 16:20:57.245 D 21347 AUE31814 RegDiffIndustriesApplServlet :△△業務ロジック△△[70ミリ秒]</t>
  </si>
  <si>
    <t>2017/09/25 16:20:57.245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21&lt;/different-appl-mng-no&gt;&lt;introduction-no&gt;IG0000021&lt;/introduction-no&gt;&lt;/reg-info&gt;&lt;/api-prm&gt;&lt;/api-response&gt;</t>
  </si>
  <si>
    <t>2017/09/25 16:20:57.245 I 21347 AUE31814 RegDiffIndustriesApplServlet 00002I:Service End</t>
  </si>
  <si>
    <t>BSS1=# select * from D_APPL_DIFF_INDUSTRY_INFO where carrier_cd='17110' and shouhin_cd='171104';</t>
  </si>
  <si>
    <t>-[ RECORD 1 ]---------+-----------------------</t>
  </si>
  <si>
    <t>different_appl_mng_no | 21</t>
  </si>
  <si>
    <t>introduction_no       | IG0000021</t>
  </si>
  <si>
    <t>shouhin_cd            | 171104</t>
  </si>
  <si>
    <t>rec_entry_dtime       | 25-SEP-17 16:20:57.225</t>
  </si>
  <si>
    <t>rec_update_dtime      | 25-SEP-17 16:20:57.225</t>
  </si>
  <si>
    <t>remarks_7             | 備考7</t>
  </si>
  <si>
    <t>remarks_8             | (null)</t>
  </si>
  <si>
    <t>2017/09/25 16:23:09.448 I 21345          RegDiffIndustriesApplServlet 00001I:Service Start</t>
  </si>
  <si>
    <t>2017/09/25 16:23:09.448 D 21345          RegDiffIndustriesApplServlet :▽▽parse▽▽</t>
  </si>
  <si>
    <t>2017/09/25 16:23:09.448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171105&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</si>
  <si>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16:23:09.448 D 21345          RegDiffIndustriesApplServlet :△△parse△△[0ミリ秒]</t>
  </si>
  <si>
    <t>2017/09/25 16:23:09.448 D 21345 AUE31814 DBCacheUtil 00104D:Trace:groupId=BASE_SERVICE_TIME;keyword=CHECK_FLG;value=0</t>
  </si>
  <si>
    <t>2017/09/25 16:23:09.448 D 21345 AUE31814 RegDiffIndustriesApplServlet :▽▽validate▽▽</t>
  </si>
  <si>
    <t>2017/09/25 16:23:09.448 I 21345 AUE31814 RegDiffIndustriesApplServlet 01001I:Parameter Error</t>
  </si>
  <si>
    <t>2017/09/25 16:23:09.458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</si>
  <si>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16:23:09.458 I 21345 AUE31814 RegDiffIndustriesApplServlet 00002I:Service End</t>
  </si>
  <si>
    <t>2017/09/25 16:24:10.671 I 21347          RegDiffIndustriesApplServlet 00001I:Service Start</t>
  </si>
  <si>
    <t>2017/09/25 16:24:10.671 D 21347          RegDiffIndustriesApplServlet :▽▽parse▽▽</t>
  </si>
  <si>
    <t>2017/09/25 16:24:10.671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171106&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0123456789012345678901234567890123456789012345678901234567890123456789012345678901234567890123456789012345678901234567890123456789012345678901234567890123456789012345678901234567890&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</si>
  <si>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16:24:10.671 D 21347          RegDiffIndustriesApplServlet :△△parse△△[0ミリ秒]</t>
  </si>
  <si>
    <t>2017/09/25 16:24:10.671 D 21347 AUE31814 DBCacheUtil 00104D:Trace:groupId=BASE_SERVICE_TIME;keyword=CHECK_FLG;value=0</t>
  </si>
  <si>
    <t>2017/09/25 16:24:10.671 D 21347 AUE31814 RegDiffIndustriesApplServlet :▽▽validate▽▽</t>
  </si>
  <si>
    <t>2017/09/25 16:24:10.671 I 21347 AUE31814 RegDiffIndustriesApplServlet 01001I:Parameter Error</t>
  </si>
  <si>
    <t>2017/09/25 16:24:10.681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</si>
  <si>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16:24:10.681 I 21347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</si>
  <si>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22&lt;/different-appl-mng-no&gt;&lt;introduction-no&gt;IG0000022&lt;/introduction-no&gt;&lt;/reg-info&gt;&lt;/api-prm&gt;&lt;/api-response&gt;</t>
  </si>
  <si>
    <t>2017/09/25 16:25:14.473 I 21348          RegDiffIndustriesApplServlet 00001I:Service Start</t>
  </si>
  <si>
    <t>2017/09/25 16:25:14.473 D 21348          RegDiffIndustriesApplServlet :▽▽parse▽▽</t>
  </si>
  <si>
    <t>2017/09/25 16:25:14.473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171107&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</si>
  <si>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16:25:14.473 D 21348          RegDiffIndustriesApplServlet :△△parse△△[0ミリ秒]</t>
  </si>
  <si>
    <t>2017/09/25 16:25:14.473 D 21348 AUE31814 DBCacheUtil 00104D:Trace:groupId=BASE_SERVICE_TIME;keyword=CHECK_FLG;value=0</t>
  </si>
  <si>
    <t>2017/09/25 16:25:14.473 D 21348 AUE31814 RegDiffIndustriesApplServlet :▽▽validate▽▽</t>
  </si>
  <si>
    <t>2017/09/25 16:25:14.473 D 21348 AUE31814 RegDiffIndustriesApplServlet :△△validate△△[0ミリ秒]</t>
  </si>
  <si>
    <t>2017/09/25 16:25:14.473 D 21348 AUE31814 DBCacheUtil 00104D:Trace:groupId=API_VERSION;keyword=/fmc-on/bbc-appl-api/diffindustappl/reg_diff_industries_appl;value=10</t>
  </si>
  <si>
    <t>2017/09/25 16:25:14.473 D 21348 AUE31814 RegDiffIndustriesApplServlet :▽▽業務ロジック▽▽</t>
  </si>
  <si>
    <t>2017/09/25 16:25:14.473 D 21348 AUE31814 RegDiffIndustriesApplBL 00104D:Trace:[setSequenceDao開始]</t>
  </si>
  <si>
    <t>2017/09/25 16:25:14.473 D 21348 AUE31814 RegDiffIndustriesApplBL 00104D:Trace:[setSequenceDao終了]</t>
  </si>
  <si>
    <t>2017/09/25 16:25:14.473 D 21348 AUE31814 RegDiffIndustriesApplBL 00104D:Trace:[setdApplDiffIndustryInfoApplDao開始]</t>
  </si>
  <si>
    <t>2017/09/25 16:25:14.473 D 21348 AUE31814 RegDiffIndustriesApplBL 00104D:Trace:[setdApplDiffIndustryInfoApplDao終了]</t>
  </si>
  <si>
    <t>2017/09/25 16:25:14.473 D 21348 AUE31814 RegDiffIndustriesApplBL 00104D:Trace:[execute開始]</t>
  </si>
  <si>
    <t>2017/09/25 16:25:14.473 D 21348 AUE31814 RegDiffIndustriesApplBL 00104D:Trace:[traceRequest開始]</t>
  </si>
  <si>
    <t>2017/09/25 16:25:14.473 D 21348 AUE31814 RegDiffIndustriesApplBL 00104D:Trace:au代理店コード：E845001</t>
  </si>
  <si>
    <t>2017/09/25 16:25:14.473 D 21348 AUE31814 RegDiffIndustriesApplBL 00104D:Trace: 申込押下ボタン：8</t>
  </si>
  <si>
    <t>2017/09/25 16:25:14.473 D 21348 AUE31814 RegDiffIndustriesApplBL 00104D:Trace: 店名：Ｅ８４５００１</t>
  </si>
  <si>
    <t>2017/09/25 16:25:14.473 D 21348 AUE31814 RegDiffIndustriesApplBL 00104D:Trace: 担当者名：ＯＲＡＮＧＥ担当者</t>
  </si>
  <si>
    <t>2017/09/25 16:25:14.473 D 21348 AUE31814 RegDiffIndustriesApplBL 00104D:Trace: 担当者名(名)：null</t>
  </si>
  <si>
    <t>2017/09/25 16:25:14.473 D 21348 AUE31814 RegDiffIndustriesApplBL 00104D:Trace: 電話番号：null</t>
  </si>
  <si>
    <t>2017/09/25 16:25:14.473 D 21348 AUE31814 RegDiffIndustriesApplBL 00104D:Trace: 申込年月日：20170920</t>
  </si>
  <si>
    <t>2017/09/25 16:25:14.473 D 21348 AUE31814 RegDiffIndustriesApplBL 00104D:Trace: 申込時刻：123456</t>
  </si>
  <si>
    <t>2017/09/25 16:25:14.473 D 21348 AUE31814 RegDiffIndustriesApplBL 00104D:Trace: 事業者コード：17110</t>
  </si>
  <si>
    <t>2017/09/25 16:25:14.473 D 21348 AUE31814 RegDiffIndustriesApplBL 00104D:Trace: 商品コード：171107</t>
  </si>
  <si>
    <t>2017/09/25 16:25:14.473 D 21348 AUE31814 RegDiffIndustriesApplBL 00104D:Trace: 漢字：ＦＭＣ試験　太郎</t>
  </si>
  <si>
    <t>2017/09/25 16:25:14.473 D 21348 AUE31814 RegDiffIndustriesApplBL 00104D:Trace: カナ：ＦＭＣシケン　タロウ</t>
  </si>
  <si>
    <t>2017/09/25 16:25:14.473 D 21348 AUE31814 RegDiffIndustriesApplBL 00104D:Trace: 自宅・勤務先電話番号：0312345678</t>
  </si>
  <si>
    <t>2017/09/25 16:25:14.473 D 21348 AUE31814 RegDiffIndustriesApplBL 00104D:Trace: 携帯電話番号：null</t>
  </si>
  <si>
    <t>2017/09/25 16:25:14.473 D 21348 AUE31814 RegDiffIndustriesApplBL 00104D:Trace: 郵便番号：1080035</t>
  </si>
  <si>
    <t>2017/09/25 16:25:14.473 D 21348 AUE31814 RegDiffIndustriesApplBL 00104D:Trace: 住所：東京都港区白金１丁目</t>
  </si>
  <si>
    <t>2017/09/25 16:25:14.483 D 21348 AUE31814 RegDiffIndustriesApplBL 00104D:Trace: 住居区分：0</t>
  </si>
  <si>
    <t>2017/09/25 16:25:14.483 D 21348 AUE31814 RegDiffIndustriesApplBL 00104D:Trace: 所有区分：1</t>
  </si>
  <si>
    <t>2017/09/25 16:25:14.483 D 21348 AUE31814 RegDiffIndustriesApplBL 00104D:Trace: 連絡希望曜日：0</t>
  </si>
  <si>
    <t>2017/09/25 16:25:14.483 D 21348 AUE31814 RegDiffIndustriesApplBL 00104D:Trace: 連絡希望時間帯：1</t>
  </si>
  <si>
    <t>2017/09/25 16:25:14.483 D 21348 AUE31814 RegDiffIndustriesApplBL 00104D:Trace: お客様ID：null</t>
  </si>
  <si>
    <t>2017/09/25 16:25:14.483 D 21348 AUE31814 RegDiffIndustriesApplBL 00104D:Trace: 備考1：備考1</t>
  </si>
  <si>
    <t>2017/09/25 16:25:14.483 D 21348 AUE31814 RegDiffIndustriesApplBL 00104D:Trace: 備考2：備考2</t>
  </si>
  <si>
    <t>2017/09/25 16:25:14.483 D 21348 AUE31814 RegDiffIndustriesApplBL 00104D:Trace: 備考3：備考3</t>
  </si>
  <si>
    <t>2017/09/25 16:25:14.483 D 21348 AUE31814 RegDiffIndustriesApplBL 00104D:Trace: 備考4：備考4</t>
  </si>
  <si>
    <t>2017/09/25 16:25:14.483 D 21348 AUE31814 RegDiffIndustriesApplBL 00104D:Trace: 備考5：備考5</t>
  </si>
  <si>
    <t>2017/09/25 16:25:14.483 D 21348 AUE31814 RegDiffIndustriesApplBL 00104D:Trace: 備考6：備考6</t>
  </si>
  <si>
    <t>2017/09/25 16:25:14.483 D 21348 AUE31814 RegDiffIndustriesApplBL 00104D:Trace: 備考7：備考7</t>
  </si>
  <si>
    <t>2017/09/25 16:25:14.483 D 21348 AUE31814 RegDiffIndustriesApplBL 00104D:Trace: 備考8：備考8</t>
  </si>
  <si>
    <t>2017/09/25 16:25:14.483 D 21348 AUE31814 RegDiffIndustriesApplBL 00104D:Trace: 備考9：null</t>
  </si>
  <si>
    <t>2017/09/25 16:25:14.483 D 21348 AUE31814 RegDiffIndustriesApplBL 00104D:Trace: 備考10：備考10</t>
  </si>
  <si>
    <t>2017/09/25 16:25:14.483 D 21348 AUE31814 RegDiffIndustriesApplBL 00104D:Trace: 備考11：備考11</t>
  </si>
  <si>
    <t>2017/09/25 16:25:14.483 D 21348 AUE31814 RegDiffIndustriesApplBL 00104D:Trace: 備考12：備考12</t>
  </si>
  <si>
    <t>2017/09/25 16:25:14.483 D 21348 AUE31814 RegDiffIndustriesApplBL 00104D:Trace: 備考13：備考13</t>
  </si>
  <si>
    <t>2017/09/25 16:25:14.483 D 21348 AUE31814 RegDiffIndustriesApplBL 00104D:Trace: 備考14：備考14</t>
  </si>
  <si>
    <t>2017/09/25 16:25:14.483 D 21348 AUE31814 RegDiffIndustriesApplBL 00104D:Trace: 備考15：備考15</t>
  </si>
  <si>
    <t>2017/09/25 16:25:14.483 D 21348 AUE31814 RegDiffIndustriesApplBL 00104D:Trace: 備考16：備考16</t>
  </si>
  <si>
    <t>2017/09/25 16:25:14.483 D 21348 AUE31814 RegDiffIndustriesApplBL 00104D:Trace: 備考17：備考17</t>
  </si>
  <si>
    <t>2017/09/25 16:25:14.483 D 21348 AUE31814 RegDiffIndustriesApplBL 00104D:Trace: 備考18：備考18</t>
  </si>
  <si>
    <t>2017/09/25 16:25:14.483 D 21348 AUE31814 RegDiffIndustriesApplBL 00104D:Trace: 備考19：備考19</t>
  </si>
  <si>
    <t>2017/09/25 16:25:14.483 D 21348 AUE31814 RegDiffIndustriesApplBL 00104D:Trace: 備考20：備考20</t>
  </si>
  <si>
    <t>2017/09/25 16:25:14.483 D 21348 AUE31814 RegDiffIndustriesApplBL 00104D:Trace: 特記：特記欄００１</t>
  </si>
  <si>
    <t>2017/09/25 16:25:14.483 D 21348 AUE31814 RegDiffIndustriesApplBL 00104D:Trace: au加入者コード:A1701001</t>
  </si>
  <si>
    <t>2017/09/25 16:25:14.483 D 21348 AUE31814 RegDiffIndustriesApplBL 00104D:Trace: 基本契約番号:null</t>
  </si>
  <si>
    <t>2017/09/25 16:25:14.483 I 21348 AUE31814 RegDiffIndustriesApplBL 00105I:Trace:&lt;CI&gt; 顧客区分：1</t>
  </si>
  <si>
    <t>2017/09/25 16:25:14.483 D 21348 AUE31814 RegDiffIndustriesApplBL 00104D:Trace:[traceRequest終了]</t>
  </si>
  <si>
    <t>2017/09/25 16:25:14.483 D 21348 AUE31814 RegDiffIndustriesApplBL 00104D:Trace:[checkByte開始]</t>
  </si>
  <si>
    <t>2017/09/25 16:25:14.483 I 21348 AUE31814 RegDiffIndustriesApplBL 00105I:Trace:&lt;CI&gt;errByteMessage.size =「0」</t>
  </si>
  <si>
    <t>2017/09/25 16:25:14.483 D 21348 AUE31814 RegDiffIndustriesApplBL 00104D:Trace:[checkByte終了]</t>
  </si>
  <si>
    <t>2017/09/25 16:25:14.483 D 21348 AUE31814 RegDiffIndustriesApplBL 00104D:Trace:[getDiffIndustryApplMngNo開始]</t>
  </si>
  <si>
    <t>2017/09/25 16:25:14.493 I 21348 AUE31814 RegDiffIndustriesApplBL 00101I:SQL:&lt;CI&gt;SELECT SQ_DIFF_INDUSTRY_APPL_MNG_NO.NEXTVAL FROM DUAL</t>
  </si>
  <si>
    <t>2017/09/25 16:25:14.493 D 21348 AUE31814 RegDiffIndustriesApplBL 00104D:Trace:異業種商材申込管理番号：22</t>
  </si>
  <si>
    <t>2017/09/25 16:25:14.493 D 21348 AUE31814 RegDiffIndustriesApplBL 00104D:Trace:[getDiffIndustryApplMngNo終了]</t>
  </si>
  <si>
    <t>2017/09/25 16:25:14.493 D 21348 AUE31814 RegDiffIndustriesApplBL 00104D:Trace:[getDiffIndustryIntroductionNo開始]</t>
  </si>
  <si>
    <t>2017/09/25 16:25:14.493 D 21348 AUE31814 RegDiffIndustriesApplBL 00104D:Trace:++プロパティファイルより取得した紹介票管理番号取得リトライ回数：4</t>
  </si>
  <si>
    <t>2017/09/25 16:25:14.493 D 21348 AUE31814 RegDiffIndustriesApplBL 00104D:Trace:[getSqDiffIndustryIntroductionNo開始]</t>
  </si>
  <si>
    <t>2017/09/25 16:25:14.503 I 21348 AUE31814 RegDiffIndustriesApplBL 00101I:SQL:&lt;CI&gt;SELECT SQ_DIFF_INDUSTRY_INTRODUCTION_NO.NEXTVAL FROM DUAL</t>
  </si>
  <si>
    <t>2017/09/25 16:25:14.503 D 21348 AUE31814 RegDiffIndustriesApplBL 00104D:Trace:[getSqDiffIndustryIntroductionNo終了]</t>
  </si>
  <si>
    <t>2017/09/25 16:25:14.503 D 21348 AUE31814 RegDiffIndustriesApplBL 00104D:Trace:[chkDiffIndustryIntroductionNo開始]</t>
  </si>
  <si>
    <t>2017/09/25 16:25:14.523 I 21348 AUE31814 RegDiffIndustriesApplBL 00101I:SQL:&lt;CI&gt;SELECT     count(*) FROM     D_APPL_DIFF_INDUSTRY_INFO d WHERE     d.INTRODUCTION_NO = 'IG0000022'  AND     d.BATCH_FILE_IN_STS in ('0','1')</t>
  </si>
  <si>
    <t>2017/09/25 16:25:14.523 D 21348 AUE31814 RegDiffIndustriesApplBL 00104D:Trace:[chkDiffIndustryIntroductionNo終了]</t>
  </si>
  <si>
    <t>2017/09/25 16:25:14.523 D 21348 AUE31814 RegDiffIndustriesApplBL 00104D:Trace:++紹介票管理番号を取得して完了。</t>
  </si>
  <si>
    <t>2017/09/25 16:25:14.523 D 21348 AUE31814 RegDiffIndustriesApplBL 00104D:Trace:紹介票管理番号：IG0000022</t>
  </si>
  <si>
    <t>2017/09/25 16:25:14.523 D 21348 AUE31814 RegDiffIndustriesApplBL 00104D:Trace:[getDiffIndustryIntroductionNo終了]</t>
  </si>
  <si>
    <t>2017/09/25 16:25:14.523 D 21348 AUE31814 RegDiffIndustriesApplBL 00104D:Trace:[insertDiffIndustryInfo開始]</t>
  </si>
  <si>
    <t>2017/09/25 16:25:14.523 D 21348 AUE31814 RegDiffIndustriesApplBL 00104D:Trace:[insertDiffIndustryInfo終了]</t>
  </si>
  <si>
    <t>2017/09/25 16:25:14.533 I 21348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remarks_10, remarks_11, remarks_12, remarks_13, remarks_14, remarks_15, remarks_16, remarks_17, remarks_18, remarks_19, remarks_20) VALUES (22, 'ＯＲＡＮＧＥ担当者', 'A1701001', '0', '123456', '特記欄００１', '1', 'ＦＭＣ試験　太郎', 'ＦＭＣシケン　タロウ', '1080035', '東京都港区白金１丁目', 602, '20170920', 'AUE31814', '8', 'E845001', 'Ｅ８４５００１', '0', '2017-09-25', 'AUE31814', '2017-09-25', 'AUE31814', 'IG0000022', '0', '1', '0312345678', '備考1', '備考2', '備考3', '備考4', '備考5', '備考6', '1', '17110', '171107', '備考7', '備考8', '備考10', '備考11', '備考12', '備考13', '備考14', '備考15', '備考16', '備考17', '備考18', '備考19', '備考20')</t>
  </si>
  <si>
    <t>2017/09/25 16:25:14.533 D 21348 AUE31814 RegDiffIndustriesApplBL 00104D:Trace:[setResponseObjectChkPass開始]</t>
  </si>
  <si>
    <t>2017/09/25 16:25:14.533 D 21348 AUE31814 RegDiffIndustriesApplBL 00104D:Trace:[setResponseObjectChkPass終了]</t>
  </si>
  <si>
    <t>2017/09/25 16:25:14.533 D 21348 AUE31814 RegDiffIndustriesApplBL 00104D:Trace:[traceResponse開始]</t>
  </si>
  <si>
    <t>2017/09/25 16:25:14.533 D 21348 AUE31814 RegDiffIndustriesApplBL 00104D:Trace:個別結果コード0000</t>
  </si>
  <si>
    <t>2017/09/25 16:25:14.533 D 21348 AUE31814 RegDiffIndustriesApplBL 00104D:Trace:異業種申込管理番号22</t>
  </si>
  <si>
    <t>2017/09/25 16:25:14.533 D 21348 AUE31814 RegDiffIndustriesApplBL 00104D:Trace:紹介票管理番号IG0000022</t>
  </si>
  <si>
    <t>2017/09/25 16:25:14.533 D 21348 AUE31814 RegDiffIndustriesApplBL 00104D:Trace:[traceResponse終了]</t>
  </si>
  <si>
    <t>2017/09/25 16:25:14.533 D 21348 AUE31814 RegDiffIndustriesApplBL 00104D:Trace:[execute終了]</t>
  </si>
  <si>
    <t>2017/09/25 16:25:14.533 D 21348 AUE31814 RegDiffIndustriesApplServlet :△△業務ロジック△△[60ミリ秒]</t>
  </si>
  <si>
    <t>2017/09/25 16:25:14.533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22&lt;/different-appl-mng-no&gt;&lt;introduction-no&gt;IG0000022&lt;/introduction-no&gt;&lt;/reg-info&gt;&lt;/api-prm&gt;&lt;/api-response&gt;</t>
  </si>
  <si>
    <t>2017/09/25 16:25:14.533 I 21348 AUE31814 RegDiffIndustriesApplServlet 00002I:Service End</t>
  </si>
  <si>
    <t>BSS1=# select * from D_APPL_DIFF_INDUSTRY_INFO where carrier_cd='17110' and shouhin_cd='171107';</t>
  </si>
  <si>
    <t>different_appl_mng_no | 22</t>
  </si>
  <si>
    <t>introduction_no       | IG0000022</t>
  </si>
  <si>
    <t>shouhin_cd            | 171107</t>
  </si>
  <si>
    <t>rec_entry_dtime       | 25-SEP-17 16:25:14.523</t>
  </si>
  <si>
    <t>rec_update_dtime      | 25-SEP-17 16:25:14.523</t>
  </si>
  <si>
    <t>remarks_9             | (null)</t>
  </si>
  <si>
    <t>2017/09/25 16:26:42.014 I 21345          RegDiffIndustriesApplServlet 00001I:Service Start</t>
  </si>
  <si>
    <t>2017/09/25 16:26:42.014 D 21345          RegDiffIndustriesApplServlet :▽▽parse▽▽</t>
  </si>
  <si>
    <t>2017/09/25 16:26:42.014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171108&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</si>
  <si>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16:26:42.024 D 21345          RegDiffIndustriesApplServlet :△△parse△△[10ミリ秒]</t>
  </si>
  <si>
    <t>2017/09/25 16:26:42.024 D 21345 AUE31814 DBCacheUtil 00104D:Trace:groupId=BASE_SERVICE_TIME;keyword=CHECK_FLG;value=0</t>
  </si>
  <si>
    <t>2017/09/25 16:26:42.024 D 21345 AUE31814 RegDiffIndustriesApplServlet :▽▽validate▽▽</t>
  </si>
  <si>
    <t>2017/09/25 16:26:42.024 I 21345 AUE31814 RegDiffIndustriesApplServlet 01001I:Parameter Error</t>
  </si>
  <si>
    <t>2017/09/25 16:26:42.024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</si>
  <si>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16:26:42.024 I 21345 AUE31814 RegDiffIndustriesApplServlet 00002I:Service End</t>
  </si>
  <si>
    <t>2017/09/25 16:27:36.025 I 21348          RegDiffIndustriesApplServlet 00001I:Service Start</t>
  </si>
  <si>
    <t>2017/09/25 16:27:36.025 D 21348          RegDiffIndustriesApplServlet :▽▽parse▽▽</t>
  </si>
  <si>
    <t>2017/09/25 16:27:36.025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171109&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0123456789012345678901234567890123456789012345678901234567890123456789012345678901234567890123456789012345678901234567890123456789012345678901234567890123456789012345678901234567890&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</si>
  <si>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16:27:36.025 D 21348          RegDiffIndustriesApplServlet :△△parse△△[0ミリ秒]</t>
  </si>
  <si>
    <t>2017/09/25 16:27:36.025 D 21348 AUE31814 DBCacheUtil 00104D:Trace:groupId=BASE_SERVICE_TIME;keyword=CHECK_FLG;value=0</t>
  </si>
  <si>
    <t>2017/09/25 16:27:36.025 D 21348 AUE31814 RegDiffIndustriesApplServlet :▽▽validate▽▽</t>
  </si>
  <si>
    <t>2017/09/25 16:27:36.025 I 21348 AUE31814 RegDiffIndustriesApplServlet 01001I:Parameter Error</t>
  </si>
  <si>
    <t>2017/09/25 16:27:36.035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</si>
  <si>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16:27:36.035 I 21348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</si>
  <si>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23&lt;/different-appl-mng-no&gt;&lt;introduction-no&gt;IG0000023&lt;/introduction-no&gt;&lt;/reg-info&gt;&lt;/api-prm&gt;&lt;/api-response&gt;</t>
  </si>
  <si>
    <t>2017/09/25 16:28:24.460 I 21345          RegDiffIndustriesApplServlet 00001I:Service Start</t>
  </si>
  <si>
    <t>2017/09/25 16:28:24.460 D 21345          RegDiffIndustriesApplServlet :▽▽parse▽▽</t>
  </si>
  <si>
    <t>2017/09/25 16:28:24.470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171110&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</si>
  <si>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16:28:24.470 D 21345          RegDiffIndustriesApplServlet :△△parse△△[10ミリ秒]</t>
  </si>
  <si>
    <t>2017/09/25 16:28:24.470 D 21345 AUE31814 DBCacheUtil 00104D:Trace:groupId=BASE_SERVICE_TIME;keyword=CHECK_FLG;value=0</t>
  </si>
  <si>
    <t>2017/09/25 16:28:24.470 D 21345 AUE31814 RegDiffIndustriesApplServlet :▽▽validate▽▽</t>
  </si>
  <si>
    <t>2017/09/25 16:28:24.470 D 21345 AUE31814 RegDiffIndustriesApplServlet :△△validate△△[0ミリ秒]</t>
  </si>
  <si>
    <t>2017/09/25 16:28:24.470 D 21345 AUE31814 DBCacheUtil 00104D:Trace:groupId=API_VERSION;keyword=/fmc-on/bbc-appl-api/diffindustappl/reg_diff_industries_appl;value=10</t>
  </si>
  <si>
    <t>2017/09/25 16:28:24.470 D 21345 AUE31814 RegDiffIndustriesApplServlet :▽▽業務ロジック▽▽</t>
  </si>
  <si>
    <t>2017/09/25 16:28:24.470 D 21345 AUE31814 RegDiffIndustriesApplBL 00104D:Trace:[setSequenceDao開始]</t>
  </si>
  <si>
    <t>2017/09/25 16:28:24.470 D 21345 AUE31814 RegDiffIndustriesApplBL 00104D:Trace:[setSequenceDao終了]</t>
  </si>
  <si>
    <t>2017/09/25 16:28:24.470 D 21345 AUE31814 RegDiffIndustriesApplBL 00104D:Trace:[setdApplDiffIndustryInfoApplDao開始]</t>
  </si>
  <si>
    <t>2017/09/25 16:28:24.470 D 21345 AUE31814 RegDiffIndustriesApplBL 00104D:Trace:[setdApplDiffIndustryInfoApplDao終了]</t>
  </si>
  <si>
    <t>2017/09/25 16:28:24.470 D 21345 AUE31814 RegDiffIndustriesApplBL 00104D:Trace:[execute開始]</t>
  </si>
  <si>
    <t>2017/09/25 16:28:24.470 D 21345 AUE31814 RegDiffIndustriesApplBL 00104D:Trace:[traceRequest開始]</t>
  </si>
  <si>
    <t>2017/09/25 16:28:24.470 D 21345 AUE31814 RegDiffIndustriesApplBL 00104D:Trace:au代理店コード：E845001</t>
  </si>
  <si>
    <t>2017/09/25 16:28:24.470 D 21345 AUE31814 RegDiffIndustriesApplBL 00104D:Trace: 申込押下ボタン：8</t>
  </si>
  <si>
    <t>2017/09/25 16:28:24.470 D 21345 AUE31814 RegDiffIndustriesApplBL 00104D:Trace: 店名：Ｅ８４５００１</t>
  </si>
  <si>
    <t>2017/09/25 16:28:24.470 D 21345 AUE31814 RegDiffIndustriesApplBL 00104D:Trace: 担当者名：ＯＲＡＮＧＥ担当者</t>
  </si>
  <si>
    <t>2017/09/25 16:28:24.470 D 21345 AUE31814 RegDiffIndustriesApplBL 00104D:Trace: 担当者名(名)：null</t>
  </si>
  <si>
    <t>2017/09/25 16:28:24.470 D 21345 AUE31814 RegDiffIndustriesApplBL 00104D:Trace: 電話番号：null</t>
  </si>
  <si>
    <t>2017/09/25 16:28:24.470 D 21345 AUE31814 RegDiffIndustriesApplBL 00104D:Trace: 申込年月日：20170920</t>
  </si>
  <si>
    <t>2017/09/25 16:28:24.470 D 21345 AUE31814 RegDiffIndustriesApplBL 00104D:Trace: 申込時刻：123456</t>
  </si>
  <si>
    <t>2017/09/25 16:28:24.470 D 21345 AUE31814 RegDiffIndustriesApplBL 00104D:Trace: 事業者コード：17110</t>
  </si>
  <si>
    <t>2017/09/25 16:28:24.470 D 21345 AUE31814 RegDiffIndustriesApplBL 00104D:Trace: 商品コード：171110</t>
  </si>
  <si>
    <t>2017/09/25 16:28:24.470 D 21345 AUE31814 RegDiffIndustriesApplBL 00104D:Trace: 漢字：ＦＭＣ試験　太郎</t>
  </si>
  <si>
    <t>2017/09/25 16:28:24.470 D 21345 AUE31814 RegDiffIndustriesApplBL 00104D:Trace: カナ：ＦＭＣシケン　タロウ</t>
  </si>
  <si>
    <t>2017/09/25 16:28:24.470 D 21345 AUE31814 RegDiffIndustriesApplBL 00104D:Trace: 自宅・勤務先電話番号：0312345678</t>
  </si>
  <si>
    <t>2017/09/25 16:28:24.470 D 21345 AUE31814 RegDiffIndustriesApplBL 00104D:Trace: 携帯電話番号：null</t>
  </si>
  <si>
    <t>2017/09/25 16:28:24.470 D 21345 AUE31814 RegDiffIndustriesApplBL 00104D:Trace: 郵便番号：1080035</t>
  </si>
  <si>
    <t>2017/09/25 16:28:24.470 D 21345 AUE31814 RegDiffIndustriesApplBL 00104D:Trace: 住所：東京都港区白金１丁目</t>
  </si>
  <si>
    <t>2017/09/25 16:28:24.470 D 21345 AUE31814 RegDiffIndustriesApplBL 00104D:Trace: 住居区分：0</t>
  </si>
  <si>
    <t>2017/09/25 16:28:24.470 D 21345 AUE31814 RegDiffIndustriesApplBL 00104D:Trace: 所有区分：1</t>
  </si>
  <si>
    <t>2017/09/25 16:28:24.470 D 21345 AUE31814 RegDiffIndustriesApplBL 00104D:Trace: 連絡希望曜日：0</t>
  </si>
  <si>
    <t>2017/09/25 16:28:24.470 D 21345 AUE31814 RegDiffIndustriesApplBL 00104D:Trace: 連絡希望時間帯：1</t>
  </si>
  <si>
    <t>2017/09/25 16:28:24.470 D 21345 AUE31814 RegDiffIndustriesApplBL 00104D:Trace: お客様ID：null</t>
  </si>
  <si>
    <t>2017/09/25 16:28:24.470 D 21345 AUE31814 RegDiffIndustriesApplBL 00104D:Trace: 備考1：備考1</t>
  </si>
  <si>
    <t>2017/09/25 16:28:24.470 D 21345 AUE31814 RegDiffIndustriesApplBL 00104D:Trace: 備考2：備考2</t>
  </si>
  <si>
    <t>2017/09/25 16:28:24.470 D 21345 AUE31814 RegDiffIndustriesApplBL 00104D:Trace: 備考3：備考3</t>
  </si>
  <si>
    <t>2017/09/25 16:28:24.470 D 21345 AUE31814 RegDiffIndustriesApplBL 00104D:Trace: 備考4：備考4</t>
  </si>
  <si>
    <t>2017/09/25 16:28:24.470 D 21345 AUE31814 RegDiffIndustriesApplBL 00104D:Trace: 備考5：備考5</t>
  </si>
  <si>
    <t>2017/09/25 16:28:24.470 D 21345 AUE31814 RegDiffIndustriesApplBL 00104D:Trace: 備考6：備考6</t>
  </si>
  <si>
    <t>2017/09/25 16:28:24.470 D 21345 AUE31814 RegDiffIndustriesApplBL 00104D:Trace: 備考7：備考7</t>
  </si>
  <si>
    <t>2017/09/25 16:28:24.470 D 21345 AUE31814 RegDiffIndustriesApplBL 00104D:Trace: 備考8：備考8</t>
  </si>
  <si>
    <t>2017/09/25 16:28:24.470 D 21345 AUE31814 RegDiffIndustriesApplBL 00104D:Trace: 備考9：備考9</t>
  </si>
  <si>
    <t>2017/09/25 16:28:24.470 D 21345 AUE31814 RegDiffIndustriesApplBL 00104D:Trace: 備考10：null</t>
  </si>
  <si>
    <t>2017/09/25 16:28:24.470 D 21345 AUE31814 RegDiffIndustriesApplBL 00104D:Trace: 備考11：備考11</t>
  </si>
  <si>
    <t>2017/09/25 16:28:24.470 D 21345 AUE31814 RegDiffIndustriesApplBL 00104D:Trace: 備考12：備考12</t>
  </si>
  <si>
    <t>2017/09/25 16:28:24.470 D 21345 AUE31814 RegDiffIndustriesApplBL 00104D:Trace: 備考13：備考13</t>
  </si>
  <si>
    <t>2017/09/25 16:28:24.470 D 21345 AUE31814 RegDiffIndustriesApplBL 00104D:Trace: 備考14：備考14</t>
  </si>
  <si>
    <t>2017/09/25 16:28:24.470 D 21345 AUE31814 RegDiffIndustriesApplBL 00104D:Trace: 備考15：備考15</t>
  </si>
  <si>
    <t>2017/09/25 16:28:24.470 D 21345 AUE31814 RegDiffIndustriesApplBL 00104D:Trace: 備考16：備考16</t>
  </si>
  <si>
    <t>2017/09/25 16:28:24.470 D 21345 AUE31814 RegDiffIndustriesApplBL 00104D:Trace: 備考17：備考17</t>
  </si>
  <si>
    <t>2017/09/25 16:28:24.470 D 21345 AUE31814 RegDiffIndustriesApplBL 00104D:Trace: 備考18：備考18</t>
  </si>
  <si>
    <t>2017/09/25 16:28:24.470 D 21345 AUE31814 RegDiffIndustriesApplBL 00104D:Trace: 備考19：備考19</t>
  </si>
  <si>
    <t>2017/09/25 16:28:24.470 D 21345 AUE31814 RegDiffIndustriesApplBL 00104D:Trace: 備考20：備考20</t>
  </si>
  <si>
    <t>2017/09/25 16:28:24.470 D 21345 AUE31814 RegDiffIndustriesApplBL 00104D:Trace: 特記：特記欄００１</t>
  </si>
  <si>
    <t>2017/09/25 16:28:24.470 D 21345 AUE31814 RegDiffIndustriesApplBL 00104D:Trace: au加入者コード:A1701001</t>
  </si>
  <si>
    <t>2017/09/25 16:28:24.470 D 21345 AUE31814 RegDiffIndustriesApplBL 00104D:Trace: 基本契約番号:null</t>
  </si>
  <si>
    <t>2017/09/25 16:28:24.470 I 21345 AUE31814 RegDiffIndustriesApplBL 00105I:Trace:&lt;CI&gt; 顧客区分：1</t>
  </si>
  <si>
    <t>2017/09/25 16:28:24.470 D 21345 AUE31814 RegDiffIndustriesApplBL 00104D:Trace:[traceRequest終了]</t>
  </si>
  <si>
    <t>2017/09/25 16:28:24.470 D 21345 AUE31814 RegDiffIndustriesApplBL 00104D:Trace:[checkByte開始]</t>
  </si>
  <si>
    <t>2017/09/25 16:28:24.480 I 21345 AUE31814 RegDiffIndustriesApplBL 00105I:Trace:&lt;CI&gt;errByteMessage.size =「0」</t>
  </si>
  <si>
    <t>2017/09/25 16:28:24.480 D 21345 AUE31814 RegDiffIndustriesApplBL 00104D:Trace:[checkByte終了]</t>
  </si>
  <si>
    <t>2017/09/25 16:28:24.480 D 21345 AUE31814 RegDiffIndustriesApplBL 00104D:Trace:[getDiffIndustryApplMngNo開始]</t>
  </si>
  <si>
    <t>2017/09/25 16:28:24.490 I 21345 AUE31814 RegDiffIndustriesApplBL 00101I:SQL:&lt;CI&gt;SELECT SQ_DIFF_INDUSTRY_APPL_MNG_NO.NEXTVAL FROM DUAL</t>
  </si>
  <si>
    <t>2017/09/25 16:28:24.490 D 21345 AUE31814 RegDiffIndustriesApplBL 00104D:Trace:異業種商材申込管理番号：23</t>
  </si>
  <si>
    <t>2017/09/25 16:28:24.490 D 21345 AUE31814 RegDiffIndustriesApplBL 00104D:Trace:[getDiffIndustryApplMngNo終了]</t>
  </si>
  <si>
    <t>2017/09/25 16:28:24.490 D 21345 AUE31814 RegDiffIndustriesApplBL 00104D:Trace:[getDiffIndustryIntroductionNo開始]</t>
  </si>
  <si>
    <t>2017/09/25 16:28:24.490 D 21345 AUE31814 RegDiffIndustriesApplBL 00104D:Trace:++プロパティファイルより取得した紹介票管理番号取得リトライ回数：4</t>
  </si>
  <si>
    <t>2017/09/25 16:28:24.490 D 21345 AUE31814 RegDiffIndustriesApplBL 00104D:Trace:[getSqDiffIndustryIntroductionNo開始]</t>
  </si>
  <si>
    <t>2017/09/25 16:28:24.500 I 21345 AUE31814 RegDiffIndustriesApplBL 00101I:SQL:&lt;CI&gt;SELECT SQ_DIFF_INDUSTRY_INTRODUCTION_NO.NEXTVAL FROM DUAL</t>
  </si>
  <si>
    <t>2017/09/25 16:28:24.500 D 21345 AUE31814 RegDiffIndustriesApplBL 00104D:Trace:[getSqDiffIndustryIntroductionNo終了]</t>
  </si>
  <si>
    <t>2017/09/25 16:28:24.500 D 21345 AUE31814 RegDiffIndustriesApplBL 00104D:Trace:[chkDiffIndustryIntroductionNo開始]</t>
  </si>
  <si>
    <t>2017/09/25 16:28:24.510 I 21345 AUE31814 RegDiffIndustriesApplBL 00101I:SQL:&lt;CI&gt;SELECT     count(*) FROM     D_APPL_DIFF_INDUSTRY_INFO d WHERE     d.INTRODUCTION_NO = 'IG0000023'  AND     d.BATCH_FILE_IN_STS in ('0','1')</t>
  </si>
  <si>
    <t>2017/09/25 16:28:24.510 D 21345 AUE31814 RegDiffIndustriesApplBL 00104D:Trace:[chkDiffIndustryIntroductionNo終了]</t>
  </si>
  <si>
    <t>2017/09/25 16:28:24.510 D 21345 AUE31814 RegDiffIndustriesApplBL 00104D:Trace:++紹介票管理番号を取得して完了。</t>
  </si>
  <si>
    <t>2017/09/25 16:28:24.510 D 21345 AUE31814 RegDiffIndustriesApplBL 00104D:Trace:紹介票管理番号：IG0000023</t>
  </si>
  <si>
    <t>2017/09/25 16:28:24.510 D 21345 AUE31814 RegDiffIndustriesApplBL 00104D:Trace:[getDiffIndustryIntroductionNo終了]</t>
  </si>
  <si>
    <t>2017/09/25 16:28:24.510 D 21345 AUE31814 RegDiffIndustriesApplBL 00104D:Trace:[insertDiffIndustryInfo開始]</t>
  </si>
  <si>
    <t>2017/09/25 16:28:24.510 D 21345 AUE31814 RegDiffIndustriesApplBL 00104D:Trace:[insertDiffIndustryInfo終了]</t>
  </si>
  <si>
    <t>2017/09/25 16:28:24.530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remarks_11, remarks_12, remarks_13, remarks_14, remarks_15, remarks_16, remarks_17, remarks_18, remarks_19, remarks_20) VALUES (23, 'ＯＲＡＮＧＥ担当者', 'A1701001', '0', '123456', '特記欄００１', '1', 'ＦＭＣ試験　太郎', 'ＦＭＣシケン　タロウ', '1080035', '東京都港区白金１丁目', 602, '20170920', 'AUE31814', '8', 'E845001', 'Ｅ８４５００１', '0', '2017-09-25', 'AUE31814', '2017-09-25', 'AUE31814', 'IG0000023', '0', '1', '0312345678', '備考1', '備考2', '備考3', '備考4', '備考5', '備考6', '1', '17110', '171110', '備考7', '備考8', '備考9', '備考11', '備考12', '備考13', '備考14', '備考15', '備考16', '備考17', '備考18', '備考19', '備考20')</t>
  </si>
  <si>
    <t>2017/09/25 16:28:24.530 D 21345 AUE31814 RegDiffIndustriesApplBL 00104D:Trace:[setResponseObjectChkPass開始]</t>
  </si>
  <si>
    <t>2017/09/25 16:28:24.530 D 21345 AUE31814 RegDiffIndustriesApplBL 00104D:Trace:[setResponseObjectChkPass終了]</t>
  </si>
  <si>
    <t>2017/09/25 16:28:24.530 D 21345 AUE31814 RegDiffIndustriesApplBL 00104D:Trace:[traceResponse開始]</t>
  </si>
  <si>
    <t>2017/09/25 16:28:24.530 D 21345 AUE31814 RegDiffIndustriesApplBL 00104D:Trace:個別結果コード0000</t>
  </si>
  <si>
    <t>2017/09/25 16:28:24.530 D 21345 AUE31814 RegDiffIndustriesApplBL 00104D:Trace:異業種申込管理番号23</t>
  </si>
  <si>
    <t>2017/09/25 16:28:24.530 D 21345 AUE31814 RegDiffIndustriesApplBL 00104D:Trace:紹介票管理番号IG0000023</t>
  </si>
  <si>
    <t>2017/09/25 16:28:24.530 D 21345 AUE31814 RegDiffIndustriesApplBL 00104D:Trace:[traceResponse終了]</t>
  </si>
  <si>
    <t>2017/09/25 16:28:24.530 D 21345 AUE31814 RegDiffIndustriesApplBL 00104D:Trace:[execute終了]</t>
  </si>
  <si>
    <t>2017/09/25 16:28:24.530 D 21345 AUE31814 RegDiffIndustriesApplServlet :△△業務ロジック△△[60ミリ秒]</t>
  </si>
  <si>
    <t>2017/09/25 16:28:24.530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23&lt;/different-appl-mng-no&gt;&lt;introduction-no&gt;IG0000023&lt;/introduction-no&gt;&lt;/reg-info&gt;&lt;/api-prm&gt;&lt;/api-response&gt;</t>
  </si>
  <si>
    <t>2017/09/25 16:28:24.530 I 21345 AUE31814 RegDiffIndustriesApplServlet 00002I:Service End</t>
  </si>
  <si>
    <t>BSS1=# select * from D_APPL_DIFF_INDUSTRY_INFO where carrier_cd='17110' and shouhin_cd='171110';</t>
  </si>
  <si>
    <t>different_appl_mng_no | 23</t>
  </si>
  <si>
    <t>introduction_no       | IG0000023</t>
  </si>
  <si>
    <t>shouhin_cd            | 171110</t>
  </si>
  <si>
    <t>rec_entry_dtime       | 25-SEP-17 16:28:24.51</t>
  </si>
  <si>
    <t>rec_update_dtime      | 25-SEP-17 16:28:24.51</t>
  </si>
  <si>
    <t>remarks_10            | (null)</t>
  </si>
  <si>
    <t>2017/09/25 16:29:47.382 I 21347          RegDiffIndustriesApplServlet 00001I:Service Start</t>
  </si>
  <si>
    <t>2017/09/25 16:29:47.382 D 21347          RegDiffIndustriesApplServlet :▽▽parse▽▽</t>
  </si>
  <si>
    <t>2017/09/25 16:29:47.382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171111&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</si>
  <si>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16:29:47.382 D 21347          RegDiffIndustriesApplServlet :△△parse△△[0ミリ秒]</t>
  </si>
  <si>
    <t>2017/09/25 16:29:47.382 D 21347 AUE31814 DBCacheUtil 00104D:Trace:groupId=BASE_SERVICE_TIME;keyword=CHECK_FLG;value=0</t>
  </si>
  <si>
    <t>2017/09/25 16:29:47.382 D 21347 AUE31814 RegDiffIndustriesApplServlet :▽▽validate▽▽</t>
  </si>
  <si>
    <t>2017/09/25 16:29:47.382 I 21347 AUE31814 RegDiffIndustriesApplServlet 01001I:Parameter Error</t>
  </si>
  <si>
    <t>2017/09/25 16:29:47.382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</si>
  <si>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16:29:47.382 I 21347 AUE31814 RegDiffIndustriesApplServlet 00002I:Service End</t>
  </si>
  <si>
    <t>2017/09/25 16:32:04.035 I 21345          RegDiffIndustriesApplServlet 00001I:Service Start</t>
  </si>
  <si>
    <t>2017/09/25 16:32:04.035 D 21345          RegDiffIndustriesApplServlet :▽▽parse▽▽</t>
  </si>
  <si>
    <t>2017/09/25 16:32:04.035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171112&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0123456789012345678901234567890123456789012345678901234567890123456789012345678901234567890123456789012345678901234567890123456789012345678901234567890123456789012345678901234567890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</si>
  <si>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16:32:04.035 D 21345          RegDiffIndustriesApplServlet :△△parse△△[0ミリ秒]</t>
  </si>
  <si>
    <t>2017/09/25 16:32:04.035 D 21345 AUE31814 DBCacheUtil 00104D:Trace:groupId=BASE_SERVICE_TIME;keyword=CHECK_FLG;value=0</t>
  </si>
  <si>
    <t>2017/09/25 16:32:04.035 D 21345 AUE31814 RegDiffIndustriesApplServlet :▽▽validate▽▽</t>
  </si>
  <si>
    <t>2017/09/25 16:32:04.045 I 21345 AUE31814 RegDiffIndustriesApplServlet 01001I:Parameter Error</t>
  </si>
  <si>
    <t>2017/09/25 16:32:04.045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</si>
  <si>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16:32:04.045 I 21345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</si>
  <si>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24&lt;/different-appl-mng-no&gt;&lt;introduction-no&gt;IG0000024&lt;/introduction-no&gt;&lt;/reg-info&gt;&lt;/api-prm&gt;&lt;/api-response&gt;</t>
  </si>
  <si>
    <t>2017/09/25 16:33:18.036 I 21347          RegDiffIndustriesApplServlet 00001I:Service Start</t>
  </si>
  <si>
    <t>2017/09/25 16:33:18.036 D 21347          RegDiffIndustriesApplServlet :▽▽parse▽▽</t>
  </si>
  <si>
    <t>2017/09/25 16:33:18.036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171113&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</si>
  <si>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16:33:18.036 D 21347          RegDiffIndustriesApplServlet :△△parse△△[0ミリ秒]</t>
  </si>
  <si>
    <t>2017/09/25 16:33:18.036 D 21347 AUE31814 DBCacheUtil 00104D:Trace:groupId=BASE_SERVICE_TIME;keyword=CHECK_FLG;value=0</t>
  </si>
  <si>
    <t>2017/09/25 16:33:18.036 D 21347 AUE31814 RegDiffIndustriesApplServlet :▽▽validate▽▽</t>
  </si>
  <si>
    <t>2017/09/25 16:33:18.036 D 21347 AUE31814 RegDiffIndustriesApplServlet :△△validate△△[0ミリ秒]</t>
  </si>
  <si>
    <t>2017/09/25 16:33:18.036 D 21347 AUE31814 DBCacheUtil 00104D:Trace:groupId=API_VERSION;keyword=/fmc-on/bbc-appl-api/diffindustappl/reg_diff_industries_appl;value=10</t>
  </si>
  <si>
    <t>2017/09/25 16:33:18.036 D 21347 AUE31814 RegDiffIndustriesApplServlet :▽▽業務ロジック▽▽</t>
  </si>
  <si>
    <t>2017/09/25 16:33:18.036 D 21347 AUE31814 RegDiffIndustriesApplBL 00104D:Trace:[setSequenceDao開始]</t>
  </si>
  <si>
    <t>2017/09/25 16:33:18.036 D 21347 AUE31814 RegDiffIndustriesApplBL 00104D:Trace:[setSequenceDao終了]</t>
  </si>
  <si>
    <t>2017/09/25 16:33:18.036 D 21347 AUE31814 RegDiffIndustriesApplBL 00104D:Trace:[setdApplDiffIndustryInfoApplDao開始]</t>
  </si>
  <si>
    <t>2017/09/25 16:33:18.036 D 21347 AUE31814 RegDiffIndustriesApplBL 00104D:Trace:[setdApplDiffIndustryInfoApplDao終了]</t>
  </si>
  <si>
    <t>2017/09/25 16:33:18.036 D 21347 AUE31814 RegDiffIndustriesApplBL 00104D:Trace:[execute開始]</t>
  </si>
  <si>
    <t>2017/09/25 16:33:18.036 D 21347 AUE31814 RegDiffIndustriesApplBL 00104D:Trace:[traceRequest開始]</t>
  </si>
  <si>
    <t>2017/09/25 16:33:18.036 D 21347 AUE31814 RegDiffIndustriesApplBL 00104D:Trace:au代理店コード：E845001</t>
  </si>
  <si>
    <t>2017/09/25 16:33:18.036 D 21347 AUE31814 RegDiffIndustriesApplBL 00104D:Trace: 申込押下ボタン：8</t>
  </si>
  <si>
    <t>2017/09/25 16:33:18.036 D 21347 AUE31814 RegDiffIndustriesApplBL 00104D:Trace: 店名：Ｅ８４５００１</t>
  </si>
  <si>
    <t>2017/09/25 16:33:18.036 D 21347 AUE31814 RegDiffIndustriesApplBL 00104D:Trace: 担当者名：ＯＲＡＮＧＥ担当者</t>
  </si>
  <si>
    <t>2017/09/25 16:33:18.036 D 21347 AUE31814 RegDiffIndustriesApplBL 00104D:Trace: 担当者名(名)：null</t>
  </si>
  <si>
    <t>2017/09/25 16:33:18.036 D 21347 AUE31814 RegDiffIndustriesApplBL 00104D:Trace: 電話番号：null</t>
  </si>
  <si>
    <t>2017/09/25 16:33:18.036 D 21347 AUE31814 RegDiffIndustriesApplBL 00104D:Trace: 申込年月日：20170920</t>
  </si>
  <si>
    <t>2017/09/25 16:33:18.036 D 21347 AUE31814 RegDiffIndustriesApplBL 00104D:Trace: 申込時刻：123456</t>
  </si>
  <si>
    <t>2017/09/25 16:33:18.036 D 21347 AUE31814 RegDiffIndustriesApplBL 00104D:Trace: 事業者コード：17110</t>
  </si>
  <si>
    <t>2017/09/25 16:33:18.036 D 21347 AUE31814 RegDiffIndustriesApplBL 00104D:Trace: 商品コード：171113</t>
  </si>
  <si>
    <t>2017/09/25 16:33:18.036 D 21347 AUE31814 RegDiffIndustriesApplBL 00104D:Trace: 漢字：ＦＭＣ試験　太郎</t>
  </si>
  <si>
    <t>2017/09/25 16:33:18.036 D 21347 AUE31814 RegDiffIndustriesApplBL 00104D:Trace: カナ：ＦＭＣシケン　タロウ</t>
  </si>
  <si>
    <t>2017/09/25 16:33:18.036 D 21347 AUE31814 RegDiffIndustriesApplBL 00104D:Trace: 自宅・勤務先電話番号：0312345678</t>
  </si>
  <si>
    <t>2017/09/25 16:33:18.036 D 21347 AUE31814 RegDiffIndustriesApplBL 00104D:Trace: 携帯電話番号：null</t>
  </si>
  <si>
    <t>2017/09/25 16:33:18.036 D 21347 AUE31814 RegDiffIndustriesApplBL 00104D:Trace: 郵便番号：1080035</t>
  </si>
  <si>
    <t>2017/09/25 16:33:18.036 D 21347 AUE31814 RegDiffIndustriesApplBL 00104D:Trace: 住所：東京都港区白金１丁目</t>
  </si>
  <si>
    <t>2017/09/25 16:33:18.046 D 21347 AUE31814 RegDiffIndustriesApplBL 00104D:Trace: 住居区分：0</t>
  </si>
  <si>
    <t>2017/09/25 16:33:18.046 D 21347 AUE31814 RegDiffIndustriesApplBL 00104D:Trace: 所有区分：1</t>
  </si>
  <si>
    <t>2017/09/25 16:33:18.046 D 21347 AUE31814 RegDiffIndustriesApplBL 00104D:Trace: 連絡希望曜日：0</t>
  </si>
  <si>
    <t>2017/09/25 16:33:18.046 D 21347 AUE31814 RegDiffIndustriesApplBL 00104D:Trace: 連絡希望時間帯：1</t>
  </si>
  <si>
    <t>2017/09/25 16:33:18.046 D 21347 AUE31814 RegDiffIndustriesApplBL 00104D:Trace: お客様ID：null</t>
  </si>
  <si>
    <t>2017/09/25 16:33:18.046 D 21347 AUE31814 RegDiffIndustriesApplBL 00104D:Trace: 備考1：備考1</t>
  </si>
  <si>
    <t>2017/09/25 16:33:18.046 D 21347 AUE31814 RegDiffIndustriesApplBL 00104D:Trace: 備考2：備考2</t>
  </si>
  <si>
    <t>2017/09/25 16:33:18.046 D 21347 AUE31814 RegDiffIndustriesApplBL 00104D:Trace: 備考3：備考3</t>
  </si>
  <si>
    <t>2017/09/25 16:33:18.046 D 21347 AUE31814 RegDiffIndustriesApplBL 00104D:Trace: 備考4：備考4</t>
  </si>
  <si>
    <t>2017/09/25 16:33:18.046 D 21347 AUE31814 RegDiffIndustriesApplBL 00104D:Trace: 備考5：備考5</t>
  </si>
  <si>
    <t>2017/09/25 16:33:18.046 D 21347 AUE31814 RegDiffIndustriesApplBL 00104D:Trace: 備考6：備考6</t>
  </si>
  <si>
    <t>2017/09/25 16:33:18.046 D 21347 AUE31814 RegDiffIndustriesApplBL 00104D:Trace: 備考7：備考7</t>
  </si>
  <si>
    <t>2017/09/25 16:33:18.046 D 21347 AUE31814 RegDiffIndustriesApplBL 00104D:Trace: 備考8：備考8</t>
  </si>
  <si>
    <t>2017/09/25 16:33:18.046 D 21347 AUE31814 RegDiffIndustriesApplBL 00104D:Trace: 備考9：備考9</t>
  </si>
  <si>
    <t>2017/09/25 16:33:18.046 D 21347 AUE31814 RegDiffIndustriesApplBL 00104D:Trace: 備考10：備考10</t>
  </si>
  <si>
    <t>2017/09/25 16:33:18.046 D 21347 AUE31814 RegDiffIndustriesApplBL 00104D:Trace: 備考11：null</t>
  </si>
  <si>
    <t>2017/09/25 16:33:18.046 D 21347 AUE31814 RegDiffIndustriesApplBL 00104D:Trace: 備考12：備考12</t>
  </si>
  <si>
    <t>2017/09/25 16:33:18.046 D 21347 AUE31814 RegDiffIndustriesApplBL 00104D:Trace: 備考13：備考13</t>
  </si>
  <si>
    <t>2017/09/25 16:33:18.046 D 21347 AUE31814 RegDiffIndustriesApplBL 00104D:Trace: 備考14：備考14</t>
  </si>
  <si>
    <t>2017/09/25 16:33:18.046 D 21347 AUE31814 RegDiffIndustriesApplBL 00104D:Trace: 備考15：備考15</t>
  </si>
  <si>
    <t>2017/09/25 16:33:18.046 D 21347 AUE31814 RegDiffIndustriesApplBL 00104D:Trace: 備考16：備考16</t>
  </si>
  <si>
    <t>2017/09/25 16:33:18.046 D 21347 AUE31814 RegDiffIndustriesApplBL 00104D:Trace: 備考17：備考17</t>
  </si>
  <si>
    <t>2017/09/25 16:33:18.046 D 21347 AUE31814 RegDiffIndustriesApplBL 00104D:Trace: 備考18：備考18</t>
  </si>
  <si>
    <t>2017/09/25 16:33:18.046 D 21347 AUE31814 RegDiffIndustriesApplBL 00104D:Trace: 備考19：備考19</t>
  </si>
  <si>
    <t>2017/09/25 16:33:18.046 D 21347 AUE31814 RegDiffIndustriesApplBL 00104D:Trace: 備考20：備考20</t>
  </si>
  <si>
    <t>2017/09/25 16:33:18.046 D 21347 AUE31814 RegDiffIndustriesApplBL 00104D:Trace: 特記：特記欄００１</t>
  </si>
  <si>
    <t>2017/09/25 16:33:18.046 D 21347 AUE31814 RegDiffIndustriesApplBL 00104D:Trace: au加入者コード:A1701001</t>
  </si>
  <si>
    <t>2017/09/25 16:33:18.046 D 21347 AUE31814 RegDiffIndustriesApplBL 00104D:Trace: 基本契約番号:null</t>
  </si>
  <si>
    <t>2017/09/25 16:33:18.046 I 21347 AUE31814 RegDiffIndustriesApplBL 00105I:Trace:&lt;CI&gt; 顧客区分：1</t>
  </si>
  <si>
    <t>2017/09/25 16:33:18.046 D 21347 AUE31814 RegDiffIndustriesApplBL 00104D:Trace:[traceRequest終了]</t>
  </si>
  <si>
    <t>2017/09/25 16:33:18.046 D 21347 AUE31814 RegDiffIndustriesApplBL 00104D:Trace:[checkByte開始]</t>
  </si>
  <si>
    <t>2017/09/25 16:33:18.046 I 21347 AUE31814 RegDiffIndustriesApplBL 00105I:Trace:&lt;CI&gt;errByteMessage.size =「0」</t>
  </si>
  <si>
    <t>2017/09/25 16:33:18.046 D 21347 AUE31814 RegDiffIndustriesApplBL 00104D:Trace:[checkByte終了]</t>
  </si>
  <si>
    <t>2017/09/25 16:33:18.046 D 21347 AUE31814 RegDiffIndustriesApplBL 00104D:Trace:[getDiffIndustryApplMngNo開始]</t>
  </si>
  <si>
    <t>2017/09/25 16:33:18.056 I 21347 AUE31814 RegDiffIndustriesApplBL 00101I:SQL:&lt;CI&gt;SELECT SQ_DIFF_INDUSTRY_APPL_MNG_NO.NEXTVAL FROM DUAL</t>
  </si>
  <si>
    <t>2017/09/25 16:33:18.056 D 21347 AUE31814 RegDiffIndustriesApplBL 00104D:Trace:異業種商材申込管理番号：24</t>
  </si>
  <si>
    <t>2017/09/25 16:33:18.056 D 21347 AUE31814 RegDiffIndustriesApplBL 00104D:Trace:[getDiffIndustryApplMngNo終了]</t>
  </si>
  <si>
    <t>2017/09/25 16:33:18.056 D 21347 AUE31814 RegDiffIndustriesApplBL 00104D:Trace:[getDiffIndustryIntroductionNo開始]</t>
  </si>
  <si>
    <t>2017/09/25 16:33:18.056 D 21347 AUE31814 RegDiffIndustriesApplBL 00104D:Trace:++プロパティファイルより取得した紹介票管理番号取得リトライ回数：4</t>
  </si>
  <si>
    <t>2017/09/25 16:33:18.056 D 21347 AUE31814 RegDiffIndustriesApplBL 00104D:Trace:[getSqDiffIndustryIntroductionNo開始]</t>
  </si>
  <si>
    <t>2017/09/25 16:33:18.066 I 21347 AUE31814 RegDiffIndustriesApplBL 00101I:SQL:&lt;CI&gt;SELECT SQ_DIFF_INDUSTRY_INTRODUCTION_NO.NEXTVAL FROM DUAL</t>
  </si>
  <si>
    <t>2017/09/25 16:33:18.066 D 21347 AUE31814 RegDiffIndustriesApplBL 00104D:Trace:[getSqDiffIndustryIntroductionNo終了]</t>
  </si>
  <si>
    <t>2017/09/25 16:33:18.066 D 21347 AUE31814 RegDiffIndustriesApplBL 00104D:Trace:[chkDiffIndustryIntroductionNo開始]</t>
  </si>
  <si>
    <t>2017/09/25 16:33:18.086 I 21347 AUE31814 RegDiffIndustriesApplBL 00101I:SQL:&lt;CI&gt;SELECT     count(*) FROM     D_APPL_DIFF_INDUSTRY_INFO d WHERE     d.INTRODUCTION_NO = 'IG0000024'  AND     d.BATCH_FILE_IN_STS in ('0','1')</t>
  </si>
  <si>
    <t>2017/09/25 16:33:18.086 D 21347 AUE31814 RegDiffIndustriesApplBL 00104D:Trace:[chkDiffIndustryIntroductionNo終了]</t>
  </si>
  <si>
    <t>2017/09/25 16:33:18.086 D 21347 AUE31814 RegDiffIndustriesApplBL 00104D:Trace:++紹介票管理番号を取得して完了。</t>
  </si>
  <si>
    <t>2017/09/25 16:33:18.086 D 21347 AUE31814 RegDiffIndustriesApplBL 00104D:Trace:紹介票管理番号：IG0000024</t>
  </si>
  <si>
    <t>2017/09/25 16:33:18.086 D 21347 AUE31814 RegDiffIndustriesApplBL 00104D:Trace:[getDiffIndustryIntroductionNo終了]</t>
  </si>
  <si>
    <t>2017/09/25 16:33:18.086 D 21347 AUE31814 RegDiffIndustriesApplBL 00104D:Trace:[insertDiffIndustryInfo開始]</t>
  </si>
  <si>
    <t>2017/09/25 16:33:18.086 D 21347 AUE31814 RegDiffIndustriesApplBL 00104D:Trace:[insertDiffIndustryInfo終了]</t>
  </si>
  <si>
    <t>2017/09/25 16:33:18.106 I 21347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remarks_12, remarks_13, remarks_14, remarks_15, remarks_16, remarks_17, remarks_18, remarks_19, remarks_20) VALUES (24, 'ＯＲＡＮＧＥ担当者', 'A1701001', '0', '123456', '特記欄００１', '1', 'ＦＭＣ試験　太郎', 'ＦＭＣシケン　タロウ', '1080035', '東京都港区白金１丁目', 602, '20170920', 'AUE31814', '8', 'E845001', 'Ｅ８４５００１', '0', '2017-09-25', 'AUE31814', '2017-09-25', 'AUE31814', 'IG0000024', '0', '1', '0312345678', '備考1', '備考2', '備考3', '備考4', '備考5', '備考6', '1', '17110', '171113', '備考7', '備考8', '備考9', '備考10', '備考12', '備考13', '備考14', '備考15', '備考16', '備考17', '備考18', '備考19', '備考20')</t>
  </si>
  <si>
    <t>2017/09/25 16:33:18.106 D 21347 AUE31814 RegDiffIndustriesApplBL 00104D:Trace:[setResponseObjectChkPass開始]</t>
  </si>
  <si>
    <t>2017/09/25 16:33:18.106 D 21347 AUE31814 RegDiffIndustriesApplBL 00104D:Trace:[setResponseObjectChkPass終了]</t>
  </si>
  <si>
    <t>2017/09/25 16:33:18.106 D 21347 AUE31814 RegDiffIndustriesApplBL 00104D:Trace:[traceResponse開始]</t>
  </si>
  <si>
    <t>2017/09/25 16:33:18.106 D 21347 AUE31814 RegDiffIndustriesApplBL 00104D:Trace:個別結果コード0000</t>
  </si>
  <si>
    <t>2017/09/25 16:33:18.106 D 21347 AUE31814 RegDiffIndustriesApplBL 00104D:Trace:異業種申込管理番号24</t>
  </si>
  <si>
    <t>2017/09/25 16:33:18.106 D 21347 AUE31814 RegDiffIndustriesApplBL 00104D:Trace:紹介票管理番号IG0000024</t>
  </si>
  <si>
    <t>2017/09/25 16:33:18.106 D 21347 AUE31814 RegDiffIndustriesApplBL 00104D:Trace:[traceResponse終了]</t>
  </si>
  <si>
    <t>2017/09/25 16:33:18.106 D 21347 AUE31814 RegDiffIndustriesApplBL 00104D:Trace:[execute終了]</t>
  </si>
  <si>
    <t>2017/09/25 16:33:18.106 D 21347 AUE31814 RegDiffIndustriesApplServlet :△△業務ロジック△△[70ミリ秒]</t>
  </si>
  <si>
    <t>2017/09/25 16:33:18.106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24&lt;/different-appl-mng-no&gt;&lt;introduction-no&gt;IG0000024&lt;/introduction-no&gt;&lt;/reg-info&gt;&lt;/api-prm&gt;&lt;/api-response&gt;</t>
  </si>
  <si>
    <t>2017/09/25 16:33:18.106 I 21347 AUE31814 RegDiffIndustriesApplServlet 00002I:Service End</t>
  </si>
  <si>
    <t>BSS1=# select * from D_APPL_DIFF_INDUSTRY_INFO where carrier_cd='17110' and shouhin_cd='171113';</t>
  </si>
  <si>
    <t>different_appl_mng_no | 24</t>
  </si>
  <si>
    <t>introduction_no       | IG0000024</t>
  </si>
  <si>
    <t>shouhin_cd            | 171113</t>
  </si>
  <si>
    <t>rec_entry_dtime       | 25-SEP-17 16:33:18.086</t>
  </si>
  <si>
    <t>rec_update_dtime      | 25-SEP-17 16:33:18.086</t>
  </si>
  <si>
    <t>remarks_11            | (null)</t>
  </si>
  <si>
    <t>2017/09/25 16:34:59.740 I 21345          RegDiffIndustriesApplServlet 00001I:Service Start</t>
  </si>
  <si>
    <t>2017/09/25 16:34:59.740 D 21345          RegDiffIndustriesApplServlet :▽▽parse▽▽</t>
  </si>
  <si>
    <t>2017/09/25 16:34:59.740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171114&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</si>
  <si>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16:34:59.740 D 21345          RegDiffIndustriesApplServlet :△△parse△△[0ミリ秒]</t>
  </si>
  <si>
    <t>2017/09/25 16:34:59.740 D 21345 AUE31814 DBCacheUtil 00104D:Trace:groupId=BASE_SERVICE_TIME;keyword=CHECK_FLG;value=0</t>
  </si>
  <si>
    <t>2017/09/25 16:34:59.740 D 21345 AUE31814 RegDiffIndustriesApplServlet :▽▽validate▽▽</t>
  </si>
  <si>
    <t>2017/09/25 16:34:59.740 I 21345 AUE31814 RegDiffIndustriesApplServlet 01001I:Parameter Error</t>
  </si>
  <si>
    <t>2017/09/25 16:34:59.740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</si>
  <si>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16:34:59.740 I 21345 AUE31814 RegDiffIndustriesApplServlet 00002I:Service End</t>
  </si>
  <si>
    <t>2017/09/25 16:35:53.471 I 21347          RegDiffIndustriesApplServlet 00001I:Service Start</t>
  </si>
  <si>
    <t>2017/09/25 16:35:53.481 D 21347          RegDiffIndustriesApplServlet :▽▽parse▽▽</t>
  </si>
  <si>
    <t>2017/09/25 16:35:53.481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171115&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0123456789012345678901234567890123456789012345678901234567890123456789012345678901234567890123456789012345678901234567890123456789012345678901234567890123456789012345678901234567890&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</si>
  <si>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16:35:53.481 D 21347          RegDiffIndustriesApplServlet :△△parse△△[0ミリ秒]</t>
  </si>
  <si>
    <t>2017/09/25 16:35:53.481 D 21347 AUE31814 DBCacheUtil 00104D:Trace:groupId=BASE_SERVICE_TIME;keyword=CHECK_FLG;value=0</t>
  </si>
  <si>
    <t>2017/09/25 16:35:53.481 D 21347 AUE31814 RegDiffIndustriesApplServlet :▽▽validate▽▽</t>
  </si>
  <si>
    <t>2017/09/25 16:35:53.481 I 21347 AUE31814 RegDiffIndustriesApplServlet 01001I:Parameter Error</t>
  </si>
  <si>
    <t>2017/09/25 16:35:53.481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</si>
  <si>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16:35:53.481 I 21347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</si>
  <si>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25&lt;/different-appl-mng-no&gt;&lt;introduction-no&gt;IG0000025&lt;/introduction-no&gt;&lt;/reg-info&gt;&lt;/api-prm&gt;&lt;/api-response&gt;</t>
  </si>
  <si>
    <t>2017/09/25 16:36:43.492 I 21345          RegDiffIndustriesApplServlet 00001I:Service Start</t>
  </si>
  <si>
    <t>2017/09/25 16:36:43.492 D 21345          RegDiffIndustriesApplServlet :▽▽parse▽▽</t>
  </si>
  <si>
    <t>2017/09/25 16:36:43.492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171116&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</si>
  <si>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16:36:43.492 D 21345          RegDiffIndustriesApplServlet :△△parse△△[0ミリ秒]</t>
  </si>
  <si>
    <t>2017/09/25 16:36:43.492 D 21345 AUE31814 DBCacheUtil 00104D:Trace:groupId=BASE_SERVICE_TIME;keyword=CHECK_FLG;value=0</t>
  </si>
  <si>
    <t>2017/09/25 16:36:43.492 D 21345 AUE31814 RegDiffIndustriesApplServlet :▽▽validate▽▽</t>
  </si>
  <si>
    <t>2017/09/25 16:36:43.502 D 21345 AUE31814 RegDiffIndustriesApplServlet :△△validate△△[10ミリ秒]</t>
  </si>
  <si>
    <t>2017/09/25 16:36:43.502 D 21345 AUE31814 DBCacheUtil 00104D:Trace:groupId=API_VERSION;keyword=/fmc-on/bbc-appl-api/diffindustappl/reg_diff_industries_appl;value=10</t>
  </si>
  <si>
    <t>2017/09/25 16:36:43.502 D 21345 AUE31814 RegDiffIndustriesApplServlet :▽▽業務ロジック▽▽</t>
  </si>
  <si>
    <t>2017/09/25 16:36:43.502 D 21345 AUE31814 RegDiffIndustriesApplBL 00104D:Trace:[setSequenceDao開始]</t>
  </si>
  <si>
    <t>2017/09/25 16:36:43.502 D 21345 AUE31814 RegDiffIndustriesApplBL 00104D:Trace:[setSequenceDao終了]</t>
  </si>
  <si>
    <t>2017/09/25 16:36:43.502 D 21345 AUE31814 RegDiffIndustriesApplBL 00104D:Trace:[setdApplDiffIndustryInfoApplDao開始]</t>
  </si>
  <si>
    <t>2017/09/25 16:36:43.502 D 21345 AUE31814 RegDiffIndustriesApplBL 00104D:Trace:[setdApplDiffIndustryInfoApplDao終了]</t>
  </si>
  <si>
    <t>2017/09/25 16:36:43.502 D 21345 AUE31814 RegDiffIndustriesApplBL 00104D:Trace:[execute開始]</t>
  </si>
  <si>
    <t>2017/09/25 16:36:43.502 D 21345 AUE31814 RegDiffIndustriesApplBL 00104D:Trace:[traceRequest開始]</t>
  </si>
  <si>
    <t>2017/09/25 16:36:43.502 D 21345 AUE31814 RegDiffIndustriesApplBL 00104D:Trace:au代理店コード：E845001</t>
  </si>
  <si>
    <t>2017/09/25 16:36:43.502 D 21345 AUE31814 RegDiffIndustriesApplBL 00104D:Trace: 申込押下ボタン：8</t>
  </si>
  <si>
    <t>2017/09/25 16:36:43.502 D 21345 AUE31814 RegDiffIndustriesApplBL 00104D:Trace: 店名：Ｅ８４５００１</t>
  </si>
  <si>
    <t>2017/09/25 16:36:43.502 D 21345 AUE31814 RegDiffIndustriesApplBL 00104D:Trace: 担当者名：ＯＲＡＮＧＥ担当者</t>
  </si>
  <si>
    <t>2017/09/25 16:36:43.502 D 21345 AUE31814 RegDiffIndustriesApplBL 00104D:Trace: 担当者名(名)：null</t>
  </si>
  <si>
    <t>2017/09/25 16:36:43.502 D 21345 AUE31814 RegDiffIndustriesApplBL 00104D:Trace: 電話番号：null</t>
  </si>
  <si>
    <t>2017/09/25 16:36:43.502 D 21345 AUE31814 RegDiffIndustriesApplBL 00104D:Trace: 申込年月日：20170920</t>
  </si>
  <si>
    <t>2017/09/25 16:36:43.502 D 21345 AUE31814 RegDiffIndustriesApplBL 00104D:Trace: 申込時刻：123456</t>
  </si>
  <si>
    <t>2017/09/25 16:36:43.502 D 21345 AUE31814 RegDiffIndustriesApplBL 00104D:Trace: 事業者コード：17110</t>
  </si>
  <si>
    <t>2017/09/25 16:36:43.502 D 21345 AUE31814 RegDiffIndustriesApplBL 00104D:Trace: 商品コード：171116</t>
  </si>
  <si>
    <t>2017/09/25 16:36:43.502 D 21345 AUE31814 RegDiffIndustriesApplBL 00104D:Trace: 漢字：ＦＭＣ試験　太郎</t>
  </si>
  <si>
    <t>2017/09/25 16:36:43.502 D 21345 AUE31814 RegDiffIndustriesApplBL 00104D:Trace: カナ：ＦＭＣシケン　タロウ</t>
  </si>
  <si>
    <t>2017/09/25 16:36:43.502 D 21345 AUE31814 RegDiffIndustriesApplBL 00104D:Trace: 自宅・勤務先電話番号：0312345678</t>
  </si>
  <si>
    <t>2017/09/25 16:36:43.502 D 21345 AUE31814 RegDiffIndustriesApplBL 00104D:Trace: 携帯電話番号：null</t>
  </si>
  <si>
    <t>2017/09/25 16:36:43.502 D 21345 AUE31814 RegDiffIndustriesApplBL 00104D:Trace: 郵便番号：1080035</t>
  </si>
  <si>
    <t>2017/09/25 16:36:43.502 D 21345 AUE31814 RegDiffIndustriesApplBL 00104D:Trace: 住所：東京都港区白金１丁目</t>
  </si>
  <si>
    <t>2017/09/25 16:36:43.502 D 21345 AUE31814 RegDiffIndustriesApplBL 00104D:Trace: 住居区分：0</t>
  </si>
  <si>
    <t>2017/09/25 16:36:43.502 D 21345 AUE31814 RegDiffIndustriesApplBL 00104D:Trace: 所有区分：1</t>
  </si>
  <si>
    <t>2017/09/25 16:36:43.502 D 21345 AUE31814 RegDiffIndustriesApplBL 00104D:Trace: 連絡希望曜日：0</t>
  </si>
  <si>
    <t>2017/09/25 16:36:43.502 D 21345 AUE31814 RegDiffIndustriesApplBL 00104D:Trace: 連絡希望時間帯：1</t>
  </si>
  <si>
    <t>2017/09/25 16:36:43.502 D 21345 AUE31814 RegDiffIndustriesApplBL 00104D:Trace: お客様ID：null</t>
  </si>
  <si>
    <t>2017/09/25 16:36:43.502 D 21345 AUE31814 RegDiffIndustriesApplBL 00104D:Trace: 備考1：備考1</t>
  </si>
  <si>
    <t>2017/09/25 16:36:43.502 D 21345 AUE31814 RegDiffIndustriesApplBL 00104D:Trace: 備考2：備考2</t>
  </si>
  <si>
    <t>2017/09/25 16:36:43.502 D 21345 AUE31814 RegDiffIndustriesApplBL 00104D:Trace: 備考3：備考3</t>
  </si>
  <si>
    <t>2017/09/25 16:36:43.502 D 21345 AUE31814 RegDiffIndustriesApplBL 00104D:Trace: 備考4：備考4</t>
  </si>
  <si>
    <t>2017/09/25 16:36:43.502 D 21345 AUE31814 RegDiffIndustriesApplBL 00104D:Trace: 備考5：備考5</t>
  </si>
  <si>
    <t>2017/09/25 16:36:43.502 D 21345 AUE31814 RegDiffIndustriesApplBL 00104D:Trace: 備考6：備考6</t>
  </si>
  <si>
    <t>2017/09/25 16:36:43.502 D 21345 AUE31814 RegDiffIndustriesApplBL 00104D:Trace: 備考7：備考7</t>
  </si>
  <si>
    <t>2017/09/25 16:36:43.502 D 21345 AUE31814 RegDiffIndustriesApplBL 00104D:Trace: 備考8：備考8</t>
  </si>
  <si>
    <t>2017/09/25 16:36:43.502 D 21345 AUE31814 RegDiffIndustriesApplBL 00104D:Trace: 備考9：備考9</t>
  </si>
  <si>
    <t>2017/09/25 16:36:43.502 D 21345 AUE31814 RegDiffIndustriesApplBL 00104D:Trace: 備考10：備考10</t>
  </si>
  <si>
    <t>2017/09/25 16:36:43.502 D 21345 AUE31814 RegDiffIndustriesApplBL 00104D:Trace: 備考11：備考11</t>
  </si>
  <si>
    <t>2017/09/25 16:36:43.502 D 21345 AUE31814 RegDiffIndustriesApplBL 00104D:Trace: 備考12：null</t>
  </si>
  <si>
    <t>2017/09/25 16:36:43.502 D 21345 AUE31814 RegDiffIndustriesApplBL 00104D:Trace: 備考13：備考13</t>
  </si>
  <si>
    <t>2017/09/25 16:36:43.502 D 21345 AUE31814 RegDiffIndustriesApplBL 00104D:Trace: 備考14：備考14</t>
  </si>
  <si>
    <t>2017/09/25 16:36:43.502 D 21345 AUE31814 RegDiffIndustriesApplBL 00104D:Trace: 備考15：備考15</t>
  </si>
  <si>
    <t>2017/09/25 16:36:43.502 D 21345 AUE31814 RegDiffIndustriesApplBL 00104D:Trace: 備考16：備考16</t>
  </si>
  <si>
    <t>2017/09/25 16:36:43.502 D 21345 AUE31814 RegDiffIndustriesApplBL 00104D:Trace: 備考17：備考17</t>
  </si>
  <si>
    <t>2017/09/25 16:36:43.502 D 21345 AUE31814 RegDiffIndustriesApplBL 00104D:Trace: 備考18：備考18</t>
  </si>
  <si>
    <t>2017/09/25 16:36:43.502 D 21345 AUE31814 RegDiffIndustriesApplBL 00104D:Trace: 備考19：備考19</t>
  </si>
  <si>
    <t>2017/09/25 16:36:43.502 D 21345 AUE31814 RegDiffIndustriesApplBL 00104D:Trace: 備考20：備考20</t>
  </si>
  <si>
    <t>2017/09/25 16:36:43.502 D 21345 AUE31814 RegDiffIndustriesApplBL 00104D:Trace: 特記：特記欄００１</t>
  </si>
  <si>
    <t>2017/09/25 16:36:43.502 D 21345 AUE31814 RegDiffIndustriesApplBL 00104D:Trace: au加入者コード:A1701001</t>
  </si>
  <si>
    <t>2017/09/25 16:36:43.502 D 21345 AUE31814 RegDiffIndustriesApplBL 00104D:Trace: 基本契約番号:null</t>
  </si>
  <si>
    <t>2017/09/25 16:36:43.502 I 21345 AUE31814 RegDiffIndustriesApplBL 00105I:Trace:&lt;CI&gt; 顧客区分：1</t>
  </si>
  <si>
    <t>2017/09/25 16:36:43.502 D 21345 AUE31814 RegDiffIndustriesApplBL 00104D:Trace:[traceRequest終了]</t>
  </si>
  <si>
    <t>2017/09/25 16:36:43.502 D 21345 AUE31814 RegDiffIndustriesApplBL 00104D:Trace:[checkByte開始]</t>
  </si>
  <si>
    <t>2017/09/25 16:36:43.502 I 21345 AUE31814 RegDiffIndustriesApplBL 00105I:Trace:&lt;CI&gt;errByteMessage.size =「0」</t>
  </si>
  <si>
    <t>2017/09/25 16:36:43.502 D 21345 AUE31814 RegDiffIndustriesApplBL 00104D:Trace:[checkByte終了]</t>
  </si>
  <si>
    <t>2017/09/25 16:36:43.502 D 21345 AUE31814 RegDiffIndustriesApplBL 00104D:Trace:[getDiffIndustryApplMngNo開始]</t>
  </si>
  <si>
    <t>2017/09/25 16:36:43.512 I 21345 AUE31814 RegDiffIndustriesApplBL 00101I:SQL:&lt;CI&gt;SELECT SQ_DIFF_INDUSTRY_APPL_MNG_NO.NEXTVAL FROM DUAL</t>
  </si>
  <si>
    <t>2017/09/25 16:36:43.512 D 21345 AUE31814 RegDiffIndustriesApplBL 00104D:Trace:異業種商材申込管理番号：25</t>
  </si>
  <si>
    <t>2017/09/25 16:36:43.512 D 21345 AUE31814 RegDiffIndustriesApplBL 00104D:Trace:[getDiffIndustryApplMngNo終了]</t>
  </si>
  <si>
    <t>2017/09/25 16:36:43.512 D 21345 AUE31814 RegDiffIndustriesApplBL 00104D:Trace:[getDiffIndustryIntroductionNo開始]</t>
  </si>
  <si>
    <t>2017/09/25 16:36:43.522 D 21345 AUE31814 RegDiffIndustriesApplBL 00104D:Trace:++プロパティファイルより取得した紹介票管理番号取得リトライ回数：4</t>
  </si>
  <si>
    <t>2017/09/25 16:36:43.522 D 21345 AUE31814 RegDiffIndustriesApplBL 00104D:Trace:[getSqDiffIndustryIntroductionNo開始]</t>
  </si>
  <si>
    <t>2017/09/25 16:36:43.532 I 21345 AUE31814 RegDiffIndustriesApplBL 00101I:SQL:&lt;CI&gt;SELECT SQ_DIFF_INDUSTRY_INTRODUCTION_NO.NEXTVAL FROM DUAL</t>
  </si>
  <si>
    <t>2017/09/25 16:36:43.532 D 21345 AUE31814 RegDiffIndustriesApplBL 00104D:Trace:[getSqDiffIndustryIntroductionNo終了]</t>
  </si>
  <si>
    <t>2017/09/25 16:36:43.532 D 21345 AUE31814 RegDiffIndustriesApplBL 00104D:Trace:[chkDiffIndustryIntroductionNo開始]</t>
  </si>
  <si>
    <t>2017/09/25 16:36:43.542 I 21345 AUE31814 RegDiffIndustriesApplBL 00101I:SQL:&lt;CI&gt;SELECT     count(*) FROM     D_APPL_DIFF_INDUSTRY_INFO d WHERE     d.INTRODUCTION_NO = 'IG0000025'  AND     d.BATCH_FILE_IN_STS in ('0','1')</t>
  </si>
  <si>
    <t>2017/09/25 16:36:43.542 D 21345 AUE31814 RegDiffIndustriesApplBL 00104D:Trace:[chkDiffIndustryIntroductionNo終了]</t>
  </si>
  <si>
    <t>2017/09/25 16:36:43.542 D 21345 AUE31814 RegDiffIndustriesApplBL 00104D:Trace:++紹介票管理番号を取得して完了。</t>
  </si>
  <si>
    <t>2017/09/25 16:36:43.542 D 21345 AUE31814 RegDiffIndustriesApplBL 00104D:Trace:紹介票管理番号：IG0000025</t>
  </si>
  <si>
    <t>2017/09/25 16:36:43.542 D 21345 AUE31814 RegDiffIndustriesApplBL 00104D:Trace:[getDiffIndustryIntroductionNo終了]</t>
  </si>
  <si>
    <t>2017/09/25 16:36:43.542 D 21345 AUE31814 RegDiffIndustriesApplBL 00104D:Trace:[insertDiffIndustryInfo開始]</t>
  </si>
  <si>
    <t>2017/09/25 16:36:43.542 D 21345 AUE31814 RegDiffIndustriesApplBL 00104D:Trace:[insertDiffIndustryInfo終了]</t>
  </si>
  <si>
    <t>2017/09/25 16:36:43.562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remarks_13, remarks_14, remarks_15, remarks_16, remarks_17, remarks_18, remarks_19, remarks_20) VALUES (25, 'ＯＲＡＮＧＥ担当者', 'A1701001', '0', '123456', '特記欄００１', '1', 'ＦＭＣ試験　太郎', 'ＦＭＣシケン　タロウ', '1080035', '東京都港区白金１丁目', 602, '20170920', 'AUE31814', '8', 'E845001', 'Ｅ８４５００１', '0', '2017-09-25', 'AUE31814', '2017-09-25', 'AUE31814', 'IG0000025', '0', '1', '0312345678', '備考1', '備考2', '備考3', '備考4', '備考5', '備考6', '1', '17110', '171116', '備考7', '備考8', '備考9', '備考10', '備考11', '備考13', '備考14', '備考15', '備考16', '備考17', '備考18', '備考19', '備考20')</t>
  </si>
  <si>
    <t>2017/09/25 16:36:43.562 D 21345 AUE31814 RegDiffIndustriesApplBL 00104D:Trace:[setResponseObjectChkPass開始]</t>
  </si>
  <si>
    <t>2017/09/25 16:36:43.562 D 21345 AUE31814 RegDiffIndustriesApplBL 00104D:Trace:[setResponseObjectChkPass終了]</t>
  </si>
  <si>
    <t>2017/09/25 16:36:43.562 D 21345 AUE31814 RegDiffIndustriesApplBL 00104D:Trace:[traceResponse開始]</t>
  </si>
  <si>
    <t>2017/09/25 16:36:43.562 D 21345 AUE31814 RegDiffIndustriesApplBL 00104D:Trace:個別結果コード0000</t>
  </si>
  <si>
    <t>2017/09/25 16:36:43.562 D 21345 AUE31814 RegDiffIndustriesApplBL 00104D:Trace:異業種申込管理番号25</t>
  </si>
  <si>
    <t>2017/09/25 16:36:43.562 D 21345 AUE31814 RegDiffIndustriesApplBL 00104D:Trace:紹介票管理番号IG0000025</t>
  </si>
  <si>
    <t>2017/09/25 16:36:43.562 D 21345 AUE31814 RegDiffIndustriesApplBL 00104D:Trace:[traceResponse終了]</t>
  </si>
  <si>
    <t>2017/09/25 16:36:43.562 D 21345 AUE31814 RegDiffIndustriesApplBL 00104D:Trace:[execute終了]</t>
  </si>
  <si>
    <t>2017/09/25 16:36:43.562 D 21345 AUE31814 RegDiffIndustriesApplServlet :△△業務ロジック△△[60ミリ秒]</t>
  </si>
  <si>
    <t>2017/09/25 16:36:43.562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25&lt;/different-appl-mng-no&gt;&lt;introduction-no&gt;IG0000025&lt;/introduction-no&gt;&lt;/reg-info&gt;&lt;/api-prm&gt;&lt;/api-response&gt;</t>
  </si>
  <si>
    <t>2017/09/25 16:36:43.562 I 21345 AUE31814 RegDiffIndustriesApplServlet 00002I:Service End</t>
  </si>
  <si>
    <t>BSS1=# select * from D_APPL_DIFF_INDUSTRY_INFO where carrier_cd='17110' and shouhin_cd='171116';</t>
  </si>
  <si>
    <t>different_appl_mng_no | 25</t>
  </si>
  <si>
    <t>introduction_no       | IG0000025</t>
  </si>
  <si>
    <t>shouhin_cd            | 171116</t>
  </si>
  <si>
    <t>rec_entry_dtime       | 25-SEP-17 16:36:43.542</t>
  </si>
  <si>
    <t>rec_update_dtime      | 25-SEP-17 16:36:43.542</t>
  </si>
  <si>
    <t>remarks_12            | (null)</t>
  </si>
  <si>
    <t>2017/09/25 16:38:00.826 I 21347          RegDiffIndustriesApplServlet 00001I:Service Start</t>
  </si>
  <si>
    <t>2017/09/25 16:38:00.826 D 21347          RegDiffIndustriesApplServlet :▽▽parse▽▽</t>
  </si>
  <si>
    <t>2017/09/25 16:38:00.826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171117&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</si>
  <si>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16:38:00.826 D 21347          RegDiffIndustriesApplServlet :△△parse△△[0ミリ秒]</t>
  </si>
  <si>
    <t>2017/09/25 16:38:00.826 D 21347 AUE31814 DBCacheUtil 00104D:Trace:groupId=BASE_SERVICE_TIME;keyword=CHECK_FLG;value=0</t>
  </si>
  <si>
    <t>2017/09/25 16:38:00.826 D 21347 AUE31814 RegDiffIndustriesApplServlet :▽▽validate▽▽</t>
  </si>
  <si>
    <t>2017/09/25 16:38:00.826 I 21347 AUE31814 RegDiffIndustriesApplServlet 01001I:Parameter Error</t>
  </si>
  <si>
    <t>2017/09/25 16:38:00.826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</si>
  <si>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16:38:00.826 I 21347 AUE31814 RegDiffIndustriesApplServlet 00002I:Service End</t>
  </si>
  <si>
    <t>2017/09/25 16:38:56.597 I 21348          RegDiffIndustriesApplServlet 00001I:Service Start</t>
  </si>
  <si>
    <t>2017/09/25 16:38:56.597 D 21348          RegDiffIndustriesApplServlet :▽▽parse▽▽</t>
  </si>
  <si>
    <t>2017/09/25 16:38:56.597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171118&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0123456789012345678901234567890123456789012345678901234567890123456789012345678901234567890123456789012345678901234567890123456789012345678901234567890123456789012345678901234567890&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</si>
  <si>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16:38:56.597 D 21348          RegDiffIndustriesApplServlet :△△parse△△[0ミリ秒]</t>
  </si>
  <si>
    <t>2017/09/25 16:38:56.597 D 21348 AUE31814 DBCacheUtil 00104D:Trace:groupId=BASE_SERVICE_TIME;keyword=CHECK_FLG;value=0</t>
  </si>
  <si>
    <t>2017/09/25 16:38:56.607 D 21348 AUE31814 RegDiffIndustriesApplServlet :▽▽validate▽▽</t>
  </si>
  <si>
    <t>2017/09/25 16:38:56.607 I 21348 AUE31814 RegDiffIndustriesApplServlet 01001I:Parameter Error</t>
  </si>
  <si>
    <t>2017/09/25 16:38:56.607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</si>
  <si>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16:38:56.607 I 21348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</si>
  <si>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26&lt;/different-appl-mng-no&gt;&lt;introduction-no&gt;IG0000026&lt;/introduction-no&gt;&lt;/reg-info&gt;&lt;/api-prm&gt;&lt;/api-response&gt;</t>
  </si>
  <si>
    <t>2017/09/25 16:39:52.868 I 21347          RegDiffIndustriesApplServlet 00001I:Service Start</t>
  </si>
  <si>
    <t>2017/09/25 16:39:52.868 D 21347          RegDiffIndustriesApplServlet :▽▽parse▽▽</t>
  </si>
  <si>
    <t>2017/09/25 16:39:52.868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171119&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</si>
  <si>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16:39:52.878 D 21347          RegDiffIndustriesApplServlet :△△parse△△[10ミリ秒]</t>
  </si>
  <si>
    <t>2017/09/25 16:39:52.878 D 21347 AUE31814 DBCacheUtil 00104D:Trace:groupId=BASE_SERVICE_TIME;keyword=CHECK_FLG;value=0</t>
  </si>
  <si>
    <t>2017/09/25 16:39:52.878 D 21347 AUE31814 RegDiffIndustriesApplServlet :▽▽validate▽▽</t>
  </si>
  <si>
    <t>2017/09/25 16:39:52.878 D 21347 AUE31814 RegDiffIndustriesApplServlet :△△validate△△[0ミリ秒]</t>
  </si>
  <si>
    <t>2017/09/25 16:39:52.878 D 21347 AUE31814 DBCacheUtil 00104D:Trace:groupId=API_VERSION;keyword=/fmc-on/bbc-appl-api/diffindustappl/reg_diff_industries_appl;value=10</t>
  </si>
  <si>
    <t>2017/09/25 16:39:52.878 D 21347 AUE31814 RegDiffIndustriesApplServlet :▽▽業務ロジック▽▽</t>
  </si>
  <si>
    <t>2017/09/25 16:39:52.878 D 21347 AUE31814 RegDiffIndustriesApplBL 00104D:Trace:[setSequenceDao開始]</t>
  </si>
  <si>
    <t>2017/09/25 16:39:52.878 D 21347 AUE31814 RegDiffIndustriesApplBL 00104D:Trace:[setSequenceDao終了]</t>
  </si>
  <si>
    <t>2017/09/25 16:39:52.878 D 21347 AUE31814 RegDiffIndustriesApplBL 00104D:Trace:[setdApplDiffIndustryInfoApplDao開始]</t>
  </si>
  <si>
    <t>2017/09/25 16:39:52.878 D 21347 AUE31814 RegDiffIndustriesApplBL 00104D:Trace:[setdApplDiffIndustryInfoApplDao終了]</t>
  </si>
  <si>
    <t>2017/09/25 16:39:52.878 D 21347 AUE31814 RegDiffIndustriesApplBL 00104D:Trace:[execute開始]</t>
  </si>
  <si>
    <t>2017/09/25 16:39:52.878 D 21347 AUE31814 RegDiffIndustriesApplBL 00104D:Trace:[traceRequest開始]</t>
  </si>
  <si>
    <t>2017/09/25 16:39:52.878 D 21347 AUE31814 RegDiffIndustriesApplBL 00104D:Trace:au代理店コード：E845001</t>
  </si>
  <si>
    <t>2017/09/25 16:39:52.878 D 21347 AUE31814 RegDiffIndustriesApplBL 00104D:Trace: 申込押下ボタン：8</t>
  </si>
  <si>
    <t>2017/09/25 16:39:52.878 D 21347 AUE31814 RegDiffIndustriesApplBL 00104D:Trace: 店名：Ｅ８４５００１</t>
  </si>
  <si>
    <t>2017/09/25 16:39:52.878 D 21347 AUE31814 RegDiffIndustriesApplBL 00104D:Trace: 担当者名：ＯＲＡＮＧＥ担当者</t>
  </si>
  <si>
    <t>2017/09/25 16:39:52.878 D 21347 AUE31814 RegDiffIndustriesApplBL 00104D:Trace: 担当者名(名)：null</t>
  </si>
  <si>
    <t>2017/09/25 16:39:52.878 D 21347 AUE31814 RegDiffIndustriesApplBL 00104D:Trace: 電話番号：null</t>
  </si>
  <si>
    <t>2017/09/25 16:39:52.878 D 21347 AUE31814 RegDiffIndustriesApplBL 00104D:Trace: 申込年月日：20170920</t>
  </si>
  <si>
    <t>2017/09/25 16:39:52.878 D 21347 AUE31814 RegDiffIndustriesApplBL 00104D:Trace: 申込時刻：123456</t>
  </si>
  <si>
    <t>2017/09/25 16:39:52.878 D 21347 AUE31814 RegDiffIndustriesApplBL 00104D:Trace: 事業者コード：17110</t>
  </si>
  <si>
    <t>2017/09/25 16:39:52.878 D 21347 AUE31814 RegDiffIndustriesApplBL 00104D:Trace: 商品コード：171119</t>
  </si>
  <si>
    <t>2017/09/25 16:39:52.878 D 21347 AUE31814 RegDiffIndustriesApplBL 00104D:Trace: 漢字：ＦＭＣ試験　太郎</t>
  </si>
  <si>
    <t>2017/09/25 16:39:52.878 D 21347 AUE31814 RegDiffIndustriesApplBL 00104D:Trace: カナ：ＦＭＣシケン　タロウ</t>
  </si>
  <si>
    <t>2017/09/25 16:39:52.878 D 21347 AUE31814 RegDiffIndustriesApplBL 00104D:Trace: 自宅・勤務先電話番号：0312345678</t>
  </si>
  <si>
    <t>2017/09/25 16:39:52.878 D 21347 AUE31814 RegDiffIndustriesApplBL 00104D:Trace: 携帯電話番号：null</t>
  </si>
  <si>
    <t>2017/09/25 16:39:52.878 D 21347 AUE31814 RegDiffIndustriesApplBL 00104D:Trace: 郵便番号：1080035</t>
  </si>
  <si>
    <t>2017/09/25 16:39:52.878 D 21347 AUE31814 RegDiffIndustriesApplBL 00104D:Trace: 住所：東京都港区白金１丁目</t>
  </si>
  <si>
    <t>2017/09/25 16:39:52.878 D 21347 AUE31814 RegDiffIndustriesApplBL 00104D:Trace: 住居区分：0</t>
  </si>
  <si>
    <t>2017/09/25 16:39:52.878 D 21347 AUE31814 RegDiffIndustriesApplBL 00104D:Trace: 所有区分：1</t>
  </si>
  <si>
    <t>2017/09/25 16:39:52.878 D 21347 AUE31814 RegDiffIndustriesApplBL 00104D:Trace: 連絡希望曜日：0</t>
  </si>
  <si>
    <t>2017/09/25 16:39:52.878 D 21347 AUE31814 RegDiffIndustriesApplBL 00104D:Trace: 連絡希望時間帯：1</t>
  </si>
  <si>
    <t>2017/09/25 16:39:52.878 D 21347 AUE31814 RegDiffIndustriesApplBL 00104D:Trace: お客様ID：null</t>
  </si>
  <si>
    <t>2017/09/25 16:39:52.878 D 21347 AUE31814 RegDiffIndustriesApplBL 00104D:Trace: 備考1：備考1</t>
  </si>
  <si>
    <t>2017/09/25 16:39:52.878 D 21347 AUE31814 RegDiffIndustriesApplBL 00104D:Trace: 備考2：備考2</t>
  </si>
  <si>
    <t>2017/09/25 16:39:52.878 D 21347 AUE31814 RegDiffIndustriesApplBL 00104D:Trace: 備考3：備考3</t>
  </si>
  <si>
    <t>2017/09/25 16:39:52.878 D 21347 AUE31814 RegDiffIndustriesApplBL 00104D:Trace: 備考4：備考4</t>
  </si>
  <si>
    <t>2017/09/25 16:39:52.878 D 21347 AUE31814 RegDiffIndustriesApplBL 00104D:Trace: 備考5：備考5</t>
  </si>
  <si>
    <t>2017/09/25 16:39:52.878 D 21347 AUE31814 RegDiffIndustriesApplBL 00104D:Trace: 備考6：備考6</t>
  </si>
  <si>
    <t>2017/09/25 16:39:52.878 D 21347 AUE31814 RegDiffIndustriesApplBL 00104D:Trace: 備考7：備考7</t>
  </si>
  <si>
    <t>2017/09/25 16:39:52.878 D 21347 AUE31814 RegDiffIndustriesApplBL 00104D:Trace: 備考8：備考8</t>
  </si>
  <si>
    <t>2017/09/25 16:39:52.878 D 21347 AUE31814 RegDiffIndustriesApplBL 00104D:Trace: 備考9：備考9</t>
  </si>
  <si>
    <t>2017/09/25 16:39:52.878 D 21347 AUE31814 RegDiffIndustriesApplBL 00104D:Trace: 備考10：備考10</t>
  </si>
  <si>
    <t>2017/09/25 16:39:52.878 D 21347 AUE31814 RegDiffIndustriesApplBL 00104D:Trace: 備考11：備考11</t>
  </si>
  <si>
    <t>2017/09/25 16:39:52.878 D 21347 AUE31814 RegDiffIndustriesApplBL 00104D:Trace: 備考12：備考12</t>
  </si>
  <si>
    <t>2017/09/25 16:39:52.878 D 21347 AUE31814 RegDiffIndustriesApplBL 00104D:Trace: 備考13：null</t>
  </si>
  <si>
    <t>2017/09/25 16:39:52.878 D 21347 AUE31814 RegDiffIndustriesApplBL 00104D:Trace: 備考14：備考14</t>
  </si>
  <si>
    <t>2017/09/25 16:39:52.878 D 21347 AUE31814 RegDiffIndustriesApplBL 00104D:Trace: 備考15：備考15</t>
  </si>
  <si>
    <t>2017/09/25 16:39:52.878 D 21347 AUE31814 RegDiffIndustriesApplBL 00104D:Trace: 備考16：備考16</t>
  </si>
  <si>
    <t>2017/09/25 16:39:52.878 D 21347 AUE31814 RegDiffIndustriesApplBL 00104D:Trace: 備考17：備考17</t>
  </si>
  <si>
    <t>2017/09/25 16:39:52.878 D 21347 AUE31814 RegDiffIndustriesApplBL 00104D:Trace: 備考18：備考18</t>
  </si>
  <si>
    <t>2017/09/25 16:39:52.878 D 21347 AUE31814 RegDiffIndustriesApplBL 00104D:Trace: 備考19：備考19</t>
  </si>
  <si>
    <t>2017/09/25 16:39:52.878 D 21347 AUE31814 RegDiffIndustriesApplBL 00104D:Trace: 備考20：備考20</t>
  </si>
  <si>
    <t>2017/09/25 16:39:52.878 D 21347 AUE31814 RegDiffIndustriesApplBL 00104D:Trace: 特記：特記欄００１</t>
  </si>
  <si>
    <t>2017/09/25 16:39:52.878 D 21347 AUE31814 RegDiffIndustriesApplBL 00104D:Trace: au加入者コード:A1701001</t>
  </si>
  <si>
    <t>2017/09/25 16:39:52.878 D 21347 AUE31814 RegDiffIndustriesApplBL 00104D:Trace: 基本契約番号:null</t>
  </si>
  <si>
    <t>2017/09/25 16:39:52.878 I 21347 AUE31814 RegDiffIndustriesApplBL 00105I:Trace:&lt;CI&gt; 顧客区分：1</t>
  </si>
  <si>
    <t>2017/09/25 16:39:52.878 D 21347 AUE31814 RegDiffIndustriesApplBL 00104D:Trace:[traceRequest終了]</t>
  </si>
  <si>
    <t>2017/09/25 16:39:52.878 D 21347 AUE31814 RegDiffIndustriesApplBL 00104D:Trace:[checkByte開始]</t>
  </si>
  <si>
    <t>2017/09/25 16:39:52.878 I 21347 AUE31814 RegDiffIndustriesApplBL 00105I:Trace:&lt;CI&gt;errByteMessage.size =「0」</t>
  </si>
  <si>
    <t>2017/09/25 16:39:52.878 D 21347 AUE31814 RegDiffIndustriesApplBL 00104D:Trace:[checkByte終了]</t>
  </si>
  <si>
    <t>2017/09/25 16:39:52.878 D 21347 AUE31814 RegDiffIndustriesApplBL 00104D:Trace:[getDiffIndustryApplMngNo開始]</t>
  </si>
  <si>
    <t>2017/09/25 16:39:52.888 I 21347 AUE31814 RegDiffIndustriesApplBL 00101I:SQL:&lt;CI&gt;SELECT SQ_DIFF_INDUSTRY_APPL_MNG_NO.NEXTVAL FROM DUAL</t>
  </si>
  <si>
    <t>2017/09/25 16:39:52.888 D 21347 AUE31814 RegDiffIndustriesApplBL 00104D:Trace:異業種商材申込管理番号：26</t>
  </si>
  <si>
    <t>2017/09/25 16:39:52.888 D 21347 AUE31814 RegDiffIndustriesApplBL 00104D:Trace:[getDiffIndustryApplMngNo終了]</t>
  </si>
  <si>
    <t>2017/09/25 16:39:52.888 D 21347 AUE31814 RegDiffIndustriesApplBL 00104D:Trace:[getDiffIndustryIntroductionNo開始]</t>
  </si>
  <si>
    <t>2017/09/25 16:39:52.898 D 21347 AUE31814 RegDiffIndustriesApplBL 00104D:Trace:++プロパティファイルより取得した紹介票管理番号取得リトライ回数：4</t>
  </si>
  <si>
    <t>2017/09/25 16:39:52.898 D 21347 AUE31814 RegDiffIndustriesApplBL 00104D:Trace:[getSqDiffIndustryIntroductionNo開始]</t>
  </si>
  <si>
    <t>2017/09/25 16:39:52.908 I 21347 AUE31814 RegDiffIndustriesApplBL 00101I:SQL:&lt;CI&gt;SELECT SQ_DIFF_INDUSTRY_INTRODUCTION_NO.NEXTVAL FROM DUAL</t>
  </si>
  <si>
    <t>2017/09/25 16:39:52.908 D 21347 AUE31814 RegDiffIndustriesApplBL 00104D:Trace:[getSqDiffIndustryIntroductionNo終了]</t>
  </si>
  <si>
    <t>2017/09/25 16:39:52.908 D 21347 AUE31814 RegDiffIndustriesApplBL 00104D:Trace:[chkDiffIndustryIntroductionNo開始]</t>
  </si>
  <si>
    <t>2017/09/25 16:39:52.918 I 21347 AUE31814 RegDiffIndustriesApplBL 00101I:SQL:&lt;CI&gt;SELECT     count(*) FROM     D_APPL_DIFF_INDUSTRY_INFO d WHERE     d.INTRODUCTION_NO = 'IG0000026'  AND     d.BATCH_FILE_IN_STS in ('0','1')</t>
  </si>
  <si>
    <t>2017/09/25 16:39:52.918 D 21347 AUE31814 RegDiffIndustriesApplBL 00104D:Trace:[chkDiffIndustryIntroductionNo終了]</t>
  </si>
  <si>
    <t>2017/09/25 16:39:52.918 D 21347 AUE31814 RegDiffIndustriesApplBL 00104D:Trace:++紹介票管理番号を取得して完了。</t>
  </si>
  <si>
    <t>2017/09/25 16:39:52.918 D 21347 AUE31814 RegDiffIndustriesApplBL 00104D:Trace:紹介票管理番号：IG0000026</t>
  </si>
  <si>
    <t>2017/09/25 16:39:52.918 D 21347 AUE31814 RegDiffIndustriesApplBL 00104D:Trace:[getDiffIndustryIntroductionNo終了]</t>
  </si>
  <si>
    <t>2017/09/25 16:39:52.918 D 21347 AUE31814 RegDiffIndustriesApplBL 00104D:Trace:[insertDiffIndustryInfo開始]</t>
  </si>
  <si>
    <t>2017/09/25 16:39:52.918 D 21347 AUE31814 RegDiffIndustriesApplBL 00104D:Trace:[insertDiffIndustryInfo終了]</t>
  </si>
  <si>
    <t>2017/09/25 16:39:52.938 I 21347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remarks_14, remarks_15, remarks_16, remarks_17, remarks_18, remarks_19, remarks_20) VALUES (26, 'ＯＲＡＮＧＥ担当者', 'A1701001', '0', '123456', '特記欄００１', '1', 'ＦＭＣ試験　太郎', 'ＦＭＣシケン　タロウ', '1080035', '東京都港区白金１丁目', 602, '20170920', 'AUE31814', '8', 'E845001', 'Ｅ８４５００１', '0', '2017-09-25', 'AUE31814', '2017-09-25', 'AUE31814', 'IG0000026', '0', '1', '0312345678', '備考1', '備考2', '備考3', '備考4', '備考5', '備考6', '1', '17110', '171119', '備考7', '備考8', '備考9', '備考10', '備考11', '備考12', '備考14', '備考15', '備考16', '備考17', '備考18', '備考19', '備考20')</t>
  </si>
  <si>
    <t>2017/09/25 16:39:52.938 D 21347 AUE31814 RegDiffIndustriesApplBL 00104D:Trace:[setResponseObjectChkPass開始]</t>
  </si>
  <si>
    <t>2017/09/25 16:39:52.938 D 21347 AUE31814 RegDiffIndustriesApplBL 00104D:Trace:[setResponseObjectChkPass終了]</t>
  </si>
  <si>
    <t>2017/09/25 16:39:52.938 D 21347 AUE31814 RegDiffIndustriesApplBL 00104D:Trace:[traceResponse開始]</t>
  </si>
  <si>
    <t>2017/09/25 16:39:52.938 D 21347 AUE31814 RegDiffIndustriesApplBL 00104D:Trace:個別結果コード0000</t>
  </si>
  <si>
    <t>2017/09/25 16:39:52.938 D 21347 AUE31814 RegDiffIndustriesApplBL 00104D:Trace:異業種申込管理番号26</t>
  </si>
  <si>
    <t>2017/09/25 16:39:52.938 D 21347 AUE31814 RegDiffIndustriesApplBL 00104D:Trace:紹介票管理番号IG0000026</t>
  </si>
  <si>
    <t>2017/09/25 16:39:52.938 D 21347 AUE31814 RegDiffIndustriesApplBL 00104D:Trace:[traceResponse終了]</t>
  </si>
  <si>
    <t>2017/09/25 16:39:52.938 D 21347 AUE31814 RegDiffIndustriesApplBL 00104D:Trace:[execute終了]</t>
  </si>
  <si>
    <t>2017/09/25 16:39:52.938 D 21347 AUE31814 RegDiffIndustriesApplServlet :△△業務ロジック△△[60ミリ秒]</t>
  </si>
  <si>
    <t>2017/09/25 16:39:52.938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26&lt;/different-appl-mng-no&gt;&lt;introduction-no&gt;IG0000026&lt;/introduction-no&gt;&lt;/reg-info&gt;&lt;/api-prm&gt;&lt;/api-response&gt;</t>
  </si>
  <si>
    <t>2017/09/25 16:39:52.938 I 21347 AUE31814 RegDiffIndustriesApplServlet 00002I:Service End</t>
  </si>
  <si>
    <t>BSS1=# select * from D_APPL_DIFF_INDUSTRY_INFO where carrier_cd='17110' and shouhin_cd='171119';</t>
  </si>
  <si>
    <t>different_appl_mng_no | 26</t>
  </si>
  <si>
    <t>introduction_no       | IG0000026</t>
  </si>
  <si>
    <t>shouhin_cd            | 171119</t>
  </si>
  <si>
    <t>rec_entry_dtime       | 25-SEP-17 16:39:52.918</t>
  </si>
  <si>
    <t>rec_update_dtime      | 25-SEP-17 16:39:52.918</t>
  </si>
  <si>
    <t>remarks_13            | (null)</t>
  </si>
  <si>
    <t>2017/09/25 16:41:21.910 I 21345          RegDiffIndustriesApplServlet 00001I:Service Start</t>
  </si>
  <si>
    <t>2017/09/25 16:41:21.910 D 21345          RegDiffIndustriesApplServlet :▽▽parse▽▽</t>
  </si>
  <si>
    <t>2017/09/25 16:41:21.910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171120&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</si>
  <si>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16:41:21.920 D 21345          RegDiffIndustriesApplServlet :△△parse△△[10ミリ秒]</t>
  </si>
  <si>
    <t>2017/09/25 16:41:21.920 D 21345 AUE31814 DBCacheUtil 00104D:Trace:groupId=BASE_SERVICE_TIME;keyword=CHECK_FLG;value=0</t>
  </si>
  <si>
    <t>2017/09/25 16:41:21.920 D 21345 AUE31814 RegDiffIndustriesApplServlet :▽▽validate▽▽</t>
  </si>
  <si>
    <t>2017/09/25 16:41:21.920 I 21345 AUE31814 RegDiffIndustriesApplServlet 01001I:Parameter Error</t>
  </si>
  <si>
    <t>2017/09/25 16:41:21.920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</si>
  <si>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16:41:21.920 I 21345 AUE31814 RegDiffIndustriesApplServlet 00002I:Service End</t>
  </si>
  <si>
    <t>2017/09/25 16:42:15.561 I 21347          RegDiffIndustriesApplServlet 00001I:Service Start</t>
  </si>
  <si>
    <t>2017/09/25 16:42:15.561 D 21347          RegDiffIndustriesApplServlet :▽▽parse▽▽</t>
  </si>
  <si>
    <t>2017/09/25 16:42:15.561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171121&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0123456789012345678901234567890123456789012345678901234567890123456789012345678901234567890123456789012345678901234567890123456789012345678901234567890123456789012345678901234567890&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</si>
  <si>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16:42:15.561 D 21347          RegDiffIndustriesApplServlet :△△parse△△[0ミリ秒]</t>
  </si>
  <si>
    <t>2017/09/25 16:42:15.561 D 21347 AUE31814 DBCacheUtil 00104D:Trace:groupId=BASE_SERVICE_TIME;keyword=CHECK_FLG;value=0</t>
  </si>
  <si>
    <t>2017/09/25 16:42:15.561 D 21347 AUE31814 RegDiffIndustriesApplServlet :▽▽validate▽▽</t>
  </si>
  <si>
    <t>2017/09/25 16:42:15.561 I 21347 AUE31814 RegDiffIndustriesApplServlet 01001I:Parameter Error</t>
  </si>
  <si>
    <t>2017/09/25 16:42:15.561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</si>
  <si>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16:42:15.561 I 21347 AUE31814 RegDiffIndustriesApplServlet 00002I:Service End</t>
  </si>
  <si>
    <t>2017/09/25 16:44:00.413 I 21345          RegDiffIndustriesApplServlet 00001I:Service Start</t>
  </si>
  <si>
    <t>2017/09/25 16:44:00.413 D 21345          RegDiffIndustriesApplServlet :▽▽parse▽▽</t>
  </si>
  <si>
    <t>2017/09/25 16:44:00.413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171123&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</si>
  <si>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16:44:00.413 D 21345          RegDiffIndustriesApplServlet :△△parse△△[0ミリ秒]</t>
  </si>
  <si>
    <t>2017/09/25 16:44:00.413 D 21345 AUE31814 DBCacheUtil 00104D:Trace:groupId=BASE_SERVICE_TIME;keyword=CHECK_FLG;value=0</t>
  </si>
  <si>
    <t>2017/09/25 16:44:00.413 D 21345 AUE31814 RegDiffIndustriesApplServlet :▽▽validate▽▽</t>
  </si>
  <si>
    <t>2017/09/25 16:44:00.413 I 21345 AUE31814 RegDiffIndustriesApplServlet 01001I:Parameter Error</t>
  </si>
  <si>
    <t>2017/09/25 16:44:00.423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</si>
  <si>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16:44:00.423 I 21345 AUE31814 RegDiffIndustriesApplServlet 00002I:Service End</t>
  </si>
  <si>
    <t>2017/09/25 16:45:00.204 I 21348          RegDiffIndustriesApplServlet 00001I:Service Start</t>
  </si>
  <si>
    <t>2017/09/25 16:45:00.204 D 21348          RegDiffIndustriesApplServlet :▽▽parse▽▽</t>
  </si>
  <si>
    <t>2017/09/25 16:45:00.204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171124&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0123456789012345678901234567890123456789012345678901234567890123456789012345678901234567890123456789012345678901234567890123456789012345678901234567890123456789012345678901234567890&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</si>
  <si>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16:45:00.204 D 21348          RegDiffIndustriesApplServlet :△△parse△△[0ミリ秒]</t>
  </si>
  <si>
    <t>2017/09/25 16:45:00.204 D 21348 AUE31814 DBCacheUtil 00104D:Trace:groupId=BASE_SERVICE_TIME;keyword=CHECK_FLG;value=0</t>
  </si>
  <si>
    <t>2017/09/25 16:45:00.204 D 21348 AUE31814 RegDiffIndustriesApplServlet :▽▽validate▽▽</t>
  </si>
  <si>
    <t>2017/09/25 16:45:00.214 I 21348 AUE31814 RegDiffIndustriesApplServlet 01001I:Parameter Error</t>
  </si>
  <si>
    <t>2017/09/25 16:45:00.214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</si>
  <si>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16:45:00.214 I 21348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</si>
  <si>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27&lt;/different-appl-mng-no&gt;&lt;introduction-no&gt;IG0000027&lt;/introduction-no&gt;&lt;/reg-info&gt;&lt;/api-prm&gt;&lt;/api-response&gt;</t>
  </si>
  <si>
    <t>2017/09/25 16:46:22.376 I 21345          RegDiffIndustriesApplServlet 00001I:Service Start</t>
  </si>
  <si>
    <t>2017/09/25 16:46:22.376 D 21345          RegDiffIndustriesApplServlet :▽▽parse▽▽</t>
  </si>
  <si>
    <t>2017/09/25 16:46:22.376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171122&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</si>
  <si>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16:46:22.376 D 21345          RegDiffIndustriesApplServlet :△△parse△△[0ミリ秒]</t>
  </si>
  <si>
    <t>2017/09/25 16:46:22.376 D 21345 AUE31814 DBCacheUtil 00104D:Trace:groupId=BASE_SERVICE_TIME;keyword=CHECK_FLG;value=0</t>
  </si>
  <si>
    <t>2017/09/25 16:46:22.376 D 21345 AUE31814 RegDiffIndustriesApplServlet :▽▽validate▽▽</t>
  </si>
  <si>
    <t>2017/09/25 16:46:22.376 D 21345 AUE31814 RegDiffIndustriesApplServlet :△△validate△△[0ミリ秒]</t>
  </si>
  <si>
    <t>2017/09/25 16:46:22.376 D 21345 AUE31814 DBCacheUtil 00104D:Trace:groupId=API_VERSION;keyword=/fmc-on/bbc-appl-api/diffindustappl/reg_diff_industries_appl;value=10</t>
  </si>
  <si>
    <t>2017/09/25 16:46:22.376 D 21345 AUE31814 RegDiffIndustriesApplServlet :▽▽業務ロジック▽▽</t>
  </si>
  <si>
    <t>2017/09/25 16:46:22.376 D 21345 AUE31814 RegDiffIndustriesApplBL 00104D:Trace:[setSequenceDao開始]</t>
  </si>
  <si>
    <t>2017/09/25 16:46:22.376 D 21345 AUE31814 RegDiffIndustriesApplBL 00104D:Trace:[setSequenceDao終了]</t>
  </si>
  <si>
    <t>2017/09/25 16:46:22.376 D 21345 AUE31814 RegDiffIndustriesApplBL 00104D:Trace:[setdApplDiffIndustryInfoApplDao開始]</t>
  </si>
  <si>
    <t>2017/09/25 16:46:22.376 D 21345 AUE31814 RegDiffIndustriesApplBL 00104D:Trace:[setdApplDiffIndustryInfoApplDao終了]</t>
  </si>
  <si>
    <t>2017/09/25 16:46:22.376 D 21345 AUE31814 RegDiffIndustriesApplBL 00104D:Trace:[execute開始]</t>
  </si>
  <si>
    <t>2017/09/25 16:46:22.376 D 21345 AUE31814 RegDiffIndustriesApplBL 00104D:Trace:[traceRequest開始]</t>
  </si>
  <si>
    <t>2017/09/25 16:46:22.376 D 21345 AUE31814 RegDiffIndustriesApplBL 00104D:Trace:au代理店コード：E845001</t>
  </si>
  <si>
    <t>2017/09/25 16:46:22.376 D 21345 AUE31814 RegDiffIndustriesApplBL 00104D:Trace: 申込押下ボタン：8</t>
  </si>
  <si>
    <t>2017/09/25 16:46:22.376 D 21345 AUE31814 RegDiffIndustriesApplBL 00104D:Trace: 店名：Ｅ８４５００１</t>
  </si>
  <si>
    <t>2017/09/25 16:46:22.376 D 21345 AUE31814 RegDiffIndustriesApplBL 00104D:Trace: 担当者名：ＯＲＡＮＧＥ担当者</t>
  </si>
  <si>
    <t>2017/09/25 16:46:22.376 D 21345 AUE31814 RegDiffIndustriesApplBL 00104D:Trace: 担当者名(名)：null</t>
  </si>
  <si>
    <t>2017/09/25 16:46:22.376 D 21345 AUE31814 RegDiffIndustriesApplBL 00104D:Trace: 電話番号：null</t>
  </si>
  <si>
    <t>2017/09/25 16:46:22.376 D 21345 AUE31814 RegDiffIndustriesApplBL 00104D:Trace: 申込年月日：20170920</t>
  </si>
  <si>
    <t>2017/09/25 16:46:22.376 D 21345 AUE31814 RegDiffIndustriesApplBL 00104D:Trace: 申込時刻：123456</t>
  </si>
  <si>
    <t>2017/09/25 16:46:22.376 D 21345 AUE31814 RegDiffIndustriesApplBL 00104D:Trace: 事業者コード：17110</t>
  </si>
  <si>
    <t>2017/09/25 16:46:22.376 D 21345 AUE31814 RegDiffIndustriesApplBL 00104D:Trace: 商品コード：171122</t>
  </si>
  <si>
    <t>2017/09/25 16:46:22.376 D 21345 AUE31814 RegDiffIndustriesApplBL 00104D:Trace: 漢字：ＦＭＣ試験　太郎</t>
  </si>
  <si>
    <t>2017/09/25 16:46:22.376 D 21345 AUE31814 RegDiffIndustriesApplBL 00104D:Trace: カナ：ＦＭＣシケン　タロウ</t>
  </si>
  <si>
    <t>2017/09/25 16:46:22.376 D 21345 AUE31814 RegDiffIndustriesApplBL 00104D:Trace: 自宅・勤務先電話番号：0312345678</t>
  </si>
  <si>
    <t>2017/09/25 16:46:22.376 D 21345 AUE31814 RegDiffIndustriesApplBL 00104D:Trace: 携帯電話番号：null</t>
  </si>
  <si>
    <t>2017/09/25 16:46:22.376 D 21345 AUE31814 RegDiffIndustriesApplBL 00104D:Trace: 郵便番号：1080035</t>
  </si>
  <si>
    <t>2017/09/25 16:46:22.376 D 21345 AUE31814 RegDiffIndustriesApplBL 00104D:Trace: 住所：東京都港区白金１丁目</t>
  </si>
  <si>
    <t>2017/09/25 16:46:22.376 D 21345 AUE31814 RegDiffIndustriesApplBL 00104D:Trace: 住居区分：0</t>
  </si>
  <si>
    <t>2017/09/25 16:46:22.376 D 21345 AUE31814 RegDiffIndustriesApplBL 00104D:Trace: 所有区分：1</t>
  </si>
  <si>
    <t>2017/09/25 16:46:22.376 D 21345 AUE31814 RegDiffIndustriesApplBL 00104D:Trace: 連絡希望曜日：0</t>
  </si>
  <si>
    <t>2017/09/25 16:46:22.376 D 21345 AUE31814 RegDiffIndustriesApplBL 00104D:Trace: 連絡希望時間帯：1</t>
  </si>
  <si>
    <t>2017/09/25 16:46:22.376 D 21345 AUE31814 RegDiffIndustriesApplBL 00104D:Trace: お客様ID：null</t>
  </si>
  <si>
    <t>2017/09/25 16:46:22.376 D 21345 AUE31814 RegDiffIndustriesApplBL 00104D:Trace: 備考1：備考1</t>
  </si>
  <si>
    <t>2017/09/25 16:46:22.376 D 21345 AUE31814 RegDiffIndustriesApplBL 00104D:Trace: 備考2：備考2</t>
  </si>
  <si>
    <t>2017/09/25 16:46:22.376 D 21345 AUE31814 RegDiffIndustriesApplBL 00104D:Trace: 備考3：備考3</t>
  </si>
  <si>
    <t>2017/09/25 16:46:22.376 D 21345 AUE31814 RegDiffIndustriesApplBL 00104D:Trace: 備考4：備考4</t>
  </si>
  <si>
    <t>2017/09/25 16:46:22.376 D 21345 AUE31814 RegDiffIndustriesApplBL 00104D:Trace: 備考5：備考5</t>
  </si>
  <si>
    <t>2017/09/25 16:46:22.376 D 21345 AUE31814 RegDiffIndustriesApplBL 00104D:Trace: 備考6：備考6</t>
  </si>
  <si>
    <t>2017/09/25 16:46:22.376 D 21345 AUE31814 RegDiffIndustriesApplBL 00104D:Trace: 備考7：備考7</t>
  </si>
  <si>
    <t>2017/09/25 16:46:22.376 D 21345 AUE31814 RegDiffIndustriesApplBL 00104D:Trace: 備考8：備考8</t>
  </si>
  <si>
    <t>2017/09/25 16:46:22.376 D 21345 AUE31814 RegDiffIndustriesApplBL 00104D:Trace: 備考9：備考9</t>
  </si>
  <si>
    <t>2017/09/25 16:46:22.376 D 21345 AUE31814 RegDiffIndustriesApplBL 00104D:Trace: 備考10：備考10</t>
  </si>
  <si>
    <t>2017/09/25 16:46:22.376 D 21345 AUE31814 RegDiffIndustriesApplBL 00104D:Trace: 備考11：備考11</t>
  </si>
  <si>
    <t>2017/09/25 16:46:22.376 D 21345 AUE31814 RegDiffIndustriesApplBL 00104D:Trace: 備考12：備考12</t>
  </si>
  <si>
    <t>2017/09/25 16:46:22.376 D 21345 AUE31814 RegDiffIndustriesApplBL 00104D:Trace: 備考13：備考13</t>
  </si>
  <si>
    <t>2017/09/25 16:46:22.376 D 21345 AUE31814 RegDiffIndustriesApplBL 00104D:Trace: 備考14：null</t>
  </si>
  <si>
    <t>2017/09/25 16:46:22.376 D 21345 AUE31814 RegDiffIndustriesApplBL 00104D:Trace: 備考15：備考15</t>
  </si>
  <si>
    <t>2017/09/25 16:46:22.376 D 21345 AUE31814 RegDiffIndustriesApplBL 00104D:Trace: 備考16：備考16</t>
  </si>
  <si>
    <t>2017/09/25 16:46:22.376 D 21345 AUE31814 RegDiffIndustriesApplBL 00104D:Trace: 備考17：備考17</t>
  </si>
  <si>
    <t>2017/09/25 16:46:22.376 D 21345 AUE31814 RegDiffIndustriesApplBL 00104D:Trace: 備考18：備考18</t>
  </si>
  <si>
    <t>2017/09/25 16:46:22.376 D 21345 AUE31814 RegDiffIndustriesApplBL 00104D:Trace: 備考19：備考19</t>
  </si>
  <si>
    <t>2017/09/25 16:46:22.376 D 21345 AUE31814 RegDiffIndustriesApplBL 00104D:Trace: 備考20：備考20</t>
  </si>
  <si>
    <t>2017/09/25 16:46:22.376 D 21345 AUE31814 RegDiffIndustriesApplBL 00104D:Trace: 特記：特記欄００１</t>
  </si>
  <si>
    <t>2017/09/25 16:46:22.376 D 21345 AUE31814 RegDiffIndustriesApplBL 00104D:Trace: au加入者コード:A1701001</t>
  </si>
  <si>
    <t>2017/09/25 16:46:22.376 D 21345 AUE31814 RegDiffIndustriesApplBL 00104D:Trace: 基本契約番号:null</t>
  </si>
  <si>
    <t>2017/09/25 16:46:22.376 I 21345 AUE31814 RegDiffIndustriesApplBL 00105I:Trace:&lt;CI&gt; 顧客区分：1</t>
  </si>
  <si>
    <t>2017/09/25 16:46:22.386 D 21345 AUE31814 RegDiffIndustriesApplBL 00104D:Trace:[traceRequest終了]</t>
  </si>
  <si>
    <t>2017/09/25 16:46:22.386 D 21345 AUE31814 RegDiffIndustriesApplBL 00104D:Trace:[checkByte開始]</t>
  </si>
  <si>
    <t>2017/09/25 16:46:22.386 I 21345 AUE31814 RegDiffIndustriesApplBL 00105I:Trace:&lt;CI&gt;errByteMessage.size =「0」</t>
  </si>
  <si>
    <t>2017/09/25 16:46:22.386 D 21345 AUE31814 RegDiffIndustriesApplBL 00104D:Trace:[checkByte終了]</t>
  </si>
  <si>
    <t>2017/09/25 16:46:22.386 D 21345 AUE31814 RegDiffIndustriesApplBL 00104D:Trace:[getDiffIndustryApplMngNo開始]</t>
  </si>
  <si>
    <t>2017/09/25 16:46:22.396 I 21345 AUE31814 RegDiffIndustriesApplBL 00101I:SQL:&lt;CI&gt;SELECT SQ_DIFF_INDUSTRY_APPL_MNG_NO.NEXTVAL FROM DUAL</t>
  </si>
  <si>
    <t>2017/09/25 16:46:22.396 D 21345 AUE31814 RegDiffIndustriesApplBL 00104D:Trace:異業種商材申込管理番号：27</t>
  </si>
  <si>
    <t>2017/09/25 16:46:22.396 D 21345 AUE31814 RegDiffIndustriesApplBL 00104D:Trace:[getDiffIndustryApplMngNo終了]</t>
  </si>
  <si>
    <t>2017/09/25 16:46:22.396 D 21345 AUE31814 RegDiffIndustriesApplBL 00104D:Trace:[getDiffIndustryIntroductionNo開始]</t>
  </si>
  <si>
    <t>2017/09/25 16:46:22.396 D 21345 AUE31814 RegDiffIndustriesApplBL 00104D:Trace:++プロパティファイルより取得した紹介票管理番号取得リトライ回数：4</t>
  </si>
  <si>
    <t>2017/09/25 16:46:22.396 D 21345 AUE31814 RegDiffIndustriesApplBL 00104D:Trace:[getSqDiffIndustryIntroductionNo開始]</t>
  </si>
  <si>
    <t>2017/09/25 16:46:22.406 I 21345 AUE31814 RegDiffIndustriesApplBL 00101I:SQL:&lt;CI&gt;SELECT SQ_DIFF_INDUSTRY_INTRODUCTION_NO.NEXTVAL FROM DUAL</t>
  </si>
  <si>
    <t>2017/09/25 16:46:22.406 D 21345 AUE31814 RegDiffIndustriesApplBL 00104D:Trace:[getSqDiffIndustryIntroductionNo終了]</t>
  </si>
  <si>
    <t>2017/09/25 16:46:22.406 D 21345 AUE31814 RegDiffIndustriesApplBL 00104D:Trace:[chkDiffIndustryIntroductionNo開始]</t>
  </si>
  <si>
    <t>2017/09/25 16:46:22.426 I 21345 AUE31814 RegDiffIndustriesApplBL 00101I:SQL:&lt;CI&gt;SELECT     count(*) FROM     D_APPL_DIFF_INDUSTRY_INFO d WHERE     d.INTRODUCTION_NO = 'IG0000027'  AND     d.BATCH_FILE_IN_STS in ('0','1')</t>
  </si>
  <si>
    <t>2017/09/25 16:46:22.426 D 21345 AUE31814 RegDiffIndustriesApplBL 00104D:Trace:[chkDiffIndustryIntroductionNo終了]</t>
  </si>
  <si>
    <t>2017/09/25 16:46:22.426 D 21345 AUE31814 RegDiffIndustriesApplBL 00104D:Trace:++紹介票管理番号を取得して完了。</t>
  </si>
  <si>
    <t>2017/09/25 16:46:22.426 D 21345 AUE31814 RegDiffIndustriesApplBL 00104D:Trace:紹介票管理番号：IG0000027</t>
  </si>
  <si>
    <t>2017/09/25 16:46:22.426 D 21345 AUE31814 RegDiffIndustriesApplBL 00104D:Trace:[getDiffIndustryIntroductionNo終了]</t>
  </si>
  <si>
    <t>2017/09/25 16:46:22.426 D 21345 AUE31814 RegDiffIndustriesApplBL 00104D:Trace:[insertDiffIndustryInfo開始]</t>
  </si>
  <si>
    <t>2017/09/25 16:46:22.426 D 21345 AUE31814 RegDiffIndustriesApplBL 00104D:Trace:[insertDiffIndustryInfo終了]</t>
  </si>
  <si>
    <t>2017/09/25 16:46:22.436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remarks_15, remarks_16, remarks_17, remarks_18, remarks_19, remarks_20) VALUES (27, 'ＯＲＡＮＧＥ担当者', 'A1701001', '0', '123456', '特記欄００１', '1', 'ＦＭＣ試験　太郎', 'ＦＭＣシケン　タロウ', '1080035', '東京都港区白金１丁目', 602, '20170920', 'AUE31814', '8', 'E845001', 'Ｅ８４５００１', '0', '2017-09-25', 'AUE31814', '2017-09-25', 'AUE31814', 'IG0000027', '0', '1', '0312345678', '備考1', '備考2', '備考3', '備考4', '備考5', '備考6', '1', '17110', '171122', '備考7', '備考8', '備考9', '備考10', '備考11', '備考12', '備考13', '備考15', '備考16', '備考17', '備考18', '備考19', '備考20')</t>
  </si>
  <si>
    <t>2017/09/25 16:46:22.436 D 21345 AUE31814 RegDiffIndustriesApplBL 00104D:Trace:[setResponseObjectChkPass開始]</t>
  </si>
  <si>
    <t>2017/09/25 16:46:22.436 D 21345 AUE31814 RegDiffIndustriesApplBL 00104D:Trace:[setResponseObjectChkPass終了]</t>
  </si>
  <si>
    <t>2017/09/25 16:46:22.436 D 21345 AUE31814 RegDiffIndustriesApplBL 00104D:Trace:[traceResponse開始]</t>
  </si>
  <si>
    <t>2017/09/25 16:46:22.436 D 21345 AUE31814 RegDiffIndustriesApplBL 00104D:Trace:個別結果コード0000</t>
  </si>
  <si>
    <t>2017/09/25 16:46:22.436 D 21345 AUE31814 RegDiffIndustriesApplBL 00104D:Trace:異業種申込管理番号27</t>
  </si>
  <si>
    <t>2017/09/25 16:46:22.436 D 21345 AUE31814 RegDiffIndustriesApplBL 00104D:Trace:紹介票管理番号IG0000027</t>
  </si>
  <si>
    <t>2017/09/25 16:46:22.436 D 21345 AUE31814 RegDiffIndustriesApplBL 00104D:Trace:[traceResponse終了]</t>
  </si>
  <si>
    <t>2017/09/25 16:46:22.436 D 21345 AUE31814 RegDiffIndustriesApplBL 00104D:Trace:[execute終了]</t>
  </si>
  <si>
    <t>2017/09/25 16:46:22.436 D 21345 AUE31814 RegDiffIndustriesApplServlet :△△業務ロジック△△[60ミリ秒]</t>
  </si>
  <si>
    <t>2017/09/25 16:46:22.436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27&lt;/different-appl-mng-no&gt;&lt;introduction-no&gt;IG0000027&lt;/introduction-no&gt;&lt;/reg-info&gt;&lt;/api-prm&gt;&lt;/api-response&gt;</t>
  </si>
  <si>
    <t>2017/09/25 16:46:22.436 I 21345 AUE31814 RegDiffIndustriesApplServlet 00002I:Service End</t>
  </si>
  <si>
    <t>BSS1=# select * from D_APPL_DIFF_INDUSTRY_INFO where carrier_cd='17110' and shouhin_cd='171122';</t>
  </si>
  <si>
    <t>different_appl_mng_no | 27</t>
  </si>
  <si>
    <t>introduction_no       | IG0000027</t>
  </si>
  <si>
    <t>shouhin_cd            | 171122</t>
  </si>
  <si>
    <t>rec_entry_dtime       | 25-SEP-17 16:46:22.426</t>
  </si>
  <si>
    <t>rec_update_dtime      | 25-SEP-17 16:46:22.426</t>
  </si>
  <si>
    <t>remarks_14            | (null)</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</si>
  <si>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28&lt;/different-appl-mng-no&gt;&lt;introduction-no&gt;IG0000028&lt;/introduction-no&gt;&lt;/reg-info&gt;&lt;/api-prm&gt;&lt;/api-response&gt;</t>
  </si>
  <si>
    <t>2017/09/25 16:47:58.298 I 21348          RegDiffIndustriesApplServlet 00001I:Service Start</t>
  </si>
  <si>
    <t>2017/09/25 16:47:58.298 D 21348          RegDiffIndustriesApplServlet :▽▽parse▽▽</t>
  </si>
  <si>
    <t>2017/09/25 16:47:58.298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171125&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</si>
  <si>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16:47:58.298 D 21348          RegDiffIndustriesApplServlet :△△parse△△[0ミリ秒]</t>
  </si>
  <si>
    <t>2017/09/25 16:47:58.298 D 21348 AUE31814 DBCacheUtil 00104D:Trace:groupId=BASE_SERVICE_TIME;keyword=CHECK_FLG;value=0</t>
  </si>
  <si>
    <t>2017/09/25 16:47:58.298 D 21348 AUE31814 RegDiffIndustriesApplServlet :▽▽validate▽▽</t>
  </si>
  <si>
    <t>2017/09/25 16:47:58.298 D 21348 AUE31814 RegDiffIndustriesApplServlet :△△validate△△[0ミリ秒]</t>
  </si>
  <si>
    <t>2017/09/25 16:47:58.298 D 21348 AUE31814 DBCacheUtil 00104D:Trace:groupId=API_VERSION;keyword=/fmc-on/bbc-appl-api/diffindustappl/reg_diff_industries_appl;value=10</t>
  </si>
  <si>
    <t>2017/09/25 16:47:58.298 D 21348 AUE31814 RegDiffIndustriesApplServlet :▽▽業務ロジック▽▽</t>
  </si>
  <si>
    <t>2017/09/25 16:47:58.298 D 21348 AUE31814 RegDiffIndustriesApplBL 00104D:Trace:[setSequenceDao開始]</t>
  </si>
  <si>
    <t>2017/09/25 16:47:58.298 D 21348 AUE31814 RegDiffIndustriesApplBL 00104D:Trace:[setSequenceDao終了]</t>
  </si>
  <si>
    <t>2017/09/25 16:47:58.298 D 21348 AUE31814 RegDiffIndustriesApplBL 00104D:Trace:[setdApplDiffIndustryInfoApplDao開始]</t>
  </si>
  <si>
    <t>2017/09/25 16:47:58.298 D 21348 AUE31814 RegDiffIndustriesApplBL 00104D:Trace:[setdApplDiffIndustryInfoApplDao終了]</t>
  </si>
  <si>
    <t>2017/09/25 16:47:58.298 D 21348 AUE31814 RegDiffIndustriesApplBL 00104D:Trace:[execute開始]</t>
  </si>
  <si>
    <t>2017/09/25 16:47:58.298 D 21348 AUE31814 RegDiffIndustriesApplBL 00104D:Trace:[traceRequest開始]</t>
  </si>
  <si>
    <t>2017/09/25 16:47:58.298 D 21348 AUE31814 RegDiffIndustriesApplBL 00104D:Trace:au代理店コード：E845001</t>
  </si>
  <si>
    <t>2017/09/25 16:47:58.298 D 21348 AUE31814 RegDiffIndustriesApplBL 00104D:Trace: 申込押下ボタン：8</t>
  </si>
  <si>
    <t>2017/09/25 16:47:58.298 D 21348 AUE31814 RegDiffIndustriesApplBL 00104D:Trace: 店名：Ｅ８４５００１</t>
  </si>
  <si>
    <t>2017/09/25 16:47:58.298 D 21348 AUE31814 RegDiffIndustriesApplBL 00104D:Trace: 担当者名：ＯＲＡＮＧＥ担当者</t>
  </si>
  <si>
    <t>2017/09/25 16:47:58.298 D 21348 AUE31814 RegDiffIndustriesApplBL 00104D:Trace: 担当者名(名)：null</t>
  </si>
  <si>
    <t>2017/09/25 16:47:58.298 D 21348 AUE31814 RegDiffIndustriesApplBL 00104D:Trace: 電話番号：null</t>
  </si>
  <si>
    <t>2017/09/25 16:47:58.298 D 21348 AUE31814 RegDiffIndustriesApplBL 00104D:Trace: 申込年月日：20170920</t>
  </si>
  <si>
    <t>2017/09/25 16:47:58.298 D 21348 AUE31814 RegDiffIndustriesApplBL 00104D:Trace: 申込時刻：123456</t>
  </si>
  <si>
    <t>2017/09/25 16:47:58.298 D 21348 AUE31814 RegDiffIndustriesApplBL 00104D:Trace: 事業者コード：17110</t>
  </si>
  <si>
    <t>2017/09/25 16:47:58.298 D 21348 AUE31814 RegDiffIndustriesApplBL 00104D:Trace: 商品コード：171125</t>
  </si>
  <si>
    <t>2017/09/25 16:47:58.298 D 21348 AUE31814 RegDiffIndustriesApplBL 00104D:Trace: 漢字：ＦＭＣ試験　太郎</t>
  </si>
  <si>
    <t>2017/09/25 16:47:58.298 D 21348 AUE31814 RegDiffIndustriesApplBL 00104D:Trace: カナ：ＦＭＣシケン　タロウ</t>
  </si>
  <si>
    <t>2017/09/25 16:47:58.298 D 21348 AUE31814 RegDiffIndustriesApplBL 00104D:Trace: 自宅・勤務先電話番号：0312345678</t>
  </si>
  <si>
    <t>2017/09/25 16:47:58.298 D 21348 AUE31814 RegDiffIndustriesApplBL 00104D:Trace: 携帯電話番号：null</t>
  </si>
  <si>
    <t>2017/09/25 16:47:58.298 D 21348 AUE31814 RegDiffIndustriesApplBL 00104D:Trace: 郵便番号：1080035</t>
  </si>
  <si>
    <t>2017/09/25 16:47:58.298 D 21348 AUE31814 RegDiffIndustriesApplBL 00104D:Trace: 住所：東京都港区白金１丁目</t>
  </si>
  <si>
    <t>2017/09/25 16:47:58.298 D 21348 AUE31814 RegDiffIndustriesApplBL 00104D:Trace: 住居区分：0</t>
  </si>
  <si>
    <t>2017/09/25 16:47:58.298 D 21348 AUE31814 RegDiffIndustriesApplBL 00104D:Trace: 所有区分：1</t>
  </si>
  <si>
    <t>2017/09/25 16:47:58.298 D 21348 AUE31814 RegDiffIndustriesApplBL 00104D:Trace: 連絡希望曜日：0</t>
  </si>
  <si>
    <t>2017/09/25 16:47:58.298 D 21348 AUE31814 RegDiffIndustriesApplBL 00104D:Trace: 連絡希望時間帯：1</t>
  </si>
  <si>
    <t>2017/09/25 16:47:58.298 D 21348 AUE31814 RegDiffIndustriesApplBL 00104D:Trace: お客様ID：null</t>
  </si>
  <si>
    <t>2017/09/25 16:47:58.298 D 21348 AUE31814 RegDiffIndustriesApplBL 00104D:Trace: 備考1：備考1</t>
  </si>
  <si>
    <t>2017/09/25 16:47:58.298 D 21348 AUE31814 RegDiffIndustriesApplBL 00104D:Trace: 備考2：備考2</t>
  </si>
  <si>
    <t>2017/09/25 16:47:58.298 D 21348 AUE31814 RegDiffIndustriesApplBL 00104D:Trace: 備考3：備考3</t>
  </si>
  <si>
    <t>2017/09/25 16:47:58.298 D 21348 AUE31814 RegDiffIndustriesApplBL 00104D:Trace: 備考4：備考4</t>
  </si>
  <si>
    <t>2017/09/25 16:47:58.298 D 21348 AUE31814 RegDiffIndustriesApplBL 00104D:Trace: 備考5：備考5</t>
  </si>
  <si>
    <t>2017/09/25 16:47:58.298 D 21348 AUE31814 RegDiffIndustriesApplBL 00104D:Trace: 備考6：備考6</t>
  </si>
  <si>
    <t>2017/09/25 16:47:58.298 D 21348 AUE31814 RegDiffIndustriesApplBL 00104D:Trace: 備考7：備考7</t>
  </si>
  <si>
    <t>2017/09/25 16:47:58.298 D 21348 AUE31814 RegDiffIndustriesApplBL 00104D:Trace: 備考8：備考8</t>
  </si>
  <si>
    <t>2017/09/25 16:47:58.298 D 21348 AUE31814 RegDiffIndustriesApplBL 00104D:Trace: 備考9：備考9</t>
  </si>
  <si>
    <t>2017/09/25 16:47:58.298 D 21348 AUE31814 RegDiffIndustriesApplBL 00104D:Trace: 備考10：備考10</t>
  </si>
  <si>
    <t>2017/09/25 16:47:58.298 D 21348 AUE31814 RegDiffIndustriesApplBL 00104D:Trace: 備考11：備考11</t>
  </si>
  <si>
    <t>2017/09/25 16:47:58.298 D 21348 AUE31814 RegDiffIndustriesApplBL 00104D:Trace: 備考12：備考12</t>
  </si>
  <si>
    <t>2017/09/25 16:47:58.298 D 21348 AUE31814 RegDiffIndustriesApplBL 00104D:Trace: 備考13：備考13</t>
  </si>
  <si>
    <t>2017/09/25 16:47:58.298 D 21348 AUE31814 RegDiffIndustriesApplBL 00104D:Trace: 備考14：備考14</t>
  </si>
  <si>
    <t>2017/09/25 16:47:58.298 D 21348 AUE31814 RegDiffIndustriesApplBL 00104D:Trace: 備考15：null</t>
  </si>
  <si>
    <t>2017/09/25 16:47:58.298 D 21348 AUE31814 RegDiffIndustriesApplBL 00104D:Trace: 備考16：備考16</t>
  </si>
  <si>
    <t>2017/09/25 16:47:58.298 D 21348 AUE31814 RegDiffIndustriesApplBL 00104D:Trace: 備考17：備考17</t>
  </si>
  <si>
    <t>2017/09/25 16:47:58.298 D 21348 AUE31814 RegDiffIndustriesApplBL 00104D:Trace: 備考18：備考18</t>
  </si>
  <si>
    <t>2017/09/25 16:47:58.298 D 21348 AUE31814 RegDiffIndustriesApplBL 00104D:Trace: 備考19：備考19</t>
  </si>
  <si>
    <t>2017/09/25 16:47:58.298 D 21348 AUE31814 RegDiffIndustriesApplBL 00104D:Trace: 備考20：備考20</t>
  </si>
  <si>
    <t>2017/09/25 16:47:58.298 D 21348 AUE31814 RegDiffIndustriesApplBL 00104D:Trace: 特記：特記欄００１</t>
  </si>
  <si>
    <t>2017/09/25 16:47:58.298 D 21348 AUE31814 RegDiffIndustriesApplBL 00104D:Trace: au加入者コード:A1701001</t>
  </si>
  <si>
    <t>2017/09/25 16:47:58.298 D 21348 AUE31814 RegDiffIndustriesApplBL 00104D:Trace: 基本契約番号:null</t>
  </si>
  <si>
    <t>2017/09/25 16:47:58.298 I 21348 AUE31814 RegDiffIndustriesApplBL 00105I:Trace:&lt;CI&gt; 顧客区分：1</t>
  </si>
  <si>
    <t>2017/09/25 16:47:58.298 D 21348 AUE31814 RegDiffIndustriesApplBL 00104D:Trace:[traceRequest終了]</t>
  </si>
  <si>
    <t>2017/09/25 16:47:58.298 D 21348 AUE31814 RegDiffIndustriesApplBL 00104D:Trace:[checkByte開始]</t>
  </si>
  <si>
    <t>2017/09/25 16:47:58.298 I 21348 AUE31814 RegDiffIndustriesApplBL 00105I:Trace:&lt;CI&gt;errByteMessage.size =「0」</t>
  </si>
  <si>
    <t>2017/09/25 16:47:58.298 D 21348 AUE31814 RegDiffIndustriesApplBL 00104D:Trace:[checkByte終了]</t>
  </si>
  <si>
    <t>2017/09/25 16:47:58.298 D 21348 AUE31814 RegDiffIndustriesApplBL 00104D:Trace:[getDiffIndustryApplMngNo開始]</t>
  </si>
  <si>
    <t>2017/09/25 16:47:58.318 I 21348 AUE31814 RegDiffIndustriesApplBL 00101I:SQL:&lt;CI&gt;SELECT SQ_DIFF_INDUSTRY_APPL_MNG_NO.NEXTVAL FROM DUAL</t>
  </si>
  <si>
    <t>2017/09/25 16:47:58.318 D 21348 AUE31814 RegDiffIndustriesApplBL 00104D:Trace:異業種商材申込管理番号：28</t>
  </si>
  <si>
    <t>2017/09/25 16:47:58.318 D 21348 AUE31814 RegDiffIndustriesApplBL 00104D:Trace:[getDiffIndustryApplMngNo終了]</t>
  </si>
  <si>
    <t>2017/09/25 16:47:58.318 D 21348 AUE31814 RegDiffIndustriesApplBL 00104D:Trace:[getDiffIndustryIntroductionNo開始]</t>
  </si>
  <si>
    <t>2017/09/25 16:47:58.318 D 21348 AUE31814 RegDiffIndustriesApplBL 00104D:Trace:++プロパティファイルより取得した紹介票管理番号取得リトライ回数：4</t>
  </si>
  <si>
    <t>2017/09/25 16:47:58.318 D 21348 AUE31814 RegDiffIndustriesApplBL 00104D:Trace:[getSqDiffIndustryIntroductionNo開始]</t>
  </si>
  <si>
    <t>2017/09/25 16:47:58.328 I 21348 AUE31814 RegDiffIndustriesApplBL 00101I:SQL:&lt;CI&gt;SELECT SQ_DIFF_INDUSTRY_INTRODUCTION_NO.NEXTVAL FROM DUAL</t>
  </si>
  <si>
    <t>2017/09/25 16:47:58.328 D 21348 AUE31814 RegDiffIndustriesApplBL 00104D:Trace:[getSqDiffIndustryIntroductionNo終了]</t>
  </si>
  <si>
    <t>2017/09/25 16:47:58.328 D 21348 AUE31814 RegDiffIndustriesApplBL 00104D:Trace:[chkDiffIndustryIntroductionNo開始]</t>
  </si>
  <si>
    <t>2017/09/25 16:47:58.338 I 21348 AUE31814 RegDiffIndustriesApplBL 00101I:SQL:&lt;CI&gt;SELECT     count(*) FROM     D_APPL_DIFF_INDUSTRY_INFO d WHERE     d.INTRODUCTION_NO = 'IG0000028'  AND     d.BATCH_FILE_IN_STS in ('0','1')</t>
  </si>
  <si>
    <t>2017/09/25 16:47:58.338 D 21348 AUE31814 RegDiffIndustriesApplBL 00104D:Trace:[chkDiffIndustryIntroductionNo終了]</t>
  </si>
  <si>
    <t>2017/09/25 16:47:58.338 D 21348 AUE31814 RegDiffIndustriesApplBL 00104D:Trace:++紹介票管理番号を取得して完了。</t>
  </si>
  <si>
    <t>2017/09/25 16:47:58.338 D 21348 AUE31814 RegDiffIndustriesApplBL 00104D:Trace:紹介票管理番号：IG0000028</t>
  </si>
  <si>
    <t>2017/09/25 16:47:58.338 D 21348 AUE31814 RegDiffIndustriesApplBL 00104D:Trace:[getDiffIndustryIntroductionNo終了]</t>
  </si>
  <si>
    <t>2017/09/25 16:47:58.338 D 21348 AUE31814 RegDiffIndustriesApplBL 00104D:Trace:[insertDiffIndustryInfo開始]</t>
  </si>
  <si>
    <t>2017/09/25 16:47:58.338 D 21348 AUE31814 RegDiffIndustriesApplBL 00104D:Trace:[insertDiffIndustryInfo終了]</t>
  </si>
  <si>
    <t>2017/09/25 16:47:58.358 I 21348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remarks_16, remarks_17, remarks_18, remarks_19, remarks_20) VALUES (28, 'ＯＲＡＮＧＥ担当者', 'A1701001', '0', '123456', '特記欄００１', '1', 'ＦＭＣ試験　太郎', 'ＦＭＣシケン　タロウ', '1080035', '東京都港区白金１丁目', 602, '20170920', 'AUE31814', '8', 'E845001', 'Ｅ８４５００１', '0', '2017-09-25', 'AUE31814', '2017-09-25', 'AUE31814', 'IG0000028', '0', '1', '0312345678', '備考1', '備考2', '備考3', '備考4', '備考5', '備考6', '1', '17110', '171125', '備考7', '備考8', '備考9', '備考10', '備考11', '備考12', '備考13', '備考14', '備考16', '備考17', '備考18', '備考19', '備考20')</t>
  </si>
  <si>
    <t>2017/09/25 16:47:58.358 D 21348 AUE31814 RegDiffIndustriesApplBL 00104D:Trace:[setResponseObjectChkPass開始]</t>
  </si>
  <si>
    <t>2017/09/25 16:47:58.358 D 21348 AUE31814 RegDiffIndustriesApplBL 00104D:Trace:[setResponseObjectChkPass終了]</t>
  </si>
  <si>
    <t>2017/09/25 16:47:58.358 D 21348 AUE31814 RegDiffIndustriesApplBL 00104D:Trace:[traceResponse開始]</t>
  </si>
  <si>
    <t>2017/09/25 16:47:58.358 D 21348 AUE31814 RegDiffIndustriesApplBL 00104D:Trace:個別結果コード0000</t>
  </si>
  <si>
    <t>2017/09/25 16:47:58.358 D 21348 AUE31814 RegDiffIndustriesApplBL 00104D:Trace:異業種申込管理番号28</t>
  </si>
  <si>
    <t>2017/09/25 16:47:58.358 D 21348 AUE31814 RegDiffIndustriesApplBL 00104D:Trace:紹介票管理番号IG0000028</t>
  </si>
  <si>
    <t>2017/09/25 16:47:58.358 D 21348 AUE31814 RegDiffIndustriesApplBL 00104D:Trace:[traceResponse終了]</t>
  </si>
  <si>
    <t>2017/09/25 16:47:58.358 D 21348 AUE31814 RegDiffIndustriesApplBL 00104D:Trace:[execute終了]</t>
  </si>
  <si>
    <t>2017/09/25 16:47:58.358 D 21348 AUE31814 RegDiffIndustriesApplServlet :△△業務ロジック△△[60ミリ秒]</t>
  </si>
  <si>
    <t>2017/09/25 16:47:58.358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28&lt;/different-appl-mng-no&gt;&lt;introduction-no&gt;IG0000028&lt;/introduction-no&gt;&lt;/reg-info&gt;&lt;/api-prm&gt;&lt;/api-response&gt;</t>
  </si>
  <si>
    <t>2017/09/25 16:47:58.358 I 21348 AUE31814 RegDiffIndustriesApplServlet 00002I:Service End</t>
  </si>
  <si>
    <t>BSS1=# select * from D_APPL_DIFF_INDUSTRY_INFO where carrier_cd='17110' and shouhin_cd='171125';</t>
  </si>
  <si>
    <t>different_appl_mng_no | 28</t>
  </si>
  <si>
    <t>introduction_no       | IG0000028</t>
  </si>
  <si>
    <t>shouhin_cd            | 171125</t>
  </si>
  <si>
    <t>rec_entry_dtime       | 25-SEP-17 16:47:58.338</t>
  </si>
  <si>
    <t>rec_update_dtime      | 25-SEP-17 16:47:58.338</t>
  </si>
  <si>
    <t>remarks_15            | (null)</t>
  </si>
  <si>
    <t>2017/09/25 16:49:18.809 I 21347          RegDiffIndustriesApplServlet 00001I:Service Start</t>
  </si>
  <si>
    <t>2017/09/25 16:49:18.809 D 21347          RegDiffIndustriesApplServlet :▽▽parse▽▽</t>
  </si>
  <si>
    <t>2017/09/25 16:49:18.809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171126&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</si>
  <si>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16:49:18.809 D 21347          RegDiffIndustriesApplServlet :△△parse△△[0ミリ秒]</t>
  </si>
  <si>
    <t>2017/09/25 16:49:18.809 D 21347 AUE31814 DBCacheUtil 00104D:Trace:groupId=BASE_SERVICE_TIME;keyword=CHECK_FLG;value=0</t>
  </si>
  <si>
    <t>2017/09/25 16:49:18.809 D 21347 AUE31814 RegDiffIndustriesApplServlet :▽▽validate▽▽</t>
  </si>
  <si>
    <t>2017/09/25 16:49:18.809 I 21347 AUE31814 RegDiffIndustriesApplServlet 01001I:Parameter Error</t>
  </si>
  <si>
    <t>2017/09/25 16:49:18.819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</si>
  <si>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16:49:18.819 I 21347 AUE31814 RegDiffIndustriesApplServlet 00002I:Service End</t>
  </si>
  <si>
    <t>2017/09/25 16:50:14.761 I 21345          RegDiffIndustriesApplServlet 00001I:Service Start</t>
  </si>
  <si>
    <t>2017/09/25 16:50:14.761 D 21345          RegDiffIndustriesApplServlet :▽▽parse▽▽</t>
  </si>
  <si>
    <t>2017/09/25 16:50:14.771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171127&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0123456789012345678901234567890123456789012345678901234567890123456789012345678901234567890123456789012345678901234567890123456789012345678901234567890123456789012345678901234567890&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</si>
  <si>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16:50:14.771 D 21345          RegDiffIndustriesApplServlet :△△parse△△[10ミリ秒]</t>
  </si>
  <si>
    <t>2017/09/25 16:50:14.771 D 21345 AUE31814 DBCacheUtil 00104D:Trace:groupId=BASE_SERVICE_TIME;keyword=CHECK_FLG;value=0</t>
  </si>
  <si>
    <t>2017/09/25 16:50:14.771 D 21345 AUE31814 RegDiffIndustriesApplServlet :▽▽validate▽▽</t>
  </si>
  <si>
    <t>2017/09/25 16:50:14.771 I 21345 AUE31814 RegDiffIndustriesApplServlet 01001I:Parameter Error</t>
  </si>
  <si>
    <t>2017/09/25 16:50:14.771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</si>
  <si>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16:50:14.771 I 21345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</si>
  <si>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29&lt;/different-appl-mng-no&gt;&lt;introduction-no&gt;IG0000029&lt;/introduction-no&gt;&lt;/reg-info&gt;&lt;/api-prm&gt;&lt;/api-response&gt;</t>
  </si>
  <si>
    <t>2017/09/25 16:51:04.012 I 21348          RegDiffIndustriesApplServlet 00001I:Service Start</t>
  </si>
  <si>
    <t>2017/09/25 16:51:04.012 D 21348          RegDiffIndustriesApplServlet :▽▽parse▽▽</t>
  </si>
  <si>
    <t>2017/09/25 16:51:04.012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171128&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</si>
  <si>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16:51:04.012 D 21348          RegDiffIndustriesApplServlet :△△parse△△[0ミリ秒]</t>
  </si>
  <si>
    <t>2017/09/25 16:51:04.012 D 21348 AUE31814 DBCacheUtil 00104D:Trace:groupId=BASE_SERVICE_TIME;keyword=CHECK_FLG;value=0</t>
  </si>
  <si>
    <t>2017/09/25 16:51:04.012 D 21348 AUE31814 RegDiffIndustriesApplServlet :▽▽validate▽▽</t>
  </si>
  <si>
    <t>2017/09/25 16:51:04.012 D 21348 AUE31814 RegDiffIndustriesApplServlet :△△validate△△[0ミリ秒]</t>
  </si>
  <si>
    <t>2017/09/25 16:51:04.012 D 21348 AUE31814 DBCacheUtil 00104D:Trace:groupId=API_VERSION;keyword=/fmc-on/bbc-appl-api/diffindustappl/reg_diff_industries_appl;value=10</t>
  </si>
  <si>
    <t>2017/09/25 16:51:04.012 D 21348 AUE31814 RegDiffIndustriesApplServlet :▽▽業務ロジック▽▽</t>
  </si>
  <si>
    <t>2017/09/25 16:51:04.012 D 21348 AUE31814 RegDiffIndustriesApplBL 00104D:Trace:[setSequenceDao開始]</t>
  </si>
  <si>
    <t>2017/09/25 16:51:04.012 D 21348 AUE31814 RegDiffIndustriesApplBL 00104D:Trace:[setSequenceDao終了]</t>
  </si>
  <si>
    <t>2017/09/25 16:51:04.012 D 21348 AUE31814 RegDiffIndustriesApplBL 00104D:Trace:[setdApplDiffIndustryInfoApplDao開始]</t>
  </si>
  <si>
    <t>2017/09/25 16:51:04.012 D 21348 AUE31814 RegDiffIndustriesApplBL 00104D:Trace:[setdApplDiffIndustryInfoApplDao終了]</t>
  </si>
  <si>
    <t>2017/09/25 16:51:04.012 D 21348 AUE31814 RegDiffIndustriesApplBL 00104D:Trace:[execute開始]</t>
  </si>
  <si>
    <t>2017/09/25 16:51:04.012 D 21348 AUE31814 RegDiffIndustriesApplBL 00104D:Trace:[traceRequest開始]</t>
  </si>
  <si>
    <t>2017/09/25 16:51:04.012 D 21348 AUE31814 RegDiffIndustriesApplBL 00104D:Trace:au代理店コード：E845001</t>
  </si>
  <si>
    <t>2017/09/25 16:51:04.012 D 21348 AUE31814 RegDiffIndustriesApplBL 00104D:Trace: 申込押下ボタン：8</t>
  </si>
  <si>
    <t>2017/09/25 16:51:04.012 D 21348 AUE31814 RegDiffIndustriesApplBL 00104D:Trace: 店名：Ｅ８４５００１</t>
  </si>
  <si>
    <t>2017/09/25 16:51:04.012 D 21348 AUE31814 RegDiffIndustriesApplBL 00104D:Trace: 担当者名：ＯＲＡＮＧＥ担当者</t>
  </si>
  <si>
    <t>2017/09/25 16:51:04.012 D 21348 AUE31814 RegDiffIndustriesApplBL 00104D:Trace: 担当者名(名)：null</t>
  </si>
  <si>
    <t>2017/09/25 16:51:04.012 D 21348 AUE31814 RegDiffIndustriesApplBL 00104D:Trace: 電話番号：null</t>
  </si>
  <si>
    <t>2017/09/25 16:51:04.012 D 21348 AUE31814 RegDiffIndustriesApplBL 00104D:Trace: 申込年月日：20170920</t>
  </si>
  <si>
    <t>2017/09/25 16:51:04.012 D 21348 AUE31814 RegDiffIndustriesApplBL 00104D:Trace: 申込時刻：123456</t>
  </si>
  <si>
    <t>2017/09/25 16:51:04.012 D 21348 AUE31814 RegDiffIndustriesApplBL 00104D:Trace: 事業者コード：17110</t>
  </si>
  <si>
    <t>2017/09/25 16:51:04.012 D 21348 AUE31814 RegDiffIndustriesApplBL 00104D:Trace: 商品コード：171128</t>
  </si>
  <si>
    <t>2017/09/25 16:51:04.012 D 21348 AUE31814 RegDiffIndustriesApplBL 00104D:Trace: 漢字：ＦＭＣ試験　太郎</t>
  </si>
  <si>
    <t>2017/09/25 16:51:04.012 D 21348 AUE31814 RegDiffIndustriesApplBL 00104D:Trace: カナ：ＦＭＣシケン　タロウ</t>
  </si>
  <si>
    <t>2017/09/25 16:51:04.012 D 21348 AUE31814 RegDiffIndustriesApplBL 00104D:Trace: 自宅・勤務先電話番号：0312345678</t>
  </si>
  <si>
    <t>2017/09/25 16:51:04.012 D 21348 AUE31814 RegDiffIndustriesApplBL 00104D:Trace: 携帯電話番号：null</t>
  </si>
  <si>
    <t>2017/09/25 16:51:04.012 D 21348 AUE31814 RegDiffIndustriesApplBL 00104D:Trace: 郵便番号：1080035</t>
  </si>
  <si>
    <t>2017/09/25 16:51:04.012 D 21348 AUE31814 RegDiffIndustriesApplBL 00104D:Trace: 住所：東京都港区白金１丁目</t>
  </si>
  <si>
    <t>2017/09/25 16:51:04.012 D 21348 AUE31814 RegDiffIndustriesApplBL 00104D:Trace: 住居区分：0</t>
  </si>
  <si>
    <t>2017/09/25 16:51:04.012 D 21348 AUE31814 RegDiffIndustriesApplBL 00104D:Trace: 所有区分：1</t>
  </si>
  <si>
    <t>2017/09/25 16:51:04.012 D 21348 AUE31814 RegDiffIndustriesApplBL 00104D:Trace: 連絡希望曜日：0</t>
  </si>
  <si>
    <t>2017/09/25 16:51:04.012 D 21348 AUE31814 RegDiffIndustriesApplBL 00104D:Trace: 連絡希望時間帯：1</t>
  </si>
  <si>
    <t>2017/09/25 16:51:04.012 D 21348 AUE31814 RegDiffIndustriesApplBL 00104D:Trace: お客様ID：null</t>
  </si>
  <si>
    <t>2017/09/25 16:51:04.012 D 21348 AUE31814 RegDiffIndustriesApplBL 00104D:Trace: 備考1：備考1</t>
  </si>
  <si>
    <t>2017/09/25 16:51:04.012 D 21348 AUE31814 RegDiffIndustriesApplBL 00104D:Trace: 備考2：備考2</t>
  </si>
  <si>
    <t>2017/09/25 16:51:04.012 D 21348 AUE31814 RegDiffIndustriesApplBL 00104D:Trace: 備考3：備考3</t>
  </si>
  <si>
    <t>2017/09/25 16:51:04.012 D 21348 AUE31814 RegDiffIndustriesApplBL 00104D:Trace: 備考4：備考4</t>
  </si>
  <si>
    <t>2017/09/25 16:51:04.012 D 21348 AUE31814 RegDiffIndustriesApplBL 00104D:Trace: 備考5：備考5</t>
  </si>
  <si>
    <t>2017/09/25 16:51:04.012 D 21348 AUE31814 RegDiffIndustriesApplBL 00104D:Trace: 備考6：備考6</t>
  </si>
  <si>
    <t>2017/09/25 16:51:04.012 D 21348 AUE31814 RegDiffIndustriesApplBL 00104D:Trace: 備考7：備考7</t>
  </si>
  <si>
    <t>2017/09/25 16:51:04.012 D 21348 AUE31814 RegDiffIndustriesApplBL 00104D:Trace: 備考8：備考8</t>
  </si>
  <si>
    <t>2017/09/25 16:51:04.012 D 21348 AUE31814 RegDiffIndustriesApplBL 00104D:Trace: 備考9：備考9</t>
  </si>
  <si>
    <t>2017/09/25 16:51:04.012 D 21348 AUE31814 RegDiffIndustriesApplBL 00104D:Trace: 備考10：備考10</t>
  </si>
  <si>
    <t>2017/09/25 16:51:04.012 D 21348 AUE31814 RegDiffIndustriesApplBL 00104D:Trace: 備考11：備考11</t>
  </si>
  <si>
    <t>2017/09/25 16:51:04.012 D 21348 AUE31814 RegDiffIndustriesApplBL 00104D:Trace: 備考12：備考12</t>
  </si>
  <si>
    <t>2017/09/25 16:51:04.012 D 21348 AUE31814 RegDiffIndustriesApplBL 00104D:Trace: 備考13：備考13</t>
  </si>
  <si>
    <t>2017/09/25 16:51:04.012 D 21348 AUE31814 RegDiffIndustriesApplBL 00104D:Trace: 備考14：備考14</t>
  </si>
  <si>
    <t>2017/09/25 16:51:04.012 D 21348 AUE31814 RegDiffIndustriesApplBL 00104D:Trace: 備考15：備考15</t>
  </si>
  <si>
    <t>2017/09/25 16:51:04.012 D 21348 AUE31814 RegDiffIndustriesApplBL 00104D:Trace: 備考16：null</t>
  </si>
  <si>
    <t>2017/09/25 16:51:04.012 D 21348 AUE31814 RegDiffIndustriesApplBL 00104D:Trace: 備考17：備考17</t>
  </si>
  <si>
    <t>2017/09/25 16:51:04.012 D 21348 AUE31814 RegDiffIndustriesApplBL 00104D:Trace: 備考18：備考18</t>
  </si>
  <si>
    <t>2017/09/25 16:51:04.012 D 21348 AUE31814 RegDiffIndustriesApplBL 00104D:Trace: 備考19：備考19</t>
  </si>
  <si>
    <t>2017/09/25 16:51:04.012 D 21348 AUE31814 RegDiffIndustriesApplBL 00104D:Trace: 備考20：備考20</t>
  </si>
  <si>
    <t>2017/09/25 16:51:04.012 D 21348 AUE31814 RegDiffIndustriesApplBL 00104D:Trace: 特記：特記欄００１</t>
  </si>
  <si>
    <t>2017/09/25 16:51:04.012 D 21348 AUE31814 RegDiffIndustriesApplBL 00104D:Trace: au加入者コード:A1701001</t>
  </si>
  <si>
    <t>2017/09/25 16:51:04.012 D 21348 AUE31814 RegDiffIndustriesApplBL 00104D:Trace: 基本契約番号:null</t>
  </si>
  <si>
    <t>2017/09/25 16:51:04.012 I 21348 AUE31814 RegDiffIndustriesApplBL 00105I:Trace:&lt;CI&gt; 顧客区分：1</t>
  </si>
  <si>
    <t>2017/09/25 16:51:04.012 D 21348 AUE31814 RegDiffIndustriesApplBL 00104D:Trace:[traceRequest終了]</t>
  </si>
  <si>
    <t>2017/09/25 16:51:04.012 D 21348 AUE31814 RegDiffIndustriesApplBL 00104D:Trace:[checkByte開始]</t>
  </si>
  <si>
    <t>2017/09/25 16:51:04.012 I 21348 AUE31814 RegDiffIndustriesApplBL 00105I:Trace:&lt;CI&gt;errByteMessage.size =「0」</t>
  </si>
  <si>
    <t>2017/09/25 16:51:04.012 D 21348 AUE31814 RegDiffIndustriesApplBL 00104D:Trace:[checkByte終了]</t>
  </si>
  <si>
    <t>2017/09/25 16:51:04.012 D 21348 AUE31814 RegDiffIndustriesApplBL 00104D:Trace:[getDiffIndustryApplMngNo開始]</t>
  </si>
  <si>
    <t>2017/09/25 16:51:04.052 I 21348 AUE31814 RegDiffIndustriesApplBL 00101I:SQL:&lt;CI&gt;SELECT SQ_DIFF_INDUSTRY_APPL_MNG_NO.NEXTVAL FROM DUAL</t>
  </si>
  <si>
    <t>2017/09/25 16:51:04.052 D 21348 AUE31814 RegDiffIndustriesApplBL 00104D:Trace:異業種商材申込管理番号：29</t>
  </si>
  <si>
    <t>2017/09/25 16:51:04.052 D 21348 AUE31814 RegDiffIndustriesApplBL 00104D:Trace:[getDiffIndustryApplMngNo終了]</t>
  </si>
  <si>
    <t>2017/09/25 16:51:04.052 D 21348 AUE31814 RegDiffIndustriesApplBL 00104D:Trace:[getDiffIndustryIntroductionNo開始]</t>
  </si>
  <si>
    <t>2017/09/25 16:51:04.052 D 21348 AUE31814 RegDiffIndustriesApplBL 00104D:Trace:++プロパティファイルより取得した紹介票管理番号取得リトライ回数：4</t>
  </si>
  <si>
    <t>2017/09/25 16:51:04.052 D 21348 AUE31814 RegDiffIndustriesApplBL 00104D:Trace:[getSqDiffIndustryIntroductionNo開始]</t>
  </si>
  <si>
    <t>2017/09/25 16:51:04.062 I 21348 AUE31814 RegDiffIndustriesApplBL 00101I:SQL:&lt;CI&gt;SELECT SQ_DIFF_INDUSTRY_INTRODUCTION_NO.NEXTVAL FROM DUAL</t>
  </si>
  <si>
    <t>2017/09/25 16:51:04.072 D 21348 AUE31814 RegDiffIndustriesApplBL 00104D:Trace:[getSqDiffIndustryIntroductionNo終了]</t>
  </si>
  <si>
    <t>2017/09/25 16:51:04.072 D 21348 AUE31814 RegDiffIndustriesApplBL 00104D:Trace:[chkDiffIndustryIntroductionNo開始]</t>
  </si>
  <si>
    <t>2017/09/25 16:51:04.082 I 21348 AUE31814 RegDiffIndustriesApplBL 00101I:SQL:&lt;CI&gt;SELECT     count(*) FROM     D_APPL_DIFF_INDUSTRY_INFO d WHERE     d.INTRODUCTION_NO = 'IG0000029'  AND     d.BATCH_FILE_IN_STS in ('0','1')</t>
  </si>
  <si>
    <t>2017/09/25 16:51:04.082 D 21348 AUE31814 RegDiffIndustriesApplBL 00104D:Trace:[chkDiffIndustryIntroductionNo終了]</t>
  </si>
  <si>
    <t>2017/09/25 16:51:04.082 D 21348 AUE31814 RegDiffIndustriesApplBL 00104D:Trace:++紹介票管理番号を取得して完了。</t>
  </si>
  <si>
    <t>2017/09/25 16:51:04.082 D 21348 AUE31814 RegDiffIndustriesApplBL 00104D:Trace:紹介票管理番号：IG0000029</t>
  </si>
  <si>
    <t>2017/09/25 16:51:04.082 D 21348 AUE31814 RegDiffIndustriesApplBL 00104D:Trace:[getDiffIndustryIntroductionNo終了]</t>
  </si>
  <si>
    <t>2017/09/25 16:51:04.082 D 21348 AUE31814 RegDiffIndustriesApplBL 00104D:Trace:[insertDiffIndustryInfo開始]</t>
  </si>
  <si>
    <t>2017/09/25 16:51:04.082 D 21348 AUE31814 RegDiffIndustriesApplBL 00104D:Trace:[insertDiffIndustryInfo終了]</t>
  </si>
  <si>
    <t>2017/09/25 16:51:04.092 I 21348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remarks_17, remarks_18, remarks_19, remarks_20) VALUES (29, 'ＯＲＡＮＧＥ担当者', 'A1701001', '0', '123456', '特記欄００１', '1', 'ＦＭＣ試験　太郎', 'ＦＭＣシケン　タロウ', '1080035', '東京都港区白金１丁目', 602, '20170920', 'AUE31814', '8', 'E845001', 'Ｅ８４５００１', '0', '2017-09-25', 'AUE31814', '2017-09-25', 'AUE31814', 'IG0000029', '0', '1', '0312345678', '備考1', '備考2', '備考3', '備考4', '備考5', '備考6', '1', '17110', '171128', '備考7', '備考8', '備考9', '備考10', '備考11', '備考12', '備考13', '備考14', '備考15', '備考17', '備考18', '備考19', '備考20')</t>
  </si>
  <si>
    <t>2017/09/25 16:51:04.092 D 21348 AUE31814 RegDiffIndustriesApplBL 00104D:Trace:[setResponseObjectChkPass開始]</t>
  </si>
  <si>
    <t>2017/09/25 16:51:04.102 D 21348 AUE31814 RegDiffIndustriesApplBL 00104D:Trace:[setResponseObjectChkPass終了]</t>
  </si>
  <si>
    <t>2017/09/25 16:51:04.102 D 21348 AUE31814 RegDiffIndustriesApplBL 00104D:Trace:[traceResponse開始]</t>
  </si>
  <si>
    <t>2017/09/25 16:51:04.102 D 21348 AUE31814 RegDiffIndustriesApplBL 00104D:Trace:個別結果コード0000</t>
  </si>
  <si>
    <t>2017/09/25 16:51:04.102 D 21348 AUE31814 RegDiffIndustriesApplBL 00104D:Trace:異業種申込管理番号29</t>
  </si>
  <si>
    <t>2017/09/25 16:51:04.102 D 21348 AUE31814 RegDiffIndustriesApplBL 00104D:Trace:紹介票管理番号IG0000029</t>
  </si>
  <si>
    <t>2017/09/25 16:51:04.102 D 21348 AUE31814 RegDiffIndustriesApplBL 00104D:Trace:[traceResponse終了]</t>
  </si>
  <si>
    <t>2017/09/25 16:51:04.102 D 21348 AUE31814 RegDiffIndustriesApplBL 00104D:Trace:[execute終了]</t>
  </si>
  <si>
    <t>2017/09/25 16:51:04.102 D 21348 AUE31814 RegDiffIndustriesApplServlet :△△業務ロジック△△[90ミリ秒]</t>
  </si>
  <si>
    <t>2017/09/25 16:51:04.102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29&lt;/different-appl-mng-no&gt;&lt;introduction-no&gt;IG0000029&lt;/introduction-no&gt;&lt;/reg-info&gt;&lt;/api-prm&gt;&lt;/api-response&gt;</t>
  </si>
  <si>
    <t>2017/09/25 16:51:04.102 I 21348 AUE31814 RegDiffIndustriesApplServlet 00002I:Service End</t>
  </si>
  <si>
    <t>BSS1=# select * from D_APPL_DIFF_INDUSTRY_INFO where carrier_cd='17110' and shouhin_cd='171128';</t>
  </si>
  <si>
    <t>different_appl_mng_no | 29</t>
  </si>
  <si>
    <t>introduction_no       | IG0000029</t>
  </si>
  <si>
    <t>shouhin_cd            | 171128</t>
  </si>
  <si>
    <t>rec_entry_dtime       | 25-SEP-17 16:51:04.082</t>
  </si>
  <si>
    <t>rec_update_dtime      | 25-SEP-17 16:51:04.082</t>
  </si>
  <si>
    <t>remarks_16            | (null)</t>
  </si>
  <si>
    <t>2017/09/25 16:52:23.483 I 21347          RegDiffIndustriesApplServlet 00001I:Service Start</t>
  </si>
  <si>
    <t>2017/09/25 16:52:23.483 D 21347          RegDiffIndustriesApplServlet :▽▽parse▽▽</t>
  </si>
  <si>
    <t>2017/09/25 16:52:23.483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171129&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</si>
  <si>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16:52:23.483 D 21347          RegDiffIndustriesApplServlet :△△parse△△[0ミリ秒]</t>
  </si>
  <si>
    <t>2017/09/25 16:52:23.483 D 21347 AUE31814 DBCacheUtil 00104D:Trace:groupId=BASE_SERVICE_TIME;keyword=CHECK_FLG;value=0</t>
  </si>
  <si>
    <t>2017/09/25 16:52:23.483 D 21347 AUE31814 RegDiffIndustriesApplServlet :▽▽validate▽▽</t>
  </si>
  <si>
    <t>2017/09/25 16:52:23.483 I 21347 AUE31814 RegDiffIndustriesApplServlet 01001I:Parameter Error</t>
  </si>
  <si>
    <t>2017/09/25 16:52:23.483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</si>
  <si>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16:52:23.483 I 21347 AUE31814 RegDiffIndustriesApplServlet 00002I:Service End</t>
  </si>
  <si>
    <t>2017/09/25 16:53:20.346 I 21345          RegDiffIndustriesApplServlet 00001I:Service Start</t>
  </si>
  <si>
    <t>2017/09/25 16:53:20.356 D 21345          RegDiffIndustriesApplServlet :▽▽parse▽▽</t>
  </si>
  <si>
    <t>2017/09/25 16:53:20.356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171130&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0123456789012345678901234567890123456789012345678901234567890123456789012345678901234567890123456789012345678901234567890123456789012345678901234567890123456789012345678901234567890&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</si>
  <si>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16:53:20.356 D 21345          RegDiffIndustriesApplServlet :△△parse△△[0ミリ秒]</t>
  </si>
  <si>
    <t>2017/09/25 16:53:20.356 D 21345 AUE31814 DBCacheUtil 00104D:Trace:groupId=BASE_SERVICE_TIME;keyword=CHECK_FLG;value=0</t>
  </si>
  <si>
    <t>2017/09/25 16:53:20.356 D 21345 AUE31814 RegDiffIndustriesApplServlet :▽▽validate▽▽</t>
  </si>
  <si>
    <t>2017/09/25 16:53:20.356 I 21345 AUE31814 RegDiffIndustriesApplServlet 01001I:Parameter Error</t>
  </si>
  <si>
    <t>Message    :&lt;CI&gt;String length (181) is greater than max length facet (180) for type of remarks-16 element in type of more-agency-info element in type of agency-info element in type of api-prm element in type of element api-request in namespace http://kddi.com/smc/fmconline/bbcappl/schema/reg_diff_industries_appl_request</t>
  </si>
  <si>
    <t>2017/09/25 16:53:20.356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</si>
  <si>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16:53:20.356 I 21345 AUE31814 RegDiffIndustriesApplServlet 00002I:Service End</t>
  </si>
  <si>
    <t>2017/09/25 16:54:09.097 I 21347 AUE31814 RegDiffIndustriesApplServlet 00002I:Service End</t>
  </si>
  <si>
    <t>2017/09/25 16:55:25.429 I 21345          RegDiffIndustriesApplServlet 00001I:Service Start</t>
  </si>
  <si>
    <t>2017/09/25 16:55:25.429 D 21345          RegDiffIndustriesApplServlet :▽▽parse▽▽</t>
  </si>
  <si>
    <t>2017/09/25 16:55:25.429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171132&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</si>
  <si>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16:55:25.439 D 21345          RegDiffIndustriesApplServlet :△△parse△△[10ミリ秒]</t>
  </si>
  <si>
    <t>2017/09/25 16:55:25.439 D 21345 AUE31814 DBCacheUtil 00104D:Trace:groupId=BASE_SERVICE_TIME;keyword=CHECK_FLG;value=0</t>
  </si>
  <si>
    <t>2017/09/25 16:55:25.439 D 21345 AUE31814 RegDiffIndustriesApplServlet :▽▽validate▽▽</t>
  </si>
  <si>
    <t>2017/09/25 16:55:25.439 I 21345 AUE31814 RegDiffIndustriesApplServlet 01001I:Parameter Error</t>
  </si>
  <si>
    <t>2017/09/25 16:55:25.439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</si>
  <si>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16:55:25.439 I 21345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</si>
  <si>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31&lt;/different-appl-mng-no&gt;&lt;introduction-no&gt;IG0000031&lt;/introduction-no&gt;&lt;/reg-info&gt;&lt;/api-prm&gt;&lt;/api-response&gt;</t>
  </si>
  <si>
    <t>2017/09/25 16:56:28.152 I 21347 AUE31814 RegDiffIndustriesApplServlet 00002I:Service End</t>
  </si>
  <si>
    <t>2017/09/25 16:58:08.686 I 21345          RegDiffIndustriesApplServlet 00001I:Service Start</t>
  </si>
  <si>
    <t>2017/09/25 16:58:08.686 D 21345          RegDiffIndustriesApplServlet :▽▽parse▽▽</t>
  </si>
  <si>
    <t>2017/09/25 16:58:08.686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171131&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</si>
  <si>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16:58:08.686 D 21345          RegDiffIndustriesApplServlet :△△parse△△[0ミリ秒]</t>
  </si>
  <si>
    <t>2017/09/25 16:58:08.686 D 21345 AUE31814 DBCacheUtil 00104D:Trace:groupId=BASE_SERVICE_TIME;keyword=CHECK_FLG;value=0</t>
  </si>
  <si>
    <t>2017/09/25 16:58:08.686 D 21345 AUE31814 RegDiffIndustriesApplServlet :▽▽validate▽▽</t>
  </si>
  <si>
    <t>2017/09/25 16:58:08.686 D 21345 AUE31814 RegDiffIndustriesApplServlet :△△validate△△[0ミリ秒]</t>
  </si>
  <si>
    <t>2017/09/25 16:58:08.686 D 21345 AUE31814 DBCacheUtil 00104D:Trace:groupId=API_VERSION;keyword=/fmc-on/bbc-appl-api/diffindustappl/reg_diff_industries_appl;value=10</t>
  </si>
  <si>
    <t>2017/09/25 16:58:08.686 D 21345 AUE31814 RegDiffIndustriesApplServlet :▽▽業務ロジック▽▽</t>
  </si>
  <si>
    <t>2017/09/25 16:58:08.686 D 21345 AUE31814 RegDiffIndustriesApplBL 00104D:Trace:[setSequenceDao開始]</t>
  </si>
  <si>
    <t>2017/09/25 16:58:08.686 D 21345 AUE31814 RegDiffIndustriesApplBL 00104D:Trace:[setSequenceDao終了]</t>
  </si>
  <si>
    <t>2017/09/25 16:58:08.686 D 21345 AUE31814 RegDiffIndustriesApplBL 00104D:Trace:[setdApplDiffIndustryInfoApplDao開始]</t>
  </si>
  <si>
    <t>2017/09/25 16:58:08.686 D 21345 AUE31814 RegDiffIndustriesApplBL 00104D:Trace:[setdApplDiffIndustryInfoApplDao終了]</t>
  </si>
  <si>
    <t>2017/09/25 16:58:08.686 D 21345 AUE31814 RegDiffIndustriesApplBL 00104D:Trace:[execute開始]</t>
  </si>
  <si>
    <t>2017/09/25 16:58:08.686 D 21345 AUE31814 RegDiffIndustriesApplBL 00104D:Trace:[traceRequest開始]</t>
  </si>
  <si>
    <t>2017/09/25 16:58:08.686 D 21345 AUE31814 RegDiffIndustriesApplBL 00104D:Trace:au代理店コード：E845001</t>
  </si>
  <si>
    <t>2017/09/25 16:58:08.686 D 21345 AUE31814 RegDiffIndustriesApplBL 00104D:Trace: 申込押下ボタン：8</t>
  </si>
  <si>
    <t>2017/09/25 16:58:08.686 D 21345 AUE31814 RegDiffIndustriesApplBL 00104D:Trace: 店名：Ｅ８４５００１</t>
  </si>
  <si>
    <t>2017/09/25 16:58:08.686 D 21345 AUE31814 RegDiffIndustriesApplBL 00104D:Trace: 担当者名：ＯＲＡＮＧＥ担当者</t>
  </si>
  <si>
    <t>2017/09/25 16:58:08.686 D 21345 AUE31814 RegDiffIndustriesApplBL 00104D:Trace: 担当者名(名)：null</t>
  </si>
  <si>
    <t>2017/09/25 16:58:08.686 D 21345 AUE31814 RegDiffIndustriesApplBL 00104D:Trace: 電話番号：null</t>
  </si>
  <si>
    <t>2017/09/25 16:58:08.696 D 21345 AUE31814 RegDiffIndustriesApplBL 00104D:Trace: 申込年月日：20170920</t>
  </si>
  <si>
    <t>2017/09/25 16:58:08.696 D 21345 AUE31814 RegDiffIndustriesApplBL 00104D:Trace: 申込時刻：123456</t>
  </si>
  <si>
    <t>2017/09/25 16:58:08.696 D 21345 AUE31814 RegDiffIndustriesApplBL 00104D:Trace: 事業者コード：17110</t>
  </si>
  <si>
    <t>2017/09/25 16:58:08.696 D 21345 AUE31814 RegDiffIndustriesApplBL 00104D:Trace: 商品コード：171131</t>
  </si>
  <si>
    <t>2017/09/25 16:58:08.696 D 21345 AUE31814 RegDiffIndustriesApplBL 00104D:Trace: 漢字：ＦＭＣ試験　太郎</t>
  </si>
  <si>
    <t>2017/09/25 16:58:08.696 D 21345 AUE31814 RegDiffIndustriesApplBL 00104D:Trace: カナ：ＦＭＣシケン　タロウ</t>
  </si>
  <si>
    <t>2017/09/25 16:58:08.696 D 21345 AUE31814 RegDiffIndustriesApplBL 00104D:Trace: 自宅・勤務先電話番号：0312345678</t>
  </si>
  <si>
    <t>2017/09/25 16:58:08.696 D 21345 AUE31814 RegDiffIndustriesApplBL 00104D:Trace: 携帯電話番号：null</t>
  </si>
  <si>
    <t>2017/09/25 16:58:08.696 D 21345 AUE31814 RegDiffIndustriesApplBL 00104D:Trace: 郵便番号：1080035</t>
  </si>
  <si>
    <t>2017/09/25 16:58:08.696 D 21345 AUE31814 RegDiffIndustriesApplBL 00104D:Trace: 住所：東京都港区白金１丁目</t>
  </si>
  <si>
    <t>2017/09/25 16:58:08.696 D 21345 AUE31814 RegDiffIndustriesApplBL 00104D:Trace: 住居区分：0</t>
  </si>
  <si>
    <t>2017/09/25 16:58:08.696 D 21345 AUE31814 RegDiffIndustriesApplBL 00104D:Trace: 所有区分：1</t>
  </si>
  <si>
    <t>2017/09/25 16:58:08.696 D 21345 AUE31814 RegDiffIndustriesApplBL 00104D:Trace: 連絡希望曜日：0</t>
  </si>
  <si>
    <t>2017/09/25 16:58:08.696 D 21345 AUE31814 RegDiffIndustriesApplBL 00104D:Trace: 連絡希望時間帯：1</t>
  </si>
  <si>
    <t>2017/09/25 16:58:08.696 D 21345 AUE31814 RegDiffIndustriesApplBL 00104D:Trace: お客様ID：null</t>
  </si>
  <si>
    <t>2017/09/25 16:58:08.696 D 21345 AUE31814 RegDiffIndustriesApplBL 00104D:Trace: 備考1：備考1</t>
  </si>
  <si>
    <t>2017/09/25 16:58:08.696 D 21345 AUE31814 RegDiffIndustriesApplBL 00104D:Trace: 備考2：備考2</t>
  </si>
  <si>
    <t>2017/09/25 16:58:08.696 D 21345 AUE31814 RegDiffIndustriesApplBL 00104D:Trace: 備考3：備考3</t>
  </si>
  <si>
    <t>2017/09/25 16:58:08.696 D 21345 AUE31814 RegDiffIndustriesApplBL 00104D:Trace: 備考4：備考4</t>
  </si>
  <si>
    <t>2017/09/25 16:58:08.696 D 21345 AUE31814 RegDiffIndustriesApplBL 00104D:Trace: 備考5：備考5</t>
  </si>
  <si>
    <t>2017/09/25 16:58:08.696 D 21345 AUE31814 RegDiffIndustriesApplBL 00104D:Trace: 備考6：備考6</t>
  </si>
  <si>
    <t>2017/09/25 16:58:08.696 D 21345 AUE31814 RegDiffIndustriesApplBL 00104D:Trace: 備考7：備考7</t>
  </si>
  <si>
    <t>2017/09/25 16:58:08.696 D 21345 AUE31814 RegDiffIndustriesApplBL 00104D:Trace: 備考8：備考8</t>
  </si>
  <si>
    <t>2017/09/25 16:58:08.696 D 21345 AUE31814 RegDiffIndustriesApplBL 00104D:Trace: 備考9：備考9</t>
  </si>
  <si>
    <t>2017/09/25 16:58:08.696 D 21345 AUE31814 RegDiffIndustriesApplBL 00104D:Trace: 備考10：備考10</t>
  </si>
  <si>
    <t>2017/09/25 16:58:08.696 D 21345 AUE31814 RegDiffIndustriesApplBL 00104D:Trace: 備考11：備考11</t>
  </si>
  <si>
    <t>2017/09/25 16:58:08.696 D 21345 AUE31814 RegDiffIndustriesApplBL 00104D:Trace: 備考12：備考12</t>
  </si>
  <si>
    <t>2017/09/25 16:58:08.696 D 21345 AUE31814 RegDiffIndustriesApplBL 00104D:Trace: 備考13：備考13</t>
  </si>
  <si>
    <t>2017/09/25 16:58:08.696 D 21345 AUE31814 RegDiffIndustriesApplBL 00104D:Trace: 備考14：備考14</t>
  </si>
  <si>
    <t>2017/09/25 16:58:08.696 D 21345 AUE31814 RegDiffIndustriesApplBL 00104D:Trace: 備考15：備考15</t>
  </si>
  <si>
    <t>2017/09/25 16:58:08.696 D 21345 AUE31814 RegDiffIndustriesApplBL 00104D:Trace: 備考16：備考16</t>
  </si>
  <si>
    <t>2017/09/25 16:58:08.696 D 21345 AUE31814 RegDiffIndustriesApplBL 00104D:Trace: 備考17：null</t>
  </si>
  <si>
    <t>2017/09/25 16:58:08.696 D 21345 AUE31814 RegDiffIndustriesApplBL 00104D:Trace: 備考18：備考18</t>
  </si>
  <si>
    <t>2017/09/25 16:58:08.696 D 21345 AUE31814 RegDiffIndustriesApplBL 00104D:Trace: 備考19：備考19</t>
  </si>
  <si>
    <t>2017/09/25 16:58:08.696 D 21345 AUE31814 RegDiffIndustriesApplBL 00104D:Trace: 備考20：備考20</t>
  </si>
  <si>
    <t>2017/09/25 16:58:08.696 D 21345 AUE31814 RegDiffIndustriesApplBL 00104D:Trace: 特記：特記欄００１</t>
  </si>
  <si>
    <t>2017/09/25 16:58:08.696 D 21345 AUE31814 RegDiffIndustriesApplBL 00104D:Trace: au加入者コード:A1701001</t>
  </si>
  <si>
    <t>2017/09/25 16:58:08.696 D 21345 AUE31814 RegDiffIndustriesApplBL 00104D:Trace: 基本契約番号:null</t>
  </si>
  <si>
    <t>2017/09/25 16:58:08.696 I 21345 AUE31814 RegDiffIndustriesApplBL 00105I:Trace:&lt;CI&gt; 顧客区分：1</t>
  </si>
  <si>
    <t>2017/09/25 16:58:08.696 D 21345 AUE31814 RegDiffIndustriesApplBL 00104D:Trace:[traceRequest終了]</t>
  </si>
  <si>
    <t>2017/09/25 16:58:08.696 D 21345 AUE31814 RegDiffIndustriesApplBL 00104D:Trace:[checkByte開始]</t>
  </si>
  <si>
    <t>2017/09/25 16:58:08.696 I 21345 AUE31814 RegDiffIndustriesApplBL 00105I:Trace:&lt;CI&gt;errByteMessage.size =「0」</t>
  </si>
  <si>
    <t>2017/09/25 16:58:08.696 D 21345 AUE31814 RegDiffIndustriesApplBL 00104D:Trace:[checkByte終了]</t>
  </si>
  <si>
    <t>2017/09/25 16:58:08.696 D 21345 AUE31814 RegDiffIndustriesApplBL 00104D:Trace:[getDiffIndustryApplMngNo開始]</t>
  </si>
  <si>
    <t>2017/09/25 16:58:08.716 I 21345 AUE31814 RegDiffIndustriesApplBL 00101I:SQL:&lt;CI&gt;SELECT SQ_DIFF_INDUSTRY_APPL_MNG_NO.NEXTVAL FROM DUAL</t>
  </si>
  <si>
    <t>2017/09/25 16:58:08.716 D 21345 AUE31814 RegDiffIndustriesApplBL 00104D:Trace:異業種商材申込管理番号：31</t>
  </si>
  <si>
    <t>2017/09/25 16:58:08.716 D 21345 AUE31814 RegDiffIndustriesApplBL 00104D:Trace:[getDiffIndustryApplMngNo終了]</t>
  </si>
  <si>
    <t>2017/09/25 16:58:08.716 D 21345 AUE31814 RegDiffIndustriesApplBL 00104D:Trace:[getDiffIndustryIntroductionNo開始]</t>
  </si>
  <si>
    <t>2017/09/25 16:58:08.716 D 21345 AUE31814 RegDiffIndustriesApplBL 00104D:Trace:++プロパティファイルより取得した紹介票管理番号取得リトライ回数：4</t>
  </si>
  <si>
    <t>2017/09/25 16:58:08.716 D 21345 AUE31814 RegDiffIndustriesApplBL 00104D:Trace:[getSqDiffIndustryIntroductionNo開始]</t>
  </si>
  <si>
    <t>2017/09/25 16:58:08.726 I 21345 AUE31814 RegDiffIndustriesApplBL 00101I:SQL:&lt;CI&gt;SELECT SQ_DIFF_INDUSTRY_INTRODUCTION_NO.NEXTVAL FROM DUAL</t>
  </si>
  <si>
    <t>2017/09/25 16:58:08.726 D 21345 AUE31814 RegDiffIndustriesApplBL 00104D:Trace:[getSqDiffIndustryIntroductionNo終了]</t>
  </si>
  <si>
    <t>2017/09/25 16:58:08.726 D 21345 AUE31814 RegDiffIndustriesApplBL 00104D:Trace:[chkDiffIndustryIntroductionNo開始]</t>
  </si>
  <si>
    <t>2017/09/25 16:58:08.736 I 21345 AUE31814 RegDiffIndustriesApplBL 00101I:SQL:&lt;CI&gt;SELECT     count(*) FROM     D_APPL_DIFF_INDUSTRY_INFO d WHERE     d.INTRODUCTION_NO = 'IG0000031'  AND     d.BATCH_FILE_IN_STS in ('0','1')</t>
  </si>
  <si>
    <t>2017/09/25 16:58:08.736 D 21345 AUE31814 RegDiffIndustriesApplBL 00104D:Trace:[chkDiffIndustryIntroductionNo終了]</t>
  </si>
  <si>
    <t>2017/09/25 16:58:08.736 D 21345 AUE31814 RegDiffIndustriesApplBL 00104D:Trace:++紹介票管理番号を取得して完了。</t>
  </si>
  <si>
    <t>2017/09/25 16:58:08.736 D 21345 AUE31814 RegDiffIndustriesApplBL 00104D:Trace:紹介票管理番号：IG0000031</t>
  </si>
  <si>
    <t>2017/09/25 16:58:08.736 D 21345 AUE31814 RegDiffIndustriesApplBL 00104D:Trace:[getDiffIndustryIntroductionNo終了]</t>
  </si>
  <si>
    <t>2017/09/25 16:58:08.736 D 21345 AUE31814 RegDiffIndustriesApplBL 00104D:Trace:[insertDiffIndustryInfo開始]</t>
  </si>
  <si>
    <t>2017/09/25 16:58:08.736 D 21345 AUE31814 RegDiffIndustriesApplBL 00104D:Trace:[insertDiffIndustryInfo終了]</t>
  </si>
  <si>
    <t>2017/09/25 16:58:08.756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remarks_16, remarks_18, remarks_19, remarks_20) VALUES (31, 'ＯＲＡＮＧＥ担当者', 'A1701001', '0', '123456', '特記欄００１', '1', 'ＦＭＣ試験　太郎', 'ＦＭＣシケン　タロウ', '1080035', '東京都港区白金１丁目', 602, '20170920', 'AUE31814', '8', 'E845001', 'Ｅ８４５００１', '0', '2017-09-25', 'AUE31814', '2017-09-25', 'AUE31814', 'IG0000031', '0', '1', '0312345678', '備考1', '備考2', '備考3', '備考4', '備考5', '備考6', '1', '17110', '171131', '備考7', '備考8', '備考9', '備考10', '備考11', '備考12', '備考13', '備考14', '備考15', '備考16', '備考18', '備考19', '備考20')</t>
  </si>
  <si>
    <t>2017/09/25 16:58:08.756 D 21345 AUE31814 RegDiffIndustriesApplBL 00104D:Trace:[setResponseObjectChkPass開始]</t>
  </si>
  <si>
    <t>2017/09/25 16:58:08.756 D 21345 AUE31814 RegDiffIndustriesApplBL 00104D:Trace:[setResponseObjectChkPass終了]</t>
  </si>
  <si>
    <t>2017/09/25 16:58:08.756 D 21345 AUE31814 RegDiffIndustriesApplBL 00104D:Trace:[traceResponse開始]</t>
  </si>
  <si>
    <t>2017/09/25 16:58:08.756 D 21345 AUE31814 RegDiffIndustriesApplBL 00104D:Trace:個別結果コード0000</t>
  </si>
  <si>
    <t>2017/09/25 16:58:08.756 D 21345 AUE31814 RegDiffIndustriesApplBL 00104D:Trace:異業種申込管理番号31</t>
  </si>
  <si>
    <t>2017/09/25 16:58:08.756 D 21345 AUE31814 RegDiffIndustriesApplBL 00104D:Trace:紹介票管理番号IG0000031</t>
  </si>
  <si>
    <t>2017/09/25 16:58:08.756 D 21345 AUE31814 RegDiffIndustriesApplBL 00104D:Trace:[traceResponse終了]</t>
  </si>
  <si>
    <t>2017/09/25 16:58:08.756 D 21345 AUE31814 RegDiffIndustriesApplBL 00104D:Trace:[execute終了]</t>
  </si>
  <si>
    <t>2017/09/25 16:58:08.756 D 21345 AUE31814 RegDiffIndustriesApplServlet :△△業務ロジック△△[70ミリ秒]</t>
  </si>
  <si>
    <t>2017/09/25 16:58:08.756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31&lt;/different-appl-mng-no&gt;&lt;introduction-no&gt;IG0000031&lt;/introduction-no&gt;&lt;/reg-info&gt;&lt;/api-prm&gt;&lt;/api-response&gt;</t>
  </si>
  <si>
    <t>2017/09/25 16:58:08.756 I 21345 AUE31814 RegDiffIndustriesApplServlet 00002I:Service End</t>
  </si>
  <si>
    <t>-[ RECORD 2 ]---------+-----------------------</t>
  </si>
  <si>
    <t>different_appl_mng_no | 31</t>
  </si>
  <si>
    <t>introduction_no       | IG0000031</t>
  </si>
  <si>
    <t>shouhin_cd            | 171131</t>
  </si>
  <si>
    <t>rec_entry_dtime       | 25-SEP-17 16:58:08.736</t>
  </si>
  <si>
    <t>rec_update_dtime      | 25-SEP-17 16:58:08.736</t>
  </si>
  <si>
    <t>remarks_17            | (null)</t>
  </si>
  <si>
    <t>2017/09/25 17:01:28.022 I 21348          RegDiffIndustriesApplServlet 00001I:Service Start</t>
  </si>
  <si>
    <t>2017/09/25 17:01:28.022 D 21348          RegDiffIndustriesApplServlet :▽▽parse▽▽</t>
  </si>
  <si>
    <t>2017/09/25 17:01:28.022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171133&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0123456789012345678901234567890123456789012345678901234567890123456789012345678901234567890123456789012345678901234567890123456789012345678901234567890123456789012345678901234567890&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</si>
  <si>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17:01:28.022 D 21348          RegDiffIndustriesApplServlet :△△parse△△[0ミリ秒]</t>
  </si>
  <si>
    <t>2017/09/25 17:01:28.022 D 21348 AUE31814 DBCacheUtil 00104D:Trace:groupId=BASE_SERVICE_TIME;keyword=CHECK_FLG;value=0</t>
  </si>
  <si>
    <t>2017/09/25 17:01:28.022 D 21348 AUE31814 RegDiffIndustriesApplServlet :▽▽validate▽▽</t>
  </si>
  <si>
    <t>2017/09/25 17:01:28.022 I 21348 AUE31814 RegDiffIndustriesApplServlet 01001I:Parameter Error</t>
  </si>
  <si>
    <t>2017/09/25 17:01:28.022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</si>
  <si>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17:01:28.022 I 21348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</si>
  <si>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32&lt;/different-appl-mng-no&gt;&lt;introduction-no&gt;IG0000032&lt;/introduction-no&gt;&lt;/reg-info&gt;&lt;/api-prm&gt;&lt;/api-response&gt;</t>
  </si>
  <si>
    <t>2017/09/25 17:02:20.263 I 21345          RegDiffIndustriesApplServlet 00001I:Service Start</t>
  </si>
  <si>
    <t>2017/09/25 17:02:20.263 D 21345          RegDiffIndustriesApplServlet :▽▽parse▽▽</t>
  </si>
  <si>
    <t>2017/09/25 17:02:20.263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171134&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</si>
  <si>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17:02:20.263 D 21345          RegDiffIndustriesApplServlet :△△parse△△[0ミリ秒]</t>
  </si>
  <si>
    <t>2017/09/25 17:02:20.263 D 21345 AUE31814 DBCacheUtil 00104D:Trace:groupId=BASE_SERVICE_TIME;keyword=CHECK_FLG;value=0</t>
  </si>
  <si>
    <t>2017/09/25 17:02:20.263 D 21345 AUE31814 RegDiffIndustriesApplServlet :▽▽validate▽▽</t>
  </si>
  <si>
    <t>2017/09/25 17:02:20.263 D 21345 AUE31814 RegDiffIndustriesApplServlet :△△validate△△[0ミリ秒]</t>
  </si>
  <si>
    <t>2017/09/25 17:02:20.263 D 21345 AUE31814 DBCacheUtil 00104D:Trace:groupId=API_VERSION;keyword=/fmc-on/bbc-appl-api/diffindustappl/reg_diff_industries_appl;value=10</t>
  </si>
  <si>
    <t>2017/09/25 17:02:20.263 D 21345 AUE31814 RegDiffIndustriesApplServlet :▽▽業務ロジック▽▽</t>
  </si>
  <si>
    <t>2017/09/25 17:02:20.263 D 21345 AUE31814 RegDiffIndustriesApplBL 00104D:Trace:[setSequenceDao開始]</t>
  </si>
  <si>
    <t>2017/09/25 17:02:20.263 D 21345 AUE31814 RegDiffIndustriesApplBL 00104D:Trace:[setSequenceDao終了]</t>
  </si>
  <si>
    <t>2017/09/25 17:02:20.263 D 21345 AUE31814 RegDiffIndustriesApplBL 00104D:Trace:[setdApplDiffIndustryInfoApplDao開始]</t>
  </si>
  <si>
    <t>2017/09/25 17:02:20.263 D 21345 AUE31814 RegDiffIndustriesApplBL 00104D:Trace:[setdApplDiffIndustryInfoApplDao終了]</t>
  </si>
  <si>
    <t>2017/09/25 17:02:20.263 D 21345 AUE31814 RegDiffIndustriesApplBL 00104D:Trace:[execute開始]</t>
  </si>
  <si>
    <t>2017/09/25 17:02:20.263 D 21345 AUE31814 RegDiffIndustriesApplBL 00104D:Trace:[traceRequest開始]</t>
  </si>
  <si>
    <t>2017/09/25 17:02:20.263 D 21345 AUE31814 RegDiffIndustriesApplBL 00104D:Trace:au代理店コード：E845001</t>
  </si>
  <si>
    <t>2017/09/25 17:02:20.263 D 21345 AUE31814 RegDiffIndustriesApplBL 00104D:Trace: 申込押下ボタン：8</t>
  </si>
  <si>
    <t>2017/09/25 17:02:20.263 D 21345 AUE31814 RegDiffIndustriesApplBL 00104D:Trace: 店名：Ｅ８４５００１</t>
  </si>
  <si>
    <t>2017/09/25 17:02:20.263 D 21345 AUE31814 RegDiffIndustriesApplBL 00104D:Trace: 担当者名：ＯＲＡＮＧＥ担当者</t>
  </si>
  <si>
    <t>2017/09/25 17:02:20.263 D 21345 AUE31814 RegDiffIndustriesApplBL 00104D:Trace: 担当者名(名)：null</t>
  </si>
  <si>
    <t>2017/09/25 17:02:20.263 D 21345 AUE31814 RegDiffIndustriesApplBL 00104D:Trace: 電話番号：null</t>
  </si>
  <si>
    <t>2017/09/25 17:02:20.263 D 21345 AUE31814 RegDiffIndustriesApplBL 00104D:Trace: 申込年月日：20170920</t>
  </si>
  <si>
    <t>2017/09/25 17:02:20.273 D 21345 AUE31814 RegDiffIndustriesApplBL 00104D:Trace: 申込時刻：123456</t>
  </si>
  <si>
    <t>2017/09/25 17:02:20.273 D 21345 AUE31814 RegDiffIndustriesApplBL 00104D:Trace: 事業者コード：17110</t>
  </si>
  <si>
    <t>2017/09/25 17:02:20.273 D 21345 AUE31814 RegDiffIndustriesApplBL 00104D:Trace: 商品コード：171134</t>
  </si>
  <si>
    <t>2017/09/25 17:02:20.273 D 21345 AUE31814 RegDiffIndustriesApplBL 00104D:Trace: 漢字：ＦＭＣ試験　太郎</t>
  </si>
  <si>
    <t>2017/09/25 17:02:20.273 D 21345 AUE31814 RegDiffIndustriesApplBL 00104D:Trace: カナ：ＦＭＣシケン　タロウ</t>
  </si>
  <si>
    <t>2017/09/25 17:02:20.273 D 21345 AUE31814 RegDiffIndustriesApplBL 00104D:Trace: 自宅・勤務先電話番号：0312345678</t>
  </si>
  <si>
    <t>2017/09/25 17:02:20.273 D 21345 AUE31814 RegDiffIndustriesApplBL 00104D:Trace: 携帯電話番号：null</t>
  </si>
  <si>
    <t>2017/09/25 17:02:20.273 D 21345 AUE31814 RegDiffIndustriesApplBL 00104D:Trace: 郵便番号：1080035</t>
  </si>
  <si>
    <t>2017/09/25 17:02:20.273 D 21345 AUE31814 RegDiffIndustriesApplBL 00104D:Trace: 住所：東京都港区白金１丁目</t>
  </si>
  <si>
    <t>2017/09/25 17:02:20.273 D 21345 AUE31814 RegDiffIndustriesApplBL 00104D:Trace: 住居区分：0</t>
  </si>
  <si>
    <t>2017/09/25 17:02:20.273 D 21345 AUE31814 RegDiffIndustriesApplBL 00104D:Trace: 所有区分：1</t>
  </si>
  <si>
    <t>2017/09/25 17:02:20.273 D 21345 AUE31814 RegDiffIndustriesApplBL 00104D:Trace: 連絡希望曜日：0</t>
  </si>
  <si>
    <t>2017/09/25 17:02:20.273 D 21345 AUE31814 RegDiffIndustriesApplBL 00104D:Trace: 連絡希望時間帯：1</t>
  </si>
  <si>
    <t>2017/09/25 17:02:20.273 D 21345 AUE31814 RegDiffIndustriesApplBL 00104D:Trace: お客様ID：null</t>
  </si>
  <si>
    <t>2017/09/25 17:02:20.273 D 21345 AUE31814 RegDiffIndustriesApplBL 00104D:Trace: 備考1：備考1</t>
  </si>
  <si>
    <t>2017/09/25 17:02:20.273 D 21345 AUE31814 RegDiffIndustriesApplBL 00104D:Trace: 備考2：備考2</t>
  </si>
  <si>
    <t>2017/09/25 17:02:20.273 D 21345 AUE31814 RegDiffIndustriesApplBL 00104D:Trace: 備考3：備考3</t>
  </si>
  <si>
    <t>2017/09/25 17:02:20.273 D 21345 AUE31814 RegDiffIndustriesApplBL 00104D:Trace: 備考4：備考4</t>
  </si>
  <si>
    <t>2017/09/25 17:02:20.273 D 21345 AUE31814 RegDiffIndustriesApplBL 00104D:Trace: 備考5：備考5</t>
  </si>
  <si>
    <t>2017/09/25 17:02:20.273 D 21345 AUE31814 RegDiffIndustriesApplBL 00104D:Trace: 備考6：備考6</t>
  </si>
  <si>
    <t>2017/09/25 17:02:20.273 D 21345 AUE31814 RegDiffIndustriesApplBL 00104D:Trace: 備考7：備考7</t>
  </si>
  <si>
    <t>2017/09/25 17:02:20.273 D 21345 AUE31814 RegDiffIndustriesApplBL 00104D:Trace: 備考8：備考8</t>
  </si>
  <si>
    <t>2017/09/25 17:02:20.273 D 21345 AUE31814 RegDiffIndustriesApplBL 00104D:Trace: 備考9：備考9</t>
  </si>
  <si>
    <t>2017/09/25 17:02:20.273 D 21345 AUE31814 RegDiffIndustriesApplBL 00104D:Trace: 備考10：備考10</t>
  </si>
  <si>
    <t>2017/09/25 17:02:20.273 D 21345 AUE31814 RegDiffIndustriesApplBL 00104D:Trace: 備考11：備考11</t>
  </si>
  <si>
    <t>2017/09/25 17:02:20.273 D 21345 AUE31814 RegDiffIndustriesApplBL 00104D:Trace: 備考12：備考12</t>
  </si>
  <si>
    <t>2017/09/25 17:02:20.273 D 21345 AUE31814 RegDiffIndustriesApplBL 00104D:Trace: 備考13：備考13</t>
  </si>
  <si>
    <t>2017/09/25 17:02:20.273 D 21345 AUE31814 RegDiffIndustriesApplBL 00104D:Trace: 備考14：備考14</t>
  </si>
  <si>
    <t>2017/09/25 17:02:20.273 D 21345 AUE31814 RegDiffIndustriesApplBL 00104D:Trace: 備考15：備考15</t>
  </si>
  <si>
    <t>2017/09/25 17:02:20.273 D 21345 AUE31814 RegDiffIndustriesApplBL 00104D:Trace: 備考16：備考16</t>
  </si>
  <si>
    <t>2017/09/25 17:02:20.273 D 21345 AUE31814 RegDiffIndustriesApplBL 00104D:Trace: 備考17：備考17</t>
  </si>
  <si>
    <t>2017/09/25 17:02:20.273 D 21345 AUE31814 RegDiffIndustriesApplBL 00104D:Trace: 備考18：null</t>
  </si>
  <si>
    <t>2017/09/25 17:02:20.273 D 21345 AUE31814 RegDiffIndustriesApplBL 00104D:Trace: 備考19：備考19</t>
  </si>
  <si>
    <t>2017/09/25 17:02:20.273 D 21345 AUE31814 RegDiffIndustriesApplBL 00104D:Trace: 備考20：備考20</t>
  </si>
  <si>
    <t>2017/09/25 17:02:20.273 D 21345 AUE31814 RegDiffIndustriesApplBL 00104D:Trace: 特記：特記欄００１</t>
  </si>
  <si>
    <t>2017/09/25 17:02:20.273 D 21345 AUE31814 RegDiffIndustriesApplBL 00104D:Trace: au加入者コード:A1701001</t>
  </si>
  <si>
    <t>2017/09/25 17:02:20.273 D 21345 AUE31814 RegDiffIndustriesApplBL 00104D:Trace: 基本契約番号:null</t>
  </si>
  <si>
    <t>2017/09/25 17:02:20.273 I 21345 AUE31814 RegDiffIndustriesApplBL 00105I:Trace:&lt;CI&gt; 顧客区分：1</t>
  </si>
  <si>
    <t>2017/09/25 17:02:20.273 D 21345 AUE31814 RegDiffIndustriesApplBL 00104D:Trace:[traceRequest終了]</t>
  </si>
  <si>
    <t>2017/09/25 17:02:20.273 D 21345 AUE31814 RegDiffIndustriesApplBL 00104D:Trace:[checkByte開始]</t>
  </si>
  <si>
    <t>2017/09/25 17:02:20.273 I 21345 AUE31814 RegDiffIndustriesApplBL 00105I:Trace:&lt;CI&gt;errByteMessage.size =「0」</t>
  </si>
  <si>
    <t>2017/09/25 17:02:20.273 D 21345 AUE31814 RegDiffIndustriesApplBL 00104D:Trace:[checkByte終了]</t>
  </si>
  <si>
    <t>2017/09/25 17:02:20.273 D 21345 AUE31814 RegDiffIndustriesApplBL 00104D:Trace:[getDiffIndustryApplMngNo開始]</t>
  </si>
  <si>
    <t>2017/09/25 17:02:20.283 I 21345 AUE31814 RegDiffIndustriesApplBL 00101I:SQL:&lt;CI&gt;SELECT SQ_DIFF_INDUSTRY_APPL_MNG_NO.NEXTVAL FROM DUAL</t>
  </si>
  <si>
    <t>2017/09/25 17:02:20.283 D 21345 AUE31814 RegDiffIndustriesApplBL 00104D:Trace:異業種商材申込管理番号：32</t>
  </si>
  <si>
    <t>2017/09/25 17:02:20.283 D 21345 AUE31814 RegDiffIndustriesApplBL 00104D:Trace:[getDiffIndustryApplMngNo終了]</t>
  </si>
  <si>
    <t>2017/09/25 17:02:20.283 D 21345 AUE31814 RegDiffIndustriesApplBL 00104D:Trace:[getDiffIndustryIntroductionNo開始]</t>
  </si>
  <si>
    <t>2017/09/25 17:02:20.293 D 21345 AUE31814 RegDiffIndustriesApplBL 00104D:Trace:++プロパティファイルより取得した紹介票管理番号取得リトライ回数：4</t>
  </si>
  <si>
    <t>2017/09/25 17:02:20.293 D 21345 AUE31814 RegDiffIndustriesApplBL 00104D:Trace:[getSqDiffIndustryIntroductionNo開始]</t>
  </si>
  <si>
    <t>2017/09/25 17:02:20.303 I 21345 AUE31814 RegDiffIndustriesApplBL 00101I:SQL:&lt;CI&gt;SELECT SQ_DIFF_INDUSTRY_INTRODUCTION_NO.NEXTVAL FROM DUAL</t>
  </si>
  <si>
    <t>2017/09/25 17:02:20.303 D 21345 AUE31814 RegDiffIndustriesApplBL 00104D:Trace:[getSqDiffIndustryIntroductionNo終了]</t>
  </si>
  <si>
    <t>2017/09/25 17:02:20.303 D 21345 AUE31814 RegDiffIndustriesApplBL 00104D:Trace:[chkDiffIndustryIntroductionNo開始]</t>
  </si>
  <si>
    <t>2017/09/25 17:02:20.313 I 21345 AUE31814 RegDiffIndustriesApplBL 00101I:SQL:&lt;CI&gt;SELECT     count(*) FROM     D_APPL_DIFF_INDUSTRY_INFO d WHERE     d.INTRODUCTION_NO = 'IG0000032'  AND     d.BATCH_FILE_IN_STS in ('0','1')</t>
  </si>
  <si>
    <t>2017/09/25 17:02:20.313 D 21345 AUE31814 RegDiffIndustriesApplBL 00104D:Trace:[chkDiffIndustryIntroductionNo終了]</t>
  </si>
  <si>
    <t>2017/09/25 17:02:20.313 D 21345 AUE31814 RegDiffIndustriesApplBL 00104D:Trace:++紹介票管理番号を取得して完了。</t>
  </si>
  <si>
    <t>2017/09/25 17:02:20.313 D 21345 AUE31814 RegDiffIndustriesApplBL 00104D:Trace:紹介票管理番号：IG0000032</t>
  </si>
  <si>
    <t>2017/09/25 17:02:20.313 D 21345 AUE31814 RegDiffIndustriesApplBL 00104D:Trace:[getDiffIndustryIntroductionNo終了]</t>
  </si>
  <si>
    <t>2017/09/25 17:02:20.313 D 21345 AUE31814 RegDiffIndustriesApplBL 00104D:Trace:[insertDiffIndustryInfo開始]</t>
  </si>
  <si>
    <t>2017/09/25 17:02:20.313 D 21345 AUE31814 RegDiffIndustriesApplBL 00104D:Trace:[insertDiffIndustryInfo終了]</t>
  </si>
  <si>
    <t>2017/09/25 17:02:20.333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remarks_16, remarks_17, remarks_19, remarks_20) VALUES (32, 'ＯＲＡＮＧＥ担当者', 'A1701001', '0', '123456', '特記欄００１', '1', 'ＦＭＣ試験　太郎', 'ＦＭＣシケン　タロウ', '1080035', '東京都港区白金１丁目', 602, '20170920', 'AUE31814', '8', 'E845001', 'Ｅ８４５００１', '0', '2017-09-25', 'AUE31814', '2017-09-25', 'AUE31814', 'IG0000032', '0', '1', '0312345678', '備考1', '備考2', '備考3', '備考4', '備考5', '備考6', '1', '17110', '171134', '備考7', '備考8', '備考9', '備考10', '備考11', '備考12', '備考13', '備考14', '備考15', '備考16', '備考17', '備考19', '備考20')</t>
  </si>
  <si>
    <t>2017/09/25 17:02:20.333 D 21345 AUE31814 RegDiffIndustriesApplBL 00104D:Trace:[setResponseObjectChkPass開始]</t>
  </si>
  <si>
    <t>2017/09/25 17:02:20.333 D 21345 AUE31814 RegDiffIndustriesApplBL 00104D:Trace:[setResponseObjectChkPass終了]</t>
  </si>
  <si>
    <t>2017/09/25 17:02:20.333 D 21345 AUE31814 RegDiffIndustriesApplBL 00104D:Trace:[traceResponse開始]</t>
  </si>
  <si>
    <t>2017/09/25 17:02:20.333 D 21345 AUE31814 RegDiffIndustriesApplBL 00104D:Trace:個別結果コード0000</t>
  </si>
  <si>
    <t>2017/09/25 17:02:20.333 D 21345 AUE31814 RegDiffIndustriesApplBL 00104D:Trace:異業種申込管理番号32</t>
  </si>
  <si>
    <t>2017/09/25 17:02:20.333 D 21345 AUE31814 RegDiffIndustriesApplBL 00104D:Trace:紹介票管理番号IG0000032</t>
  </si>
  <si>
    <t>2017/09/25 17:02:20.333 D 21345 AUE31814 RegDiffIndustriesApplBL 00104D:Trace:[traceResponse終了]</t>
  </si>
  <si>
    <t>2017/09/25 17:02:20.333 D 21345 AUE31814 RegDiffIndustriesApplBL 00104D:Trace:[execute終了]</t>
  </si>
  <si>
    <t>2017/09/25 17:02:20.333 D 21345 AUE31814 RegDiffIndustriesApplServlet :△△業務ロジック△△[70ミリ秒]</t>
  </si>
  <si>
    <t>2017/09/25 17:02:20.333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32&lt;/different-appl-mng-no&gt;&lt;introduction-no&gt;IG0000032&lt;/introduction-no&gt;&lt;/reg-info&gt;&lt;/api-prm&gt;&lt;/api-response&gt;</t>
  </si>
  <si>
    <t>2017/09/25 17:02:20.333 I 21345 AUE31814 RegDiffIndustriesApplServlet 00002I:Service End</t>
  </si>
  <si>
    <t>BSS1=# select * from D_APPL_DIFF_INDUSTRY_INFO where carrier_cd='17110' and shouhin_cd='171134';</t>
  </si>
  <si>
    <t>different_appl_mng_no | 32</t>
  </si>
  <si>
    <t>introduction_no       | IG0000032</t>
  </si>
  <si>
    <t>shouhin_cd            | 171134</t>
  </si>
  <si>
    <t>rec_entry_dtime       | 25-SEP-17 17:02:20.313</t>
  </si>
  <si>
    <t>rec_update_dtime      | 25-SEP-17 17:02:20.313</t>
  </si>
  <si>
    <t>remarks_18            | (null)</t>
  </si>
  <si>
    <t>2017/09/25 17:04:39.116 I 21348          RegDiffIndustriesApplServlet 00001I:Service Start</t>
  </si>
  <si>
    <t>2017/09/25 17:04:39.116 D 21348          RegDiffIndustriesApplServlet :▽▽parse▽▽</t>
  </si>
  <si>
    <t>2017/09/25 17:04:39.116 I 21348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171135&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</si>
  <si>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17:04:39.116 D 21348          RegDiffIndustriesApplServlet :△△parse△△[0ミリ秒]</t>
  </si>
  <si>
    <t>2017/09/25 17:04:39.116 D 21348 AUE31814 DBCacheUtil 00104D:Trace:groupId=BASE_SERVICE_TIME;keyword=CHECK_FLG;value=0</t>
  </si>
  <si>
    <t>2017/09/25 17:04:39.116 D 21348 AUE31814 RegDiffIndustriesApplServlet :▽▽validate▽▽</t>
  </si>
  <si>
    <t>2017/09/25 17:04:39.116 I 21348 AUE31814 RegDiffIndustriesApplServlet 01001I:Parameter Error</t>
  </si>
  <si>
    <t>2017/09/25 17:04:39.116 I 21348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</si>
  <si>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17:04:39.116 I 21348 AUE31814 RegDiffIndustriesApplServlet 00002I:Service End</t>
  </si>
  <si>
    <t>2017/09/25 17:05:31.889 I 21347          RegDiffIndustriesApplServlet 00001I:Service Start</t>
  </si>
  <si>
    <t>2017/09/25 17:05:31.889 D 21347          RegDiffIndustriesApplServlet :▽▽parse▽▽</t>
  </si>
  <si>
    <t>2017/09/25 17:05:31.889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171136&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0123456789012345678901234567890123456789012345678901234567890123456789012345678901234567890123456789012345678901234567890123456789012345678901234567890123456789012345678901234567890&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</si>
  <si>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17:05:31.889 D 21347          RegDiffIndustriesApplServlet :△△parse△△[0ミリ秒]</t>
  </si>
  <si>
    <t>2017/09/25 17:05:31.889 D 21347 AUE31814 DBCacheUtil 00104D:Trace:groupId=BASE_SERVICE_TIME;keyword=CHECK_FLG;value=0</t>
  </si>
  <si>
    <t>2017/09/25 17:05:31.889 D 21347 AUE31814 RegDiffIndustriesApplServlet :▽▽validate▽▽</t>
  </si>
  <si>
    <t>2017/09/25 17:05:31.899 I 21347 AUE31814 RegDiffIndustriesApplServlet 01001I:Parameter Error</t>
  </si>
  <si>
    <t>2017/09/25 17:05:31.899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</si>
  <si>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17:05:31.899 I 21347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</si>
  <si>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33&lt;/different-appl-mng-no&gt;&lt;introduction-no&gt;IG0000033&lt;/introduction-no&gt;&lt;/reg-info&gt;&lt;/api-prm&gt;&lt;/api-response&gt;</t>
  </si>
  <si>
    <t>2017/09/25 17:06:31.490 I 21345          RegDiffIndustriesApplServlet 00001I:Service Start</t>
  </si>
  <si>
    <t>2017/09/25 17:06:31.490 D 21345          RegDiffIndustriesApplServlet :▽▽parse▽▽</t>
  </si>
  <si>
    <t>2017/09/25 17:06:31.490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171137&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-20&gt;備考20&lt;/remarks-20&gt;&lt;/more-agency-info&gt;&lt;other-info&gt;&lt;special&gt;特記欄００１&lt;/special&gt;&lt;/other-info&gt;&lt;/agency-info&gt;&lt;proof-info&gt;&lt;member-cd&gt;A1701001&lt;/member-cd&gt;&lt;cust-kbn&gt;1&lt;/cust-kbn&gt;&lt;/proof-info&gt;&lt;/api-prm&gt;&lt;/api-request&gt;</t>
  </si>
  <si>
    <t>2017/09/25 17:06:31.500 D 21345          RegDiffIndustriesApplServlet :△△parse△△[10ミリ秒]</t>
  </si>
  <si>
    <t>2017/09/25 17:06:31.500 D 21345 AUE31814 DBCacheUtil 00104D:Trace:groupId=BASE_SERVICE_TIME;keyword=CHECK_FLG;value=0</t>
  </si>
  <si>
    <t>2017/09/25 17:06:31.500 D 21345 AUE31814 RegDiffIndustriesApplServlet :▽▽validate▽▽</t>
  </si>
  <si>
    <t>2017/09/25 17:06:31.500 D 21345 AUE31814 RegDiffIndustriesApplServlet :△△validate△△[0ミリ秒]</t>
  </si>
  <si>
    <t>2017/09/25 17:06:31.500 D 21345 AUE31814 DBCacheUtil 00104D:Trace:groupId=API_VERSION;keyword=/fmc-on/bbc-appl-api/diffindustappl/reg_diff_industries_appl;value=10</t>
  </si>
  <si>
    <t>2017/09/25 17:06:31.500 D 21345 AUE31814 RegDiffIndustriesApplServlet :▽▽業務ロジック▽▽</t>
  </si>
  <si>
    <t>2017/09/25 17:06:31.500 D 21345 AUE31814 RegDiffIndustriesApplBL 00104D:Trace:[setSequenceDao開始]</t>
  </si>
  <si>
    <t>2017/09/25 17:06:31.500 D 21345 AUE31814 RegDiffIndustriesApplBL 00104D:Trace:[setSequenceDao終了]</t>
  </si>
  <si>
    <t>2017/09/25 17:06:31.500 D 21345 AUE31814 RegDiffIndustriesApplBL 00104D:Trace:[setdApplDiffIndustryInfoApplDao開始]</t>
  </si>
  <si>
    <t>2017/09/25 17:06:31.500 D 21345 AUE31814 RegDiffIndustriesApplBL 00104D:Trace:[setdApplDiffIndustryInfoApplDao終了]</t>
  </si>
  <si>
    <t>2017/09/25 17:06:31.500 D 21345 AUE31814 RegDiffIndustriesApplBL 00104D:Trace:[execute開始]</t>
  </si>
  <si>
    <t>2017/09/25 17:06:31.500 D 21345 AUE31814 RegDiffIndustriesApplBL 00104D:Trace:[traceRequest開始]</t>
  </si>
  <si>
    <t>2017/09/25 17:06:31.500 D 21345 AUE31814 RegDiffIndustriesApplBL 00104D:Trace:au代理店コード：E845001</t>
  </si>
  <si>
    <t>2017/09/25 17:06:31.500 D 21345 AUE31814 RegDiffIndustriesApplBL 00104D:Trace: 申込押下ボタン：8</t>
  </si>
  <si>
    <t>2017/09/25 17:06:31.500 D 21345 AUE31814 RegDiffIndustriesApplBL 00104D:Trace: 店名：Ｅ８４５００１</t>
  </si>
  <si>
    <t>2017/09/25 17:06:31.500 D 21345 AUE31814 RegDiffIndustriesApplBL 00104D:Trace: 担当者名：ＯＲＡＮＧＥ担当者</t>
  </si>
  <si>
    <t>2017/09/25 17:06:31.500 D 21345 AUE31814 RegDiffIndustriesApplBL 00104D:Trace: 担当者名(名)：null</t>
  </si>
  <si>
    <t>2017/09/25 17:06:31.500 D 21345 AUE31814 RegDiffIndustriesApplBL 00104D:Trace: 電話番号：null</t>
  </si>
  <si>
    <t>2017/09/25 17:06:31.500 D 21345 AUE31814 RegDiffIndustriesApplBL 00104D:Trace: 申込年月日：20170920</t>
  </si>
  <si>
    <t>2017/09/25 17:06:31.500 D 21345 AUE31814 RegDiffIndustriesApplBL 00104D:Trace: 申込時刻：123456</t>
  </si>
  <si>
    <t>2017/09/25 17:06:31.500 D 21345 AUE31814 RegDiffIndustriesApplBL 00104D:Trace: 事業者コード：17110</t>
  </si>
  <si>
    <t>2017/09/25 17:06:31.500 D 21345 AUE31814 RegDiffIndustriesApplBL 00104D:Trace: 商品コード：171137</t>
  </si>
  <si>
    <t>2017/09/25 17:06:31.500 D 21345 AUE31814 RegDiffIndustriesApplBL 00104D:Trace: 漢字：ＦＭＣ試験　太郎</t>
  </si>
  <si>
    <t>2017/09/25 17:06:31.500 D 21345 AUE31814 RegDiffIndustriesApplBL 00104D:Trace: カナ：ＦＭＣシケン　タロウ</t>
  </si>
  <si>
    <t>2017/09/25 17:06:31.500 D 21345 AUE31814 RegDiffIndustriesApplBL 00104D:Trace: 自宅・勤務先電話番号：0312345678</t>
  </si>
  <si>
    <t>2017/09/25 17:06:31.500 D 21345 AUE31814 RegDiffIndustriesApplBL 00104D:Trace: 携帯電話番号：null</t>
  </si>
  <si>
    <t>2017/09/25 17:06:31.500 D 21345 AUE31814 RegDiffIndustriesApplBL 00104D:Trace: 郵便番号：1080035</t>
  </si>
  <si>
    <t>2017/09/25 17:06:31.500 D 21345 AUE31814 RegDiffIndustriesApplBL 00104D:Trace: 住所：東京都港区白金１丁目</t>
  </si>
  <si>
    <t>2017/09/25 17:06:31.500 D 21345 AUE31814 RegDiffIndustriesApplBL 00104D:Trace: 住居区分：0</t>
  </si>
  <si>
    <t>2017/09/25 17:06:31.500 D 21345 AUE31814 RegDiffIndustriesApplBL 00104D:Trace: 所有区分：1</t>
  </si>
  <si>
    <t>2017/09/25 17:06:31.500 D 21345 AUE31814 RegDiffIndustriesApplBL 00104D:Trace: 連絡希望曜日：0</t>
  </si>
  <si>
    <t>2017/09/25 17:06:31.500 D 21345 AUE31814 RegDiffIndustriesApplBL 00104D:Trace: 連絡希望時間帯：1</t>
  </si>
  <si>
    <t>2017/09/25 17:06:31.500 D 21345 AUE31814 RegDiffIndustriesApplBL 00104D:Trace: お客様ID：null</t>
  </si>
  <si>
    <t>2017/09/25 17:06:31.500 D 21345 AUE31814 RegDiffIndustriesApplBL 00104D:Trace: 備考1：備考1</t>
  </si>
  <si>
    <t>2017/09/25 17:06:31.500 D 21345 AUE31814 RegDiffIndustriesApplBL 00104D:Trace: 備考2：備考2</t>
  </si>
  <si>
    <t>2017/09/25 17:06:31.500 D 21345 AUE31814 RegDiffIndustriesApplBL 00104D:Trace: 備考3：備考3</t>
  </si>
  <si>
    <t>2017/09/25 17:06:31.500 D 21345 AUE31814 RegDiffIndustriesApplBL 00104D:Trace: 備考4：備考4</t>
  </si>
  <si>
    <t>2017/09/25 17:06:31.500 D 21345 AUE31814 RegDiffIndustriesApplBL 00104D:Trace: 備考5：備考5</t>
  </si>
  <si>
    <t>2017/09/25 17:06:31.500 D 21345 AUE31814 RegDiffIndustriesApplBL 00104D:Trace: 備考6：備考6</t>
  </si>
  <si>
    <t>2017/09/25 17:06:31.500 D 21345 AUE31814 RegDiffIndustriesApplBL 00104D:Trace: 備考7：備考7</t>
  </si>
  <si>
    <t>2017/09/25 17:06:31.500 D 21345 AUE31814 RegDiffIndustriesApplBL 00104D:Trace: 備考8：備考8</t>
  </si>
  <si>
    <t>2017/09/25 17:06:31.500 D 21345 AUE31814 RegDiffIndustriesApplBL 00104D:Trace: 備考9：備考9</t>
  </si>
  <si>
    <t>2017/09/25 17:06:31.500 D 21345 AUE31814 RegDiffIndustriesApplBL 00104D:Trace: 備考10：備考10</t>
  </si>
  <si>
    <t>2017/09/25 17:06:31.500 D 21345 AUE31814 RegDiffIndustriesApplBL 00104D:Trace: 備考11：備考11</t>
  </si>
  <si>
    <t>2017/09/25 17:06:31.500 D 21345 AUE31814 RegDiffIndustriesApplBL 00104D:Trace: 備考12：備考12</t>
  </si>
  <si>
    <t>2017/09/25 17:06:31.500 D 21345 AUE31814 RegDiffIndustriesApplBL 00104D:Trace: 備考13：備考13</t>
  </si>
  <si>
    <t>2017/09/25 17:06:31.500 D 21345 AUE31814 RegDiffIndustriesApplBL 00104D:Trace: 備考14：備考14</t>
  </si>
  <si>
    <t>2017/09/25 17:06:31.500 D 21345 AUE31814 RegDiffIndustriesApplBL 00104D:Trace: 備考15：備考15</t>
  </si>
  <si>
    <t>2017/09/25 17:06:31.500 D 21345 AUE31814 RegDiffIndustriesApplBL 00104D:Trace: 備考16：備考16</t>
  </si>
  <si>
    <t>2017/09/25 17:06:31.500 D 21345 AUE31814 RegDiffIndustriesApplBL 00104D:Trace: 備考17：備考17</t>
  </si>
  <si>
    <t>2017/09/25 17:06:31.500 D 21345 AUE31814 RegDiffIndustriesApplBL 00104D:Trace: 備考18：備考18</t>
  </si>
  <si>
    <t>2017/09/25 17:06:31.500 D 21345 AUE31814 RegDiffIndustriesApplBL 00104D:Trace: 備考19：null</t>
  </si>
  <si>
    <t>2017/09/25 17:06:31.500 D 21345 AUE31814 RegDiffIndustriesApplBL 00104D:Trace: 備考20：備考20</t>
  </si>
  <si>
    <t>2017/09/25 17:06:31.500 D 21345 AUE31814 RegDiffIndustriesApplBL 00104D:Trace: 特記：特記欄００１</t>
  </si>
  <si>
    <t>2017/09/25 17:06:31.500 D 21345 AUE31814 RegDiffIndustriesApplBL 00104D:Trace: au加入者コード:A1701001</t>
  </si>
  <si>
    <t>2017/09/25 17:06:31.500 D 21345 AUE31814 RegDiffIndustriesApplBL 00104D:Trace: 基本契約番号:null</t>
  </si>
  <si>
    <t>2017/09/25 17:06:31.500 I 21345 AUE31814 RegDiffIndustriesApplBL 00105I:Trace:&lt;CI&gt; 顧客区分：1</t>
  </si>
  <si>
    <t>2017/09/25 17:06:31.500 D 21345 AUE31814 RegDiffIndustriesApplBL 00104D:Trace:[traceRequest終了]</t>
  </si>
  <si>
    <t>2017/09/25 17:06:31.500 D 21345 AUE31814 RegDiffIndustriesApplBL 00104D:Trace:[checkByte開始]</t>
  </si>
  <si>
    <t>2017/09/25 17:06:31.500 I 21345 AUE31814 RegDiffIndustriesApplBL 00105I:Trace:&lt;CI&gt;errByteMessage.size =「0」</t>
  </si>
  <si>
    <t>2017/09/25 17:06:31.500 D 21345 AUE31814 RegDiffIndustriesApplBL 00104D:Trace:[checkByte終了]</t>
  </si>
  <si>
    <t>2017/09/25 17:06:31.500 D 21345 AUE31814 RegDiffIndustriesApplBL 00104D:Trace:[getDiffIndustryApplMngNo開始]</t>
  </si>
  <si>
    <t>2017/09/25 17:06:31.530 I 21345 AUE31814 RegDiffIndustriesApplBL 00101I:SQL:&lt;CI&gt;SELECT SQ_DIFF_INDUSTRY_APPL_MNG_NO.NEXTVAL FROM DUAL</t>
  </si>
  <si>
    <t>2017/09/25 17:06:31.530 D 21345 AUE31814 RegDiffIndustriesApplBL 00104D:Trace:異業種商材申込管理番号：33</t>
  </si>
  <si>
    <t>2017/09/25 17:06:31.530 D 21345 AUE31814 RegDiffIndustriesApplBL 00104D:Trace:[getDiffIndustryApplMngNo終了]</t>
  </si>
  <si>
    <t>2017/09/25 17:06:31.530 D 21345 AUE31814 RegDiffIndustriesApplBL 00104D:Trace:[getDiffIndustryIntroductionNo開始]</t>
  </si>
  <si>
    <t>2017/09/25 17:06:31.530 D 21345 AUE31814 RegDiffIndustriesApplBL 00104D:Trace:++プロパティファイルより取得した紹介票管理番号取得リトライ回数：4</t>
  </si>
  <si>
    <t>2017/09/25 17:06:31.530 D 21345 AUE31814 RegDiffIndustriesApplBL 00104D:Trace:[getSqDiffIndustryIntroductionNo開始]</t>
  </si>
  <si>
    <t>2017/09/25 17:06:31.560 I 21345 AUE31814 RegDiffIndustriesApplBL 00101I:SQL:&lt;CI&gt;SELECT SQ_DIFF_INDUSTRY_INTRODUCTION_NO.NEXTVAL FROM DUAL</t>
  </si>
  <si>
    <t>2017/09/25 17:06:31.560 D 21345 AUE31814 RegDiffIndustriesApplBL 00104D:Trace:[getSqDiffIndustryIntroductionNo終了]</t>
  </si>
  <si>
    <t>2017/09/25 17:06:31.560 D 21345 AUE31814 RegDiffIndustriesApplBL 00104D:Trace:[chkDiffIndustryIntroductionNo開始]</t>
  </si>
  <si>
    <t>2017/09/25 17:06:31.590 I 21345 AUE31814 RegDiffIndustriesApplBL 00101I:SQL:&lt;CI&gt;SELECT     count(*) FROM     D_APPL_DIFF_INDUSTRY_INFO d WHERE     d.INTRODUCTION_NO = 'IG0000033'  AND     d.BATCH_FILE_IN_STS in ('0','1')</t>
  </si>
  <si>
    <t>2017/09/25 17:06:31.590 D 21345 AUE31814 RegDiffIndustriesApplBL 00104D:Trace:[chkDiffIndustryIntroductionNo終了]</t>
  </si>
  <si>
    <t>2017/09/25 17:06:31.590 D 21345 AUE31814 RegDiffIndustriesApplBL 00104D:Trace:++紹介票管理番号を取得して完了。</t>
  </si>
  <si>
    <t>2017/09/25 17:06:31.590 D 21345 AUE31814 RegDiffIndustriesApplBL 00104D:Trace:紹介票管理番号：IG0000033</t>
  </si>
  <si>
    <t>2017/09/25 17:06:31.590 D 21345 AUE31814 RegDiffIndustriesApplBL 00104D:Trace:[getDiffIndustryIntroductionNo終了]</t>
  </si>
  <si>
    <t>2017/09/25 17:06:31.590 D 21345 AUE31814 RegDiffIndustriesApplBL 00104D:Trace:[insertDiffIndustryInfo開始]</t>
  </si>
  <si>
    <t>2017/09/25 17:06:31.590 D 21345 AUE31814 RegDiffIndustriesApplBL 00104D:Trace:[insertDiffIndustryInfo終了]</t>
  </si>
  <si>
    <t>2017/09/25 17:06:31.620 I 21345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remarks_16, remarks_17, remarks_18, remarks_20) VALUES (33, 'ＯＲＡＮＧＥ担当者', 'A1701001', '0', '123456', '特記欄００１', '1', 'ＦＭＣ試験　太郎', 'ＦＭＣシケン　タロウ', '1080035', '東京都港区白金１丁目', 602, '20170920', 'AUE31814', '8', 'E845001', 'Ｅ８４５００１', '0', '2017-09-25', 'AUE31814', '2017-09-25', 'AUE31814', 'IG0000033', '0', '1', '0312345678', '備考1', '備考2', '備考3', '備考4', '備考5', '備考6', '1', '17110', '171137', '備考7', '備考8', '備考9', '備考10', '備考11', '備考12', '備考13', '備考14', '備考15', '備考16', '備考17', '備考18', '備考20')</t>
  </si>
  <si>
    <t>2017/09/25 17:06:31.620 D 21345 AUE31814 RegDiffIndustriesApplBL 00104D:Trace:[setResponseObjectChkPass開始]</t>
  </si>
  <si>
    <t>2017/09/25 17:06:31.620 D 21345 AUE31814 RegDiffIndustriesApplBL 00104D:Trace:[setResponseObjectChkPass終了]</t>
  </si>
  <si>
    <t>2017/09/25 17:06:31.620 D 21345 AUE31814 RegDiffIndustriesApplBL 00104D:Trace:[traceResponse開始]</t>
  </si>
  <si>
    <t>2017/09/25 17:06:31.620 D 21345 AUE31814 RegDiffIndustriesApplBL 00104D:Trace:個別結果コード0000</t>
  </si>
  <si>
    <t>2017/09/25 17:06:31.620 D 21345 AUE31814 RegDiffIndustriesApplBL 00104D:Trace:異業種申込管理番号33</t>
  </si>
  <si>
    <t>2017/09/25 17:06:31.620 D 21345 AUE31814 RegDiffIndustriesApplBL 00104D:Trace:紹介票管理番号IG0000033</t>
  </si>
  <si>
    <t>2017/09/25 17:06:31.620 D 21345 AUE31814 RegDiffIndustriesApplBL 00104D:Trace:[traceResponse終了]</t>
  </si>
  <si>
    <t>2017/09/25 17:06:31.620 D 21345 AUE31814 RegDiffIndustriesApplBL 00104D:Trace:[execute終了]</t>
  </si>
  <si>
    <t>2017/09/25 17:06:31.620 D 21345 AUE31814 RegDiffIndustriesApplServlet :△△業務ロジック△△[120ミリ秒]</t>
  </si>
  <si>
    <t>2017/09/25 17:06:31.620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33&lt;/different-appl-mng-no&gt;&lt;introduction-no&gt;IG0000033&lt;/introduction-no&gt;&lt;/reg-info&gt;&lt;/api-prm&gt;&lt;/api-response&gt;</t>
  </si>
  <si>
    <t>2017/09/25 17:06:31.620 I 21345 AUE31814 RegDiffIndustriesApplServlet 00002I:Service End</t>
  </si>
  <si>
    <t>BSS1=# select * from D_APPL_DIFF_INDUSTRY_INFO where carrier_cd='17110' and shouhin_cd='171137';</t>
  </si>
  <si>
    <t>different_appl_mng_no | 33</t>
  </si>
  <si>
    <t>introduction_no       | IG0000033</t>
  </si>
  <si>
    <t>shouhin_cd            | 171137</t>
  </si>
  <si>
    <t>rec_entry_dtime       | 25-SEP-17 17:06:31.59</t>
  </si>
  <si>
    <t>rec_update_dtime      | 25-SEP-17 17:06:31.59</t>
  </si>
  <si>
    <t>remarks_19            | (null)</t>
  </si>
  <si>
    <t>2017/09/25 17:07:38.361 I 21347          RegDiffIndustriesApplServlet 00001I:Service Start</t>
  </si>
  <si>
    <t>2017/09/25 17:07:38.361 D 21347          RegDiffIndustriesApplServlet :▽▽parse▽▽</t>
  </si>
  <si>
    <t>2017/09/25 17:07:38.361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171138&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lt;/remarks-19&gt;&lt;remarks-20&gt;備考20&lt;/remarks-20&gt;&lt;/more-agency-info&gt;&lt;other-info&gt;&lt;special&gt;特記欄００１&lt;/special&gt;&lt;/other-info&gt;&lt;/agency-info&gt;&lt;proof-info&gt;&lt;member-cd&gt;A1701001&lt;/member-cd&gt;&lt;cust-kbn&gt;1&lt;/cust-kbn&gt;&lt;/proof-info&gt;&lt;/api-prm&gt;&lt;/api-request&gt;</t>
  </si>
  <si>
    <t>2017/09/25 17:07:38.371 D 21347          RegDiffIndustriesApplServlet :△△parse△△[10ミリ秒]</t>
  </si>
  <si>
    <t>2017/09/25 17:07:38.371 D 21347 AUE31814 DBCacheUtil 00104D:Trace:groupId=BASE_SERVICE_TIME;keyword=CHECK_FLG;value=0</t>
  </si>
  <si>
    <t>2017/09/25 17:07:38.371 D 21347 AUE31814 RegDiffIndustriesApplServlet :▽▽validate▽▽</t>
  </si>
  <si>
    <t>2017/09/25 17:07:38.371 I 21347 AUE31814 RegDiffIndustriesApplServlet 01001I:Parameter Error</t>
  </si>
  <si>
    <t>Message    :&lt;CI&gt;String: ',' does not match pattern for type of remarks-19 element in type of more-agency-info element in type of agency-info element in type of api-prm element in type of element api-request in namespace http://kddi.com/smc/fmconline/bbcappl/schema/reg_diff_industries_appl_request</t>
  </si>
  <si>
    <t>2017/09/25 17:07:38.371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</si>
  <si>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17:07:38.371 I 21347 AUE31814 RegDiffIndustriesApplServlet 00002I:Service End</t>
  </si>
  <si>
    <t>2017/09/25 17:08:42.933 I 21345          RegDiffIndustriesApplServlet 00001I:Service Start</t>
  </si>
  <si>
    <t>2017/09/25 17:08:42.943 D 21345          RegDiffIndustriesApplServlet :▽▽parse▽▽</t>
  </si>
  <si>
    <t>2017/09/25 17:08:42.943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171139&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012345678901234567890123456789012345678901234567890123456789012345678901234567890123456789012345678901234567890123456789012345678901234567890123456789012345678901234567890123456789°&lt;/remarks-19&gt;&lt;remarks-20&gt;備考20&lt;/remarks-20&gt;&lt;/more-agency-info&gt;&lt;other-info&gt;&lt;special&gt;特記欄００１&lt;/special&gt;&lt;/other-info&gt;&lt;/agency-info&gt;&lt;proof-info&gt;&lt;member-cd&gt;A1701001&lt;/member-cd&gt;&lt;cust-kbn&gt;1&lt;/cust-kbn&gt;&lt;/proof-info&gt;&lt;/api-prm&gt;&lt;/api-request&gt;</t>
  </si>
  <si>
    <t>2017/09/25 17:08:42.943 D 21345          RegDiffIndustriesApplServlet :△△parse△△[0ミリ秒]</t>
  </si>
  <si>
    <t>2017/09/25 17:08:42.943 D 21345 AUE31814 DBCacheUtil 00104D:Trace:groupId=BASE_SERVICE_TIME;keyword=CHECK_FLG;value=0</t>
  </si>
  <si>
    <t>2017/09/25 17:08:42.943 D 21345 AUE31814 RegDiffIndustriesApplServlet :▽▽validate▽▽</t>
  </si>
  <si>
    <t>2017/09/25 17:08:42.943 I 21345 AUE31814 RegDiffIndustriesApplServlet 01001I:Parameter Error</t>
  </si>
  <si>
    <t>2017/09/25 17:08:42.943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</si>
  <si>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17:08:42.943 I 21345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</si>
  <si>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34&lt;/different-appl-mng-no&gt;&lt;introduction-no&gt;IG0000034&lt;/introduction-no&gt;&lt;/reg-info&gt;&lt;/api-prm&gt;&lt;/api-response&gt;</t>
  </si>
  <si>
    <t>2017/09/25 17:09:34.464 I 21347          RegDiffIndustriesApplServlet 00001I:Service Start</t>
  </si>
  <si>
    <t>2017/09/25 17:09:34.464 D 21347          RegDiffIndustriesApplServlet :▽▽parse▽▽</t>
  </si>
  <si>
    <t>2017/09/25 17:09:34.464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171140&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more-agency-info&gt;&lt;other-info&gt;&lt;special&gt;特記欄００１&lt;/special&gt;&lt;/other-info&gt;&lt;/agency-info&gt;&lt;proof-info&gt;&lt;member-cd&gt;A1701001&lt;/member-cd&gt;&lt;cust-kbn&gt;1&lt;/cust-kbn&gt;&lt;/proof-info&gt;&lt;/api-prm&gt;&lt;/api-request&gt;</t>
  </si>
  <si>
    <t>2017/09/25 17:09:34.464 D 21347          RegDiffIndustriesApplServlet :△△parse△△[0ミリ秒]</t>
  </si>
  <si>
    <t>2017/09/25 17:09:34.464 D 21347 AUE31814 DBCacheUtil 00104D:Trace:groupId=BASE_SERVICE_TIME;keyword=CHECK_FLG;value=0</t>
  </si>
  <si>
    <t>2017/09/25 17:09:34.464 D 21347 AUE31814 RegDiffIndustriesApplServlet :▽▽validate▽▽</t>
  </si>
  <si>
    <t>2017/09/25 17:09:34.464 D 21347 AUE31814 RegDiffIndustriesApplServlet :△△validate△△[0ミリ秒]</t>
  </si>
  <si>
    <t>2017/09/25 17:09:34.464 D 21347 AUE31814 DBCacheUtil 00104D:Trace:groupId=API_VERSION;keyword=/fmc-on/bbc-appl-api/diffindustappl/reg_diff_industries_appl;value=10</t>
  </si>
  <si>
    <t>2017/09/25 17:09:34.464 D 21347 AUE31814 RegDiffIndustriesApplServlet :▽▽業務ロジック▽▽</t>
  </si>
  <si>
    <t>2017/09/25 17:09:34.464 D 21347 AUE31814 RegDiffIndustriesApplBL 00104D:Trace:[setSequenceDao開始]</t>
  </si>
  <si>
    <t>2017/09/25 17:09:34.464 D 21347 AUE31814 RegDiffIndustriesApplBL 00104D:Trace:[setSequenceDao終了]</t>
  </si>
  <si>
    <t>2017/09/25 17:09:34.464 D 21347 AUE31814 RegDiffIndustriesApplBL 00104D:Trace:[setdApplDiffIndustryInfoApplDao開始]</t>
  </si>
  <si>
    <t>2017/09/25 17:09:34.464 D 21347 AUE31814 RegDiffIndustriesApplBL 00104D:Trace:[setdApplDiffIndustryInfoApplDao終了]</t>
  </si>
  <si>
    <t>2017/09/25 17:09:34.464 D 21347 AUE31814 RegDiffIndustriesApplBL 00104D:Trace:[execute開始]</t>
  </si>
  <si>
    <t>2017/09/25 17:09:34.464 D 21347 AUE31814 RegDiffIndustriesApplBL 00104D:Trace:[traceRequest開始]</t>
  </si>
  <si>
    <t>2017/09/25 17:09:34.464 D 21347 AUE31814 RegDiffIndustriesApplBL 00104D:Trace:au代理店コード：E845001</t>
  </si>
  <si>
    <t>2017/09/25 17:09:34.464 D 21347 AUE31814 RegDiffIndustriesApplBL 00104D:Trace: 申込押下ボタン：8</t>
  </si>
  <si>
    <t>2017/09/25 17:09:34.464 D 21347 AUE31814 RegDiffIndustriesApplBL 00104D:Trace: 店名：Ｅ８４５００１</t>
  </si>
  <si>
    <t>2017/09/25 17:09:34.464 D 21347 AUE31814 RegDiffIndustriesApplBL 00104D:Trace: 担当者名：ＯＲＡＮＧＥ担当者</t>
  </si>
  <si>
    <t>2017/09/25 17:09:34.464 D 21347 AUE31814 RegDiffIndustriesApplBL 00104D:Trace: 担当者名(名)：null</t>
  </si>
  <si>
    <t>2017/09/25 17:09:34.464 D 21347 AUE31814 RegDiffIndustriesApplBL 00104D:Trace: 電話番号：null</t>
  </si>
  <si>
    <t>2017/09/25 17:09:34.464 D 21347 AUE31814 RegDiffIndustriesApplBL 00104D:Trace: 申込年月日：20170920</t>
  </si>
  <si>
    <t>2017/09/25 17:09:34.464 D 21347 AUE31814 RegDiffIndustriesApplBL 00104D:Trace: 申込時刻：123456</t>
  </si>
  <si>
    <t>2017/09/25 17:09:34.464 D 21347 AUE31814 RegDiffIndustriesApplBL 00104D:Trace: 事業者コード：17110</t>
  </si>
  <si>
    <t>2017/09/25 17:09:34.464 D 21347 AUE31814 RegDiffIndustriesApplBL 00104D:Trace: 商品コード：171140</t>
  </si>
  <si>
    <t>2017/09/25 17:09:34.464 D 21347 AUE31814 RegDiffIndustriesApplBL 00104D:Trace: 漢字：ＦＭＣ試験　太郎</t>
  </si>
  <si>
    <t>2017/09/25 17:09:34.464 D 21347 AUE31814 RegDiffIndustriesApplBL 00104D:Trace: カナ：ＦＭＣシケン　タロウ</t>
  </si>
  <si>
    <t>2017/09/25 17:09:34.464 D 21347 AUE31814 RegDiffIndustriesApplBL 00104D:Trace: 自宅・勤務先電話番号：0312345678</t>
  </si>
  <si>
    <t>2017/09/25 17:09:34.464 D 21347 AUE31814 RegDiffIndustriesApplBL 00104D:Trace: 携帯電話番号：null</t>
  </si>
  <si>
    <t>2017/09/25 17:09:34.464 D 21347 AUE31814 RegDiffIndustriesApplBL 00104D:Trace: 郵便番号：1080035</t>
  </si>
  <si>
    <t>2017/09/25 17:09:34.464 D 21347 AUE31814 RegDiffIndustriesApplBL 00104D:Trace: 住所：東京都港区白金１丁目</t>
  </si>
  <si>
    <t>2017/09/25 17:09:34.464 D 21347 AUE31814 RegDiffIndustriesApplBL 00104D:Trace: 住居区分：0</t>
  </si>
  <si>
    <t>2017/09/25 17:09:34.464 D 21347 AUE31814 RegDiffIndustriesApplBL 00104D:Trace: 所有区分：1</t>
  </si>
  <si>
    <t>2017/09/25 17:09:34.464 D 21347 AUE31814 RegDiffIndustriesApplBL 00104D:Trace: 連絡希望曜日：0</t>
  </si>
  <si>
    <t>2017/09/25 17:09:34.464 D 21347 AUE31814 RegDiffIndustriesApplBL 00104D:Trace: 連絡希望時間帯：1</t>
  </si>
  <si>
    <t>2017/09/25 17:09:34.464 D 21347 AUE31814 RegDiffIndustriesApplBL 00104D:Trace: お客様ID：null</t>
  </si>
  <si>
    <t>2017/09/25 17:09:34.464 D 21347 AUE31814 RegDiffIndustriesApplBL 00104D:Trace: 備考1：備考1</t>
  </si>
  <si>
    <t>2017/09/25 17:09:34.464 D 21347 AUE31814 RegDiffIndustriesApplBL 00104D:Trace: 備考2：備考2</t>
  </si>
  <si>
    <t>2017/09/25 17:09:34.464 D 21347 AUE31814 RegDiffIndustriesApplBL 00104D:Trace: 備考3：備考3</t>
  </si>
  <si>
    <t>2017/09/25 17:09:34.464 D 21347 AUE31814 RegDiffIndustriesApplBL 00104D:Trace: 備考4：備考4</t>
  </si>
  <si>
    <t>2017/09/25 17:09:34.464 D 21347 AUE31814 RegDiffIndustriesApplBL 00104D:Trace: 備考5：備考5</t>
  </si>
  <si>
    <t>2017/09/25 17:09:34.464 D 21347 AUE31814 RegDiffIndustriesApplBL 00104D:Trace: 備考6：備考6</t>
  </si>
  <si>
    <t>2017/09/25 17:09:34.464 D 21347 AUE31814 RegDiffIndustriesApplBL 00104D:Trace: 備考7：備考7</t>
  </si>
  <si>
    <t>2017/09/25 17:09:34.464 D 21347 AUE31814 RegDiffIndustriesApplBL 00104D:Trace: 備考8：備考8</t>
  </si>
  <si>
    <t>2017/09/25 17:09:34.464 D 21347 AUE31814 RegDiffIndustriesApplBL 00104D:Trace: 備考9：備考9</t>
  </si>
  <si>
    <t>2017/09/25 17:09:34.464 D 21347 AUE31814 RegDiffIndustriesApplBL 00104D:Trace: 備考10：備考10</t>
  </si>
  <si>
    <t>2017/09/25 17:09:34.464 D 21347 AUE31814 RegDiffIndustriesApplBL 00104D:Trace: 備考11：備考11</t>
  </si>
  <si>
    <t>2017/09/25 17:09:34.464 D 21347 AUE31814 RegDiffIndustriesApplBL 00104D:Trace: 備考12：備考12</t>
  </si>
  <si>
    <t>2017/09/25 17:09:34.464 D 21347 AUE31814 RegDiffIndustriesApplBL 00104D:Trace: 備考13：備考13</t>
  </si>
  <si>
    <t>2017/09/25 17:09:34.464 D 21347 AUE31814 RegDiffIndustriesApplBL 00104D:Trace: 備考14：備考14</t>
  </si>
  <si>
    <t>2017/09/25 17:09:34.464 D 21347 AUE31814 RegDiffIndustriesApplBL 00104D:Trace: 備考15：備考15</t>
  </si>
  <si>
    <t>2017/09/25 17:09:34.464 D 21347 AUE31814 RegDiffIndustriesApplBL 00104D:Trace: 備考16：備考16</t>
  </si>
  <si>
    <t>2017/09/25 17:09:34.464 D 21347 AUE31814 RegDiffIndustriesApplBL 00104D:Trace: 備考17：備考17</t>
  </si>
  <si>
    <t>2017/09/25 17:09:34.464 D 21347 AUE31814 RegDiffIndustriesApplBL 00104D:Trace: 備考18：備考18</t>
  </si>
  <si>
    <t>2017/09/25 17:09:34.464 D 21347 AUE31814 RegDiffIndustriesApplBL 00104D:Trace: 備考19：備考19</t>
  </si>
  <si>
    <t>2017/09/25 17:09:34.464 D 21347 AUE31814 RegDiffIndustriesApplBL 00104D:Trace: 備考20：null</t>
  </si>
  <si>
    <t>2017/09/25 17:09:34.464 D 21347 AUE31814 RegDiffIndustriesApplBL 00104D:Trace: 特記：特記欄００１</t>
  </si>
  <si>
    <t>2017/09/25 17:09:34.464 D 21347 AUE31814 RegDiffIndustriesApplBL 00104D:Trace: au加入者コード:A1701001</t>
  </si>
  <si>
    <t>2017/09/25 17:09:34.464 D 21347 AUE31814 RegDiffIndustriesApplBL 00104D:Trace: 基本契約番号:null</t>
  </si>
  <si>
    <t>2017/09/25 17:09:34.464 I 21347 AUE31814 RegDiffIndustriesApplBL 00105I:Trace:&lt;CI&gt; 顧客区分：1</t>
  </si>
  <si>
    <t>2017/09/25 17:09:34.464 D 21347 AUE31814 RegDiffIndustriesApplBL 00104D:Trace:[traceRequest終了]</t>
  </si>
  <si>
    <t>2017/09/25 17:09:34.464 D 21347 AUE31814 RegDiffIndustriesApplBL 00104D:Trace:[checkByte開始]</t>
  </si>
  <si>
    <t>2017/09/25 17:09:34.474 I 21347 AUE31814 RegDiffIndustriesApplBL 00105I:Trace:&lt;CI&gt;errByteMessage.size =「0」</t>
  </si>
  <si>
    <t>2017/09/25 17:09:34.474 D 21347 AUE31814 RegDiffIndustriesApplBL 00104D:Trace:[checkByte終了]</t>
  </si>
  <si>
    <t>2017/09/25 17:09:34.474 D 21347 AUE31814 RegDiffIndustriesApplBL 00104D:Trace:[getDiffIndustryApplMngNo開始]</t>
  </si>
  <si>
    <t>2017/09/25 17:09:34.494 I 21347 AUE31814 RegDiffIndustriesApplBL 00101I:SQL:&lt;CI&gt;SELECT SQ_DIFF_INDUSTRY_APPL_MNG_NO.NEXTVAL FROM DUAL</t>
  </si>
  <si>
    <t>2017/09/25 17:09:34.494 D 21347 AUE31814 RegDiffIndustriesApplBL 00104D:Trace:異業種商材申込管理番号：34</t>
  </si>
  <si>
    <t>2017/09/25 17:09:34.494 D 21347 AUE31814 RegDiffIndustriesApplBL 00104D:Trace:[getDiffIndustryApplMngNo終了]</t>
  </si>
  <si>
    <t>2017/09/25 17:09:34.494 D 21347 AUE31814 RegDiffIndustriesApplBL 00104D:Trace:[getDiffIndustryIntroductionNo開始]</t>
  </si>
  <si>
    <t>2017/09/25 17:09:34.494 D 21347 AUE31814 RegDiffIndustriesApplBL 00104D:Trace:++プロパティファイルより取得した紹介票管理番号取得リトライ回数：4</t>
  </si>
  <si>
    <t>2017/09/25 17:09:34.494 D 21347 AUE31814 RegDiffIndustriesApplBL 00104D:Trace:[getSqDiffIndustryIntroductionNo開始]</t>
  </si>
  <si>
    <t>2017/09/25 17:09:34.504 I 21347 AUE31814 RegDiffIndustriesApplBL 00101I:SQL:&lt;CI&gt;SELECT SQ_DIFF_INDUSTRY_INTRODUCTION_NO.NEXTVAL FROM DUAL</t>
  </si>
  <si>
    <t>2017/09/25 17:09:34.504 D 21347 AUE31814 RegDiffIndustriesApplBL 00104D:Trace:[getSqDiffIndustryIntroductionNo終了]</t>
  </si>
  <si>
    <t>2017/09/25 17:09:34.504 D 21347 AUE31814 RegDiffIndustriesApplBL 00104D:Trace:[chkDiffIndustryIntroductionNo開始]</t>
  </si>
  <si>
    <t>2017/09/25 17:09:34.514 I 21347 AUE31814 RegDiffIndustriesApplBL 00101I:SQL:&lt;CI&gt;SELECT     count(*) FROM     D_APPL_DIFF_INDUSTRY_INFO d WHERE     d.INTRODUCTION_NO = 'IG0000034'  AND     d.BATCH_FILE_IN_STS in ('0','1')</t>
  </si>
  <si>
    <t>2017/09/25 17:09:34.514 D 21347 AUE31814 RegDiffIndustriesApplBL 00104D:Trace:[chkDiffIndustryIntroductionNo終了]</t>
  </si>
  <si>
    <t>2017/09/25 17:09:34.524 D 21347 AUE31814 RegDiffIndustriesApplBL 00104D:Trace:++紹介票管理番号を取得して完了。</t>
  </si>
  <si>
    <t>2017/09/25 17:09:34.524 D 21347 AUE31814 RegDiffIndustriesApplBL 00104D:Trace:紹介票管理番号：IG0000034</t>
  </si>
  <si>
    <t>2017/09/25 17:09:34.524 D 21347 AUE31814 RegDiffIndustriesApplBL 00104D:Trace:[getDiffIndustryIntroductionNo終了]</t>
  </si>
  <si>
    <t>2017/09/25 17:09:34.524 D 21347 AUE31814 RegDiffIndustriesApplBL 00104D:Trace:[insertDiffIndustryInfo開始]</t>
  </si>
  <si>
    <t>2017/09/25 17:09:34.524 D 21347 AUE31814 RegDiffIndustriesApplBL 00104D:Trace:[insertDiffIndustryInfo終了]</t>
  </si>
  <si>
    <t>2017/09/25 17:09:34.534 I 21347 AUE31814 RegDiffIndustriesApplBL 00101I:SQL:&lt;CI&gt;INSERT INTO D_APPL_DIFF_INDUSTRY_INFO (different_appl_mng_no, operator_fmly_name, member_cd, building_type, appl_time, special, cust_kbn, cont_nm_kj, cont_nm_kn, use_post_cd, use_add,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remarks_16, remarks_17, remarks_18, remarks_19) VALUES (34, 'ＯＲＡＮＧＥ担当者', 'A1701001', '0', '123456', '特記欄００１', '1', 'ＦＭＣ試験　太郎', 'ＦＭＣシケン　タロウ', '1080035', '東京都港区白金１丁目', 602, '20170920', 'AUE31814', '8', 'E845001', 'Ｅ８４５００１', '0', '2017-09-25', 'AUE31814', '2017-09-25', 'AUE31814', 'IG0000034', '0', '1', '0312345678', '備考1', '備考2', '備考3', '備考4', '備考5', '備考6', '1', '17110', '171140', '備考7', '備考8', '備考9', '備考10', '備考11', '備考12', '備考13', '備考14', '備考15', '備考16', '備考17', '備考18', '備考19')</t>
  </si>
  <si>
    <t>2017/09/25 17:09:34.534 D 21347 AUE31814 RegDiffIndustriesApplBL 00104D:Trace:[setResponseObjectChkPass開始]</t>
  </si>
  <si>
    <t>2017/09/25 17:09:34.544 D 21347 AUE31814 RegDiffIndustriesApplBL 00104D:Trace:[setResponseObjectChkPass終了]</t>
  </si>
  <si>
    <t>2017/09/25 17:09:34.544 D 21347 AUE31814 RegDiffIndustriesApplBL 00104D:Trace:[traceResponse開始]</t>
  </si>
  <si>
    <t>2017/09/25 17:09:34.544 D 21347 AUE31814 RegDiffIndustriesApplBL 00104D:Trace:個別結果コード0000</t>
  </si>
  <si>
    <t>2017/09/25 17:09:34.544 D 21347 AUE31814 RegDiffIndustriesApplBL 00104D:Trace:異業種申込管理番号34</t>
  </si>
  <si>
    <t>2017/09/25 17:09:34.544 D 21347 AUE31814 RegDiffIndustriesApplBL 00104D:Trace:紹介票管理番号IG0000034</t>
  </si>
  <si>
    <t>2017/09/25 17:09:34.544 D 21347 AUE31814 RegDiffIndustriesApplBL 00104D:Trace:[traceResponse終了]</t>
  </si>
  <si>
    <t>2017/09/25 17:09:34.544 D 21347 AUE31814 RegDiffIndustriesApplBL 00104D:Trace:[execute終了]</t>
  </si>
  <si>
    <t>2017/09/25 17:09:34.544 D 21347 AUE31814 RegDiffIndustriesApplServlet :△△業務ロジック△△[80ミリ秒]</t>
  </si>
  <si>
    <t>2017/09/25 17:09:34.544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34&lt;/different-appl-mng-no&gt;&lt;introduction-no&gt;IG0000034&lt;/introduction-no&gt;&lt;/reg-info&gt;&lt;/api-prm&gt;&lt;/api-response&gt;</t>
  </si>
  <si>
    <t>2017/09/25 17:09:34.544 I 21347 AUE31814 RegDiffIndustriesApplServlet 00002I:Service End</t>
  </si>
  <si>
    <t>BSS1=# select * from D_APPL_DIFF_INDUSTRY_INFO where carrier_cd='17110' and shouhin_cd='171140';</t>
  </si>
  <si>
    <t>different_appl_mng_no | 34</t>
  </si>
  <si>
    <t>introduction_no       | IG0000034</t>
  </si>
  <si>
    <t>shouhin_cd            | 171140</t>
  </si>
  <si>
    <t>rec_entry_dtime       | 25-SEP-17 17:09:34.524</t>
  </si>
  <si>
    <t>rec_update_dtime      | 25-SEP-17 17:09:34.524</t>
  </si>
  <si>
    <t>remarks_20            | (null)</t>
  </si>
  <si>
    <t>2017/09/25 17:10:44.499 I 21345          RegDiffIndustriesApplServlet 00001I:Service Start</t>
  </si>
  <si>
    <t>2017/09/25 17:10:44.499 D 21345          RegDiffIndustriesApplServlet :▽▽parse▽▽</t>
  </si>
  <si>
    <t>2017/09/25 17:10:44.499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171141&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lt;/remarks-20&gt;&lt;/more-agency-info&gt;&lt;other-info&gt;&lt;special&gt;特記欄００１&lt;/special&gt;&lt;/other-info&gt;&lt;/agency-info&gt;&lt;proof-info&gt;&lt;member-cd&gt;A1701001&lt;/member-cd&gt;&lt;cust-kbn&gt;1&lt;/cust-kbn&gt;&lt;/proof-info&gt;&lt;/api-prm&gt;&lt;/api-request&gt;</t>
  </si>
  <si>
    <t>2017/09/25 17:10:44.509 D 21345          RegDiffIndustriesApplServlet :△△parse△△[10ミリ秒]</t>
  </si>
  <si>
    <t>2017/09/25 17:10:44.509 D 21345 AUE31814 DBCacheUtil 00104D:Trace:groupId=BASE_SERVICE_TIME;keyword=CHECK_FLG;value=0</t>
  </si>
  <si>
    <t>2017/09/25 17:10:44.509 D 21345 AUE31814 RegDiffIndustriesApplServlet :▽▽validate▽▽</t>
  </si>
  <si>
    <t>2017/09/25 17:10:44.509 I 21345 AUE31814 RegDiffIndustriesApplServlet 01001I:Parameter Error</t>
  </si>
  <si>
    <t>2017/09/25 17:10:44.509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</si>
  <si>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17:10:44.509 I 21345 AUE31814 RegDiffIndustriesApplServlet 00002I:Service End</t>
  </si>
  <si>
    <t>2017/09/25 17:11:45.804 I 21347          RegDiffIndustriesApplServlet 00001I:Service Start</t>
  </si>
  <si>
    <t>2017/09/25 17:11:45.804 D 21347          RegDiffIndustriesApplServlet :▽▽parse▽▽</t>
  </si>
  <si>
    <t>2017/09/25 17:11:45.804 I 21347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171142&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０１２３４５６７８９０１２３４５６７８９０１２３４５６７８９０１２３４５６７８９０１２３４５６７８０１２３４５６７８９０１２３４５６７８９０１２３４５６７８９０１２３４５６７８９０１&lt;/remarks-20&gt;&lt;/more-agency-info&gt;&lt;other-info&gt;&lt;special&gt;特記欄００１&lt;/special&gt;&lt;/other-info&gt;&lt;/agency-info&gt;&lt;proof-info&gt;&lt;member-cd&gt;A1701001&lt;/member-cd&gt;&lt;cust-kbn&gt;1&lt;/cust-kbn&gt;&lt;/proof-info&gt;&lt;/api-prm&gt;&lt;/api-request&gt;</t>
  </si>
  <si>
    <t>2017/09/25 17:11:45.804 D 21347          RegDiffIndustriesApplServlet :△△parse△△[0ミリ秒]</t>
  </si>
  <si>
    <t>2017/09/25 17:11:45.804 D 21347 AUE31814 DBCacheUtil 00104D:Trace:groupId=BASE_SERVICE_TIME;keyword=CHECK_FLG;value=0</t>
  </si>
  <si>
    <t>2017/09/25 17:11:45.804 D 21347 AUE31814 RegDiffIndustriesApplServlet :▽▽validate▽▽</t>
  </si>
  <si>
    <t>2017/09/25 17:11:45.804 D 21347 AUE31814 RegDiffIndustriesApplServlet :△△validate△△[0ミリ秒]</t>
  </si>
  <si>
    <t>2017/09/25 17:11:45.814 D 21347 AUE31814 DBCacheUtil 00104D:Trace:groupId=API_VERSION;keyword=/fmc-on/bbc-appl-api/diffindustappl/reg_diff_industries_appl;value=10</t>
  </si>
  <si>
    <t>2017/09/25 17:11:45.814 D 21347 AUE31814 RegDiffIndustriesApplServlet :▽▽業務ロジック▽▽</t>
  </si>
  <si>
    <t>2017/09/25 17:11:45.814 D 21347 AUE31814 RegDiffIndustriesApplBL 00104D:Trace:[setSequenceDao開始]</t>
  </si>
  <si>
    <t>2017/09/25 17:11:45.814 D 21347 AUE31814 RegDiffIndustriesApplBL 00104D:Trace:[setSequenceDao終了]</t>
  </si>
  <si>
    <t>2017/09/25 17:11:45.814 D 21347 AUE31814 RegDiffIndustriesApplBL 00104D:Trace:[setdApplDiffIndustryInfoApplDao開始]</t>
  </si>
  <si>
    <t>2017/09/25 17:11:45.814 D 21347 AUE31814 RegDiffIndustriesApplBL 00104D:Trace:[setdApplDiffIndustryInfoApplDao終了]</t>
  </si>
  <si>
    <t>2017/09/25 17:11:45.814 D 21347 AUE31814 RegDiffIndustriesApplBL 00104D:Trace:[execute開始]</t>
  </si>
  <si>
    <t>2017/09/25 17:11:45.814 D 21347 AUE31814 RegDiffIndustriesApplBL 00104D:Trace:[traceRequest開始]</t>
  </si>
  <si>
    <t>2017/09/25 17:11:45.814 D 21347 AUE31814 RegDiffIndustriesApplBL 00104D:Trace:au代理店コード：E845001</t>
  </si>
  <si>
    <t>2017/09/25 17:11:45.814 D 21347 AUE31814 RegDiffIndustriesApplBL 00104D:Trace: 申込押下ボタン：8</t>
  </si>
  <si>
    <t>2017/09/25 17:11:45.814 D 21347 AUE31814 RegDiffIndustriesApplBL 00104D:Trace: 店名：Ｅ８４５００１</t>
  </si>
  <si>
    <t>2017/09/25 17:11:45.814 D 21347 AUE31814 RegDiffIndustriesApplBL 00104D:Trace: 担当者名：ＯＲＡＮＧＥ担当者</t>
  </si>
  <si>
    <t>2017/09/25 17:11:45.814 D 21347 AUE31814 RegDiffIndustriesApplBL 00104D:Trace: 担当者名(名)：null</t>
  </si>
  <si>
    <t>2017/09/25 17:11:45.814 D 21347 AUE31814 RegDiffIndustriesApplBL 00104D:Trace: 電話番号：null</t>
  </si>
  <si>
    <t>2017/09/25 17:11:45.814 D 21347 AUE31814 RegDiffIndustriesApplBL 00104D:Trace: 申込年月日：20170920</t>
  </si>
  <si>
    <t>2017/09/25 17:11:45.814 D 21347 AUE31814 RegDiffIndustriesApplBL 00104D:Trace: 申込時刻：123456</t>
  </si>
  <si>
    <t>2017/09/25 17:11:45.814 D 21347 AUE31814 RegDiffIndustriesApplBL 00104D:Trace: 事業者コード：17110</t>
  </si>
  <si>
    <t>2017/09/25 17:11:45.814 D 21347 AUE31814 RegDiffIndustriesApplBL 00104D:Trace: 商品コード：171142</t>
  </si>
  <si>
    <t>2017/09/25 17:11:45.814 D 21347 AUE31814 RegDiffIndustriesApplBL 00104D:Trace: 漢字：ＦＭＣ試験　太郎</t>
  </si>
  <si>
    <t>2017/09/25 17:11:45.814 D 21347 AUE31814 RegDiffIndustriesApplBL 00104D:Trace: カナ：ＦＭＣシケン　タロウ</t>
  </si>
  <si>
    <t>2017/09/25 17:11:45.814 D 21347 AUE31814 RegDiffIndustriesApplBL 00104D:Trace: 自宅・勤務先電話番号：0312345678</t>
  </si>
  <si>
    <t>2017/09/25 17:11:45.814 D 21347 AUE31814 RegDiffIndustriesApplBL 00104D:Trace: 携帯電話番号：null</t>
  </si>
  <si>
    <t>2017/09/25 17:11:45.814 D 21347 AUE31814 RegDiffIndustriesApplBL 00104D:Trace: 郵便番号：1080035</t>
  </si>
  <si>
    <t>2017/09/25 17:11:45.814 D 21347 AUE31814 RegDiffIndustriesApplBL 00104D:Trace: 住所：東京都港区白金１丁目</t>
  </si>
  <si>
    <t>2017/09/25 17:11:45.814 D 21347 AUE31814 RegDiffIndustriesApplBL 00104D:Trace: 住居区分：0</t>
  </si>
  <si>
    <t>2017/09/25 17:11:45.814 D 21347 AUE31814 RegDiffIndustriesApplBL 00104D:Trace: 所有区分：1</t>
  </si>
  <si>
    <t>2017/09/25 17:11:45.814 D 21347 AUE31814 RegDiffIndustriesApplBL 00104D:Trace: 連絡希望曜日：0</t>
  </si>
  <si>
    <t>2017/09/25 17:11:45.814 D 21347 AUE31814 RegDiffIndustriesApplBL 00104D:Trace: 連絡希望時間帯：1</t>
  </si>
  <si>
    <t>2017/09/25 17:11:45.814 D 21347 AUE31814 RegDiffIndustriesApplBL 00104D:Trace: お客様ID：null</t>
  </si>
  <si>
    <t>2017/09/25 17:11:45.814 D 21347 AUE31814 RegDiffIndustriesApplBL 00104D:Trace: 備考1：備考1</t>
  </si>
  <si>
    <t>2017/09/25 17:11:45.814 D 21347 AUE31814 RegDiffIndustriesApplBL 00104D:Trace: 備考2：備考2</t>
  </si>
  <si>
    <t>2017/09/25 17:11:45.814 D 21347 AUE31814 RegDiffIndustriesApplBL 00104D:Trace: 備考3：備考3</t>
  </si>
  <si>
    <t>2017/09/25 17:11:45.814 D 21347 AUE31814 RegDiffIndustriesApplBL 00104D:Trace: 備考4：備考4</t>
  </si>
  <si>
    <t>2017/09/25 17:11:45.814 D 21347 AUE31814 RegDiffIndustriesApplBL 00104D:Trace: 備考5：備考5</t>
  </si>
  <si>
    <t>2017/09/25 17:11:45.814 D 21347 AUE31814 RegDiffIndustriesApplBL 00104D:Trace: 備考6：備考6</t>
  </si>
  <si>
    <t>2017/09/25 17:11:45.814 D 21347 AUE31814 RegDiffIndustriesApplBL 00104D:Trace: 備考7：備考7</t>
  </si>
  <si>
    <t>2017/09/25 17:11:45.814 D 21347 AUE31814 RegDiffIndustriesApplBL 00104D:Trace: 備考8：備考8</t>
  </si>
  <si>
    <t>2017/09/25 17:11:45.814 D 21347 AUE31814 RegDiffIndustriesApplBL 00104D:Trace: 備考9：備考9</t>
  </si>
  <si>
    <t>2017/09/25 17:11:45.814 D 21347 AUE31814 RegDiffIndustriesApplBL 00104D:Trace: 備考10：備考10</t>
  </si>
  <si>
    <t>2017/09/25 17:11:45.814 D 21347 AUE31814 RegDiffIndustriesApplBL 00104D:Trace: 備考11：備考11</t>
  </si>
  <si>
    <t>2017/09/25 17:11:45.814 D 21347 AUE31814 RegDiffIndustriesApplBL 00104D:Trace: 備考12：備考12</t>
  </si>
  <si>
    <t>2017/09/25 17:11:45.814 D 21347 AUE31814 RegDiffIndustriesApplBL 00104D:Trace: 備考13：備考13</t>
  </si>
  <si>
    <t>2017/09/25 17:11:45.814 D 21347 AUE31814 RegDiffIndustriesApplBL 00104D:Trace: 備考14：備考14</t>
  </si>
  <si>
    <t>2017/09/25 17:11:45.814 D 21347 AUE31814 RegDiffIndustriesApplBL 00104D:Trace: 備考15：備考15</t>
  </si>
  <si>
    <t>2017/09/25 17:11:45.814 D 21347 AUE31814 RegDiffIndustriesApplBL 00104D:Trace: 備考16：備考16</t>
  </si>
  <si>
    <t>2017/09/25 17:11:45.814 D 21347 AUE31814 RegDiffIndustriesApplBL 00104D:Trace: 備考17：備考17</t>
  </si>
  <si>
    <t>2017/09/25 17:11:45.814 D 21347 AUE31814 RegDiffIndustriesApplBL 00104D:Trace: 備考18：備考18</t>
  </si>
  <si>
    <t>2017/09/25 17:11:45.814 D 21347 AUE31814 RegDiffIndustriesApplBL 00104D:Trace: 備考19：備考19</t>
  </si>
  <si>
    <t>2017/09/25 17:11:45.814 D 21347 AUE31814 RegDiffIndustriesApplBL 00104D:Trace: 備考20：０１２３４５６７８９０１２３４５６７８９０１２３４５６７８９０１２３４５６７８９０１２３４５６７８０１２３４５６７８９０１２３４５６７８９０１２３４５６７８９０１２３４５６７８９０１</t>
  </si>
  <si>
    <t>2017/09/25 17:11:45.814 D 21347 AUE31814 RegDiffIndustriesApplBL 00104D:Trace: 特記：特記欄００１</t>
  </si>
  <si>
    <t>2017/09/25 17:11:45.814 D 21347 AUE31814 RegDiffIndustriesApplBL 00104D:Trace: au加入者コード:A1701001</t>
  </si>
  <si>
    <t>2017/09/25 17:11:45.814 D 21347 AUE31814 RegDiffIndustriesApplBL 00104D:Trace: 基本契約番号:null</t>
  </si>
  <si>
    <t>2017/09/25 17:11:45.814 I 21347 AUE31814 RegDiffIndustriesApplBL 00105I:Trace:&lt;CI&gt; 顧客区分：1</t>
  </si>
  <si>
    <t>2017/09/25 17:11:45.814 D 21347 AUE31814 RegDiffIndustriesApplBL 00104D:Trace:[traceRequest終了]</t>
  </si>
  <si>
    <t>2017/09/25 17:11:45.814 D 21347 AUE31814 RegDiffIndustriesApplBL 00104D:Trace:[checkByte開始]</t>
  </si>
  <si>
    <t>2017/09/25 17:11:45.814 D 21347 AUE31814 RegDiffIndustriesApplBL 00104D:Trace:バイトチェックエラー：備考20180</t>
  </si>
  <si>
    <t>2017/09/25 17:11:45.814 I 21347 AUE31814 RegDiffIndustriesApplBL 00105I:Trace:&lt;CI&gt;errByteMessage.size =「1」</t>
  </si>
  <si>
    <t>2017/09/25 17:11:45.814 D 21347 AUE31814 RegDiffIndustriesApplBL 00104D:Trace:[checkByteでApplicationException発生]</t>
  </si>
  <si>
    <t>2017/09/25 17:11:45.814 D 21347 AUE31814 RegDiffIndustriesApplBL 00104D:Trace:[executeでApplicationException発生]</t>
  </si>
  <si>
    <t>2017/09/25 17:11:45.814 I 21347 AUE31814 RegDiffIndustriesApplBL 01001I:Parameter Error</t>
  </si>
  <si>
    <t>2017/09/25 17:11:45.814 I 21347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01&lt;/com:api-status&gt;&lt;/com:api-com-info&gt;&lt;/api-response&gt;</t>
  </si>
  <si>
    <t>2017/09/25 17:11:45.814 I 21347 AUE31814 RegDiffIndustriesApplServlet 00002I:Service End</t>
  </si>
  <si>
    <t>&lt;api-response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35&lt;/different-appl-mng-no&gt;&lt;introduction-no&gt;IG0000035&lt;/introduction-no&gt;&lt;/reg-info&gt;&lt;/api-prm&gt;&lt;/api-response&gt;</t>
  </si>
  <si>
    <t>2017/09/25 17:12:57.721 I 21345          RegDiffIndustriesApplServlet 00001I:Service Start</t>
  </si>
  <si>
    <t>2017/09/25 17:12:57.731 D 21345          RegDiffIndustriesApplServlet :▽▽parse▽▽</t>
  </si>
  <si>
    <t>2017/09/25 17:12:57.731 I 21345          RegDiffIndustriesApplServlet 00003I:Input XML:&lt;CI&gt;&lt;?xml version="1.0" encoding="UTF-8"?&gt;&lt;api-request xmlns:com="http://kddi.com/smc/fmconline/common/schema/common_request" xmlns="http://kddi.com/smc/fmconline/bbcappl/schema/reg_diff_industries_appl_request"&gt;&lt;com:api-com-info&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com-info&gt;&lt;api-prm&gt;&lt;appl-form-info&gt;&lt;select-btn&gt;8&lt;/select-btn&gt;&lt;au-agency-info&gt;&lt;au-agency-nm-kj&gt;Ｅ８４５００１&lt;/au-agency-nm-kj&gt;&lt;ope-nm-kj&gt;ＯＲＡＮＧＥ担当者&lt;/ope-nm-kj&gt;&lt;/au-agency-info&gt;&lt;/appl-form-info&gt;&lt;agency-info&gt;&lt;appl-date&gt;20170920&lt;/appl-date&gt;&lt;appl-time&gt;123456&lt;/appl-time&gt;&lt;carrier-cd&gt;17110&lt;/carrier-cd&gt;&lt;shouhin-cd&gt;171143&lt;/shouhin-cd&gt;&lt;cont-nm-info&gt;&lt;cont-nm-kj&gt;ＦＭＣ試験　太郎&lt;/cont-nm-kj&gt;&lt;cont-nm-kn&gt;ＦＭＣシケン　タロウ&lt;/cont-nm-kn&gt;&lt;/cont-nm-info&gt;&lt;appl-cnct-info&gt;&lt;home-tel-no&gt;0312345678&lt;/home-tel-no&gt;&lt;/appl-cnct-info&gt;&lt;use-info&gt;&lt;use-add-info&gt;&lt;use-post-cd&gt;1080035&lt;/use-post-cd&gt;&lt;use-add&gt;東京都港区白金１丁目&lt;/use-add&gt;&lt;/use-add-info&gt;&lt;building-type&gt;0&lt;/building-type&gt;&lt;owner-kbn&gt;1&lt;/owner-kbn&gt;&lt;/use-info&gt;&lt;more-agency-info&gt;&lt;contact-date&gt;0&lt;/contact-date&gt;&lt;contact-time&gt;1&lt;/contact-time&gt;&lt;customer-id&gt;12345&lt;/customer-id&gt;&lt;remarks-1&gt;備考1&lt;/remarks-1&gt;&lt;remarks-2&gt;備考2&lt;/remarks-2&gt;&lt;remarks-3&gt;備考3&lt;/remarks-3&gt;&lt;remarks-4&gt;備考4&lt;/remarks-4&gt;&lt;remarks-5&gt;備考5&lt;/remarks-5&gt;&lt;remarks-6&gt;備考6&lt;/remarks-6&gt;&lt;remarks-7&gt;備考7&lt;/remarks-7&gt;&lt;remarks-8&gt;備考8&lt;/remarks-8&gt;&lt;remarks-9&gt;備考9&lt;/remarks-9&gt;&lt;remarks-10&gt;備考10&lt;/remarks-10&gt;&lt;remarks-11&gt;備考11&lt;/remarks-11&gt;&lt;remarks-12&gt;備考12&lt;/remarks-12&gt;&lt;remarks-13&gt;備考13&lt;/remarks-13&gt;&lt;remarks-14&gt;備考14&lt;/remarks-14&gt;&lt;remarks-15&gt;備考15&lt;/remarks-15&gt;&lt;remarks-16&gt;備考16&lt;/remarks-16&gt;&lt;remarks-17&gt;備考17&lt;/remarks-17&gt;&lt;remarks-18&gt;備考18&lt;/remarks-18&gt;&lt;remarks-19&gt;備考19&lt;/remarks-19&gt;&lt;remarks-20&gt;備考20°&lt;/remarks-20&gt;&lt;/more-agency-info&gt;&lt;other-info&gt;&lt;special&gt;特記欄００１&lt;/special&gt;&lt;/other-info&gt;&lt;/agency-info&gt;&lt;proof-info&gt;&lt;member-cd&gt;A1701001&lt;/member-cd&gt;&lt;cust-kbn&gt;1&lt;/cust-kbn&gt;&lt;/proof-info&gt;&lt;/api-prm&gt;&lt;/api-request&gt;</t>
  </si>
  <si>
    <t>2017/09/25 17:12:57.731 D 21345          RegDiffIndustriesApplServlet :△△parse△△[0ミリ秒]</t>
  </si>
  <si>
    <t>2017/09/25 17:12:57.731 D 21345 AUE31814 DBCacheUtil 00104D:Trace:groupId=BASE_SERVICE_TIME;keyword=CHECK_FLG;value=0</t>
  </si>
  <si>
    <t>2017/09/25 17:12:57.731 D 21345 AUE31814 RegDiffIndustriesApplServlet :▽▽validate▽▽</t>
  </si>
  <si>
    <t>2017/09/25 17:12:57.731 D 21345 AUE31814 RegDiffIndustriesApplServlet :△△validate△△[0ミリ秒]</t>
  </si>
  <si>
    <t>2017/09/25 17:12:57.731 D 21345 AUE31814 DBCacheUtil 00104D:Trace:groupId=API_VERSION;keyword=/fmc-on/bbc-appl-api/diffindustappl/reg_diff_industries_appl;value=10</t>
  </si>
  <si>
    <t>2017/09/25 17:12:57.731 D 21345 AUE31814 RegDiffIndustriesApplServlet :▽▽業務ロジック▽▽</t>
  </si>
  <si>
    <t>2017/09/25 17:12:57.731 D 21345 AUE31814 RegDiffIndustriesApplBL 00104D:Trace:[setSequenceDao開始]</t>
  </si>
  <si>
    <t>2017/09/25 17:12:57.731 D 21345 AUE31814 RegDiffIndustriesApplBL 00104D:Trace:[setSequenceDao終了]</t>
  </si>
  <si>
    <t>2017/09/25 17:12:57.731 D 21345 AUE31814 RegDiffIndustriesApplBL 00104D:Trace:[setdApplDiffIndustryInfoApplDao開始]</t>
  </si>
  <si>
    <t>2017/09/25 17:12:57.731 D 21345 AUE31814 RegDiffIndustriesApplBL 00104D:Trace:[setdApplDiffIndustryInfoApplDao終了]</t>
  </si>
  <si>
    <t>2017/09/25 17:12:57.731 D 21345 AUE31814 RegDiffIndustriesApplBL 00104D:Trace:[execute開始]</t>
  </si>
  <si>
    <t>2017/09/25 17:12:57.731 D 21345 AUE31814 RegDiffIndustriesApplBL 00104D:Trace:[traceRequest開始]</t>
  </si>
  <si>
    <t>2017/09/25 17:12:57.731 D 21345 AUE31814 RegDiffIndustriesApplBL 00104D:Trace:au代理店コード：E845001</t>
  </si>
  <si>
    <t>2017/09/25 17:12:57.731 D 21345 AUE31814 RegDiffIndustriesApplBL 00104D:Trace: 申込押下ボタン：8</t>
  </si>
  <si>
    <t>2017/09/25 17:12:57.731 D 21345 AUE31814 RegDiffIndustriesApplBL 00104D:Trace: 店名：Ｅ８４５００１</t>
  </si>
  <si>
    <t>2017/09/25 17:12:57.731 D 21345 AUE31814 RegDiffIndustriesApplBL 00104D:Trace: 担当者名：ＯＲＡＮＧＥ担当者</t>
  </si>
  <si>
    <t>2017/09/25 17:12:57.731 D 21345 AUE31814 RegDiffIndustriesApplBL 00104D:Trace: 担当者名(名)：null</t>
  </si>
  <si>
    <t>2017/09/25 17:12:57.731 D 21345 AUE31814 RegDiffIndustriesApplBL 00104D:Trace: 電話番号：null</t>
  </si>
  <si>
    <t>2017/09/25 17:12:57.731 D 21345 AUE31814 RegDiffIndustriesApplBL 00104D:Trace: 申込年月日：20170920</t>
  </si>
  <si>
    <t>2017/09/25 17:12:57.731 D 21345 AUE31814 RegDiffIndustriesApplBL 00104D:Trace: 申込時刻：123456</t>
  </si>
  <si>
    <t>2017/09/25 17:12:57.731 D 21345 AUE31814 RegDiffIndustriesApplBL 00104D:Trace: 事業者コード：17110</t>
  </si>
  <si>
    <t>2017/09/25 17:12:57.731 D 21345 AUE31814 RegDiffIndustriesApplBL 00104D:Trace: 商品コード：171143</t>
  </si>
  <si>
    <t>2017/09/25 17:12:57.731 D 21345 AUE31814 RegDiffIndustriesApplBL 00104D:Trace: 漢字：ＦＭＣ試験　太郎</t>
  </si>
  <si>
    <t>2017/09/25 17:12:57.731 D 21345 AUE31814 RegDiffIndustriesApplBL 00104D:Trace: カナ：ＦＭＣシケン　タロウ</t>
  </si>
  <si>
    <t>2017/09/25 17:12:57.731 D 21345 AUE31814 RegDiffIndustriesApplBL 00104D:Trace: 自宅・勤務先電話番号：0312345678</t>
  </si>
  <si>
    <t>2017/09/25 17:12:57.731 D 21345 AUE31814 RegDiffIndustriesApplBL 00104D:Trace: 携帯電話番号：null</t>
  </si>
  <si>
    <t>2017/09/25 17:12:57.731 D 21345 AUE31814 RegDiffIndustriesApplBL 00104D:Trace: 郵便番号：1080035</t>
  </si>
  <si>
    <t>2017/09/25 17:12:57.731 D 21345 AUE31814 RegDiffIndustriesApplBL 00104D:Trace: 住所：東京都港区白金１丁目</t>
  </si>
  <si>
    <t>2017/09/25 17:12:57.731 D 21345 AUE31814 RegDiffIndustriesApplBL 00104D:Trace: 住居区分：0</t>
  </si>
  <si>
    <t>2017/09/25 17:12:57.731 D 21345 AUE31814 RegDiffIndustriesApplBL 00104D:Trace: 所有区分：1</t>
  </si>
  <si>
    <t>2017/09/25 17:12:57.731 D 21345 AUE31814 RegDiffIndustriesApplBL 00104D:Trace: 連絡希望曜日：0</t>
  </si>
  <si>
    <t>2017/09/25 17:12:57.731 D 21345 AUE31814 RegDiffIndustriesApplBL 00104D:Trace: 連絡希望時間帯：1</t>
  </si>
  <si>
    <t>2017/09/25 17:12:57.731 D 21345 AUE31814 RegDiffIndustriesApplBL 00104D:Trace: お客様ID：12345</t>
  </si>
  <si>
    <t>2017/09/25 17:12:57.731 D 21345 AUE31814 RegDiffIndustriesApplBL 00104D:Trace: 備考1：備考1</t>
  </si>
  <si>
    <t>2017/09/25 17:12:57.731 D 21345 AUE31814 RegDiffIndustriesApplBL 00104D:Trace: 備考2：備考2</t>
  </si>
  <si>
    <t>2017/09/25 17:12:57.731 D 21345 AUE31814 RegDiffIndustriesApplBL 00104D:Trace: 備考3：備考3</t>
  </si>
  <si>
    <t>2017/09/25 17:12:57.731 D 21345 AUE31814 RegDiffIndustriesApplBL 00104D:Trace: 備考4：備考4</t>
  </si>
  <si>
    <t>2017/09/25 17:12:57.731 D 21345 AUE31814 RegDiffIndustriesApplBL 00104D:Trace: 備考5：備考5</t>
  </si>
  <si>
    <t>2017/09/25 17:12:57.731 D 21345 AUE31814 RegDiffIndustriesApplBL 00104D:Trace: 備考6：備考6</t>
  </si>
  <si>
    <t>2017/09/25 17:12:57.731 D 21345 AUE31814 RegDiffIndustriesApplBL 00104D:Trace: 備考7：備考7</t>
  </si>
  <si>
    <t>2017/09/25 17:12:57.731 D 21345 AUE31814 RegDiffIndustriesApplBL 00104D:Trace: 備考8：備考8</t>
  </si>
  <si>
    <t>2017/09/25 17:12:57.731 D 21345 AUE31814 RegDiffIndustriesApplBL 00104D:Trace: 備考9：備考9</t>
  </si>
  <si>
    <t>2017/09/25 17:12:57.731 D 21345 AUE31814 RegDiffIndustriesApplBL 00104D:Trace: 備考10：備考10</t>
  </si>
  <si>
    <t>2017/09/25 17:12:57.731 D 21345 AUE31814 RegDiffIndustriesApplBL 00104D:Trace: 備考11：備考11</t>
  </si>
  <si>
    <t>2017/09/25 17:12:57.731 D 21345 AUE31814 RegDiffIndustriesApplBL 00104D:Trace: 備考12：備考12</t>
  </si>
  <si>
    <t>2017/09/25 17:12:57.731 D 21345 AUE31814 RegDiffIndustriesApplBL 00104D:Trace: 備考13：備考13</t>
  </si>
  <si>
    <t>2017/09/25 17:12:57.731 D 21345 AUE31814 RegDiffIndustriesApplBL 00104D:Trace: 備考14：備考14</t>
  </si>
  <si>
    <t>2017/09/25 17:12:57.731 D 21345 AUE31814 RegDiffIndustriesApplBL 00104D:Trace: 備考15：備考15</t>
  </si>
  <si>
    <t>2017/09/25 17:12:57.731 D 21345 AUE31814 RegDiffIndustriesApplBL 00104D:Trace: 備考16：備考16</t>
  </si>
  <si>
    <t>2017/09/25 17:12:57.731 D 21345 AUE31814 RegDiffIndustriesApplBL 00104D:Trace: 備考17：備考17</t>
  </si>
  <si>
    <t>2017/09/25 17:12:57.731 D 21345 AUE31814 RegDiffIndustriesApplBL 00104D:Trace: 備考18：備考18</t>
  </si>
  <si>
    <t>2017/09/25 17:12:57.731 D 21345 AUE31814 RegDiffIndustriesApplBL 00104D:Trace: 備考19：備考19</t>
  </si>
  <si>
    <t>2017/09/25 17:12:57.731 D 21345 AUE31814 RegDiffIndustriesApplBL 00104D:Trace: 備考20：備考20°</t>
  </si>
  <si>
    <t>2017/09/25 17:12:57.731 D 21345 AUE31814 RegDiffIndustriesApplBL 00104D:Trace: 特記：特記欄００１</t>
  </si>
  <si>
    <t>2017/09/25 17:12:57.731 D 21345 AUE31814 RegDiffIndustriesApplBL 00104D:Trace: au加入者コード:A1701001</t>
  </si>
  <si>
    <t>2017/09/25 17:12:57.731 D 21345 AUE31814 RegDiffIndustriesApplBL 00104D:Trace: 基本契約番号:null</t>
  </si>
  <si>
    <t>2017/09/25 17:12:57.731 I 21345 AUE31814 RegDiffIndustriesApplBL 00105I:Trace:&lt;CI&gt; 顧客区分：1</t>
  </si>
  <si>
    <t>2017/09/25 17:12:57.731 D 21345 AUE31814 RegDiffIndustriesApplBL 00104D:Trace:[traceRequest終了]</t>
  </si>
  <si>
    <t>2017/09/25 17:12:57.731 D 21345 AUE31814 RegDiffIndustriesApplBL 00104D:Trace:[checkByte開始]</t>
  </si>
  <si>
    <t>2017/09/25 17:12:57.731 I 21345 AUE31814 RegDiffIndustriesApplBL 00105I:Trace:&lt;CI&gt;errByteMessage.size =「0」</t>
  </si>
  <si>
    <t>2017/09/25 17:12:57.731 D 21345 AUE31814 RegDiffIndustriesApplBL 00104D:Trace:[checkByte終了]</t>
  </si>
  <si>
    <t>2017/09/25 17:12:57.731 D 21345 AUE31814 RegDiffIndustriesApplBL 00104D:Trace:[getDiffIndustryApplMngNo開始]</t>
  </si>
  <si>
    <t>2017/09/25 17:12:57.751 I 21345 AUE31814 RegDiffIndustriesApplBL 00101I:SQL:&lt;CI&gt;SELECT SQ_DIFF_INDUSTRY_APPL_MNG_NO.NEXTVAL FROM DUAL</t>
  </si>
  <si>
    <t>2017/09/25 17:12:57.751 D 21345 AUE31814 RegDiffIndustriesApplBL 00104D:Trace:異業種商材申込管理番号：35</t>
  </si>
  <si>
    <t>2017/09/25 17:12:57.751 D 21345 AUE31814 RegDiffIndustriesApplBL 00104D:Trace:[getDiffIndustryApplMngNo終了]</t>
  </si>
  <si>
    <t>2017/09/25 17:12:57.751 D 21345 AUE31814 RegDiffIndustriesApplBL 00104D:Trace:[getDiffIndustryIntroductionNo開始]</t>
  </si>
  <si>
    <t>2017/09/25 17:12:57.751 D 21345 AUE31814 RegDiffIndustriesApplBL 00104D:Trace:++プロパティファイルより取得した紹介票管理番号取得リトライ回数：4</t>
  </si>
  <si>
    <t>2017/09/25 17:12:57.751 D 21345 AUE31814 RegDiffIndustriesApplBL 00104D:Trace:[getSqDiffIndustryIntroductionNo開始]</t>
  </si>
  <si>
    <t>2017/09/25 17:12:57.761 I 21345 AUE31814 RegDiffIndustriesApplBL 00101I:SQL:&lt;CI&gt;SELECT SQ_DIFF_INDUSTRY_INTRODUCTION_NO.NEXTVAL FROM DUAL</t>
  </si>
  <si>
    <t>2017/09/25 17:12:57.761 D 21345 AUE31814 RegDiffIndustriesApplBL 00104D:Trace:[getSqDiffIndustryIntroductionNo終了]</t>
  </si>
  <si>
    <t>2017/09/25 17:12:57.761 D 21345 AUE31814 RegDiffIndustriesApplBL 00104D:Trace:[chkDiffIndustryIntroductionNo開始]</t>
  </si>
  <si>
    <t>2017/09/25 17:12:57.771 I 21345 AUE31814 RegDiffIndustriesApplBL 00101I:SQL:&lt;CI&gt;SELECT     count(*) FROM     D_APPL_DIFF_INDUSTRY_INFO d WHERE     d.INTRODUCTION_NO = 'IG0000035'  AND     d.BATCH_FILE_IN_STS in ('0','1')</t>
  </si>
  <si>
    <t>2017/09/25 17:12:57.771 D 21345 AUE31814 RegDiffIndustriesApplBL 00104D:Trace:[chkDiffIndustryIntroductionNo終了]</t>
  </si>
  <si>
    <t>2017/09/25 17:12:57.771 D 21345 AUE31814 RegDiffIndustriesApplBL 00104D:Trace:++紹介票管理番号を取得して完了。</t>
  </si>
  <si>
    <t>2017/09/25 17:12:57.771 D 21345 AUE31814 RegDiffIndustriesApplBL 00104D:Trace:紹介票管理番号：IG0000035</t>
  </si>
  <si>
    <t>2017/09/25 17:12:57.771 D 21345 AUE31814 RegDiffIndustriesApplBL 00104D:Trace:[getDiffIndustryIntroductionNo終了]</t>
  </si>
  <si>
    <t>2017/09/25 17:12:57.771 D 21345 AUE31814 RegDiffIndustriesApplBL 00104D:Trace:[insertDiffIndustryInfo開始]</t>
  </si>
  <si>
    <t>2017/09/25 17:12:57.771 D 21345 AUE31814 RegDiffIndustriesApplBL 00104D:Trace:[insertDiffIndustryInfo終了]</t>
  </si>
  <si>
    <t>2017/09/25 17:12:57.791 I 21345 AUE31814 RegDiffIndustriesApplBL 00101I:SQL:&lt;CI&gt;INSERT INTO D_APPL_DIFF_INDUSTRY_INFO (different_appl_mng_no, operator_fmly_name, member_cd, building_type, appl_time, special, cust_kbn, cont_nm_kj, cont_nm_kn, use_post_cd, use_add, customer_id, appl_in_kind, appl_date, operator_id, select_btn, au_agency_code, au_agency_name, batch_file_in_sts, rec_entry_dtime, rec_entry_user, rec_update_dtime, rec_update_user, introduction_no, contact_date, contact_time, home_tel_no, remarks_1, remarks_2, remarks_3, remarks_4, remarks_5, remarks_6, owner_kbn, carrier_cd, shouhin_cd, remarks_7, remarks_8, remarks_9, remarks_10, remarks_11, remarks_12, remarks_13, remarks_14, remarks_15, remarks_16, remarks_17, remarks_18, remarks_19, remarks_20) VALUES (35, 'ＯＲＡＮＧＥ担当者', 'A1701001', '0', '123456', '特記欄００１', '1', 'ＦＭＣ試験　太郎', 'ＦＭＣシケン　タロウ', '1080035', '東京都港区白金１丁目', '12345', 602, '20170920', 'AUE31814', '8', 'E845001', 'Ｅ８４５００１', '0', '2017-09-25', 'AUE31814', '2017-09-25', 'AUE31814', 'IG0000035', '0', '1', '0312345678', '備考1', '備考2', '備考3', '備考4', '備考5', '備考6', '1', '17110', '171143', '備考7', '備考8', '備考9', '備考10', '備考11', '備考12', '備考13', '備考14', '備考15', '備考16', '備考17', '備考18', '備考19', '備考20°')</t>
  </si>
  <si>
    <t>2017/09/25 17:12:57.791 D 21345 AUE31814 RegDiffIndustriesApplBL 00104D:Trace:[setResponseObjectChkPass開始]</t>
  </si>
  <si>
    <t>2017/09/25 17:12:57.791 D 21345 AUE31814 RegDiffIndustriesApplBL 00104D:Trace:[setResponseObjectChkPass終了]</t>
  </si>
  <si>
    <t>2017/09/25 17:12:57.791 D 21345 AUE31814 RegDiffIndustriesApplBL 00104D:Trace:[traceResponse開始]</t>
  </si>
  <si>
    <t>2017/09/25 17:12:57.791 D 21345 AUE31814 RegDiffIndustriesApplBL 00104D:Trace:個別結果コード0000</t>
  </si>
  <si>
    <t>2017/09/25 17:12:57.791 D 21345 AUE31814 RegDiffIndustriesApplBL 00104D:Trace:異業種申込管理番号35</t>
  </si>
  <si>
    <t>2017/09/25 17:12:57.791 D 21345 AUE31814 RegDiffIndustriesApplBL 00104D:Trace:紹介票管理番号IG0000035</t>
  </si>
  <si>
    <t>2017/09/25 17:12:57.791 D 21345 AUE31814 RegDiffIndustriesApplBL 00104D:Trace:[traceResponse終了]</t>
  </si>
  <si>
    <t>2017/09/25 17:12:57.791 D 21345 AUE31814 RegDiffIndustriesApplBL 00104D:Trace:[execute終了]</t>
  </si>
  <si>
    <t>2017/09/25 17:12:57.791 D 21345 AUE31814 RegDiffIndustriesApplServlet :△△業務ロジック△△[60ミリ秒]</t>
  </si>
  <si>
    <t>2017/09/25 17:12:57.791 I 21345 AUE31814 RegDiffIndustriesApplServlet 00004I:Output XML:&lt;CI&gt;&lt;?xml version="1.0" encoding="UTF-8"?&gt; &lt;api-response xmlns="http://kddi.com/smc/fmconline/bbcappl/schema/reg_diff_industries_appl_response"&gt;&lt;com:api-com-info xmlns:com="http://kddi.com/smc/fmconline/common/schema/common_response"&gt;&lt;com:api-id&gt;M001&lt;/com:api-id&gt;&lt;com:api-var&gt;10&lt;/com:api-var&gt;&lt;com:api-dtime&gt;20170920130000&lt;/com:api-dtime&gt;&lt;com:api-caller-info&gt;&lt;com:api-sys-id&gt;FMC&lt;/com:api-sys-id&gt;&lt;com:api-agency-cd&gt;E845001&lt;/com:api-agency-cd&gt;&lt;com:api-pson-chg-id&gt;AUE31814&lt;/com:api-pson-chg-id&gt;&lt;com:api-ip-add&gt;192.168.134.246&lt;/com:api-ip-add&gt;&lt;com:api-sys-name&gt;ORANGE&lt;/com:api-sys-name&gt;&lt;com:api-title-name&gt;ODP40570&lt;/com:api-title-name&gt;&lt;/com:api-caller-info&gt;&lt;com:api-status&gt;00&lt;/com:api-status&gt;&lt;/com:api-com-info&gt;&lt;api-prm&gt;&lt;pc-res&gt;0000&lt;/pc-res&gt;&lt;reg-info&gt;&lt;different-appl-mng-no&gt;35&lt;/different-appl-mng-no&gt;&lt;introduction-no&gt;IG0000035&lt;/introduction-no&gt;&lt;/reg-info&gt;&lt;/api-prm&gt;&lt;/api-response&gt;</t>
  </si>
  <si>
    <t>2017/09/25 17:12:57.791 I 21345 AUE31814 RegDiffIndustriesApplServlet 00002I:Service End</t>
  </si>
  <si>
    <t>BSS1=# select * from D_APPL_DIFF_INDUSTRY_INFO where carrier_cd='17110' and shouhin_cd='171143';</t>
  </si>
  <si>
    <t>different_appl_mng_no | 35</t>
  </si>
  <si>
    <t>introduction_no       | IG0000035</t>
  </si>
  <si>
    <t>shouhin_cd            | 171143</t>
  </si>
  <si>
    <t>customer_id           | 12345</t>
  </si>
  <si>
    <t>rec_entry_dtime       | 25-SEP-17 17:12:57.771</t>
  </si>
  <si>
    <t>rec_update_dtime      | 25-SEP-17 17:12:57.771</t>
  </si>
  <si>
    <t>remarks_20            | 備考20°</t>
  </si>
  <si>
    <r>
      <t xml:space="preserve">①応答内容
　API処理状態：00
　個別結果コード：0000
</t>
    </r>
    <r>
      <rPr>
        <sz val="9"/>
        <color rgb="FFFF0000"/>
        <rFont val="ＭＳ ゴシック"/>
        <family val="3"/>
        <charset val="128"/>
      </rPr>
      <t>正常であるという事</t>
    </r>
    <r>
      <rPr>
        <sz val="9"/>
        <rFont val="ＭＳ ゴシック"/>
        <family val="3"/>
        <charset val="128"/>
      </rPr>
      <t xml:space="preserve">
②テーブル登録内容
　異業種商材申込情報テーブル：登録有り
　NULL設定
</t>
    </r>
    <r>
      <rPr>
        <sz val="9"/>
        <color rgb="FFFF0000"/>
        <rFont val="ＭＳ ゴシック"/>
        <family val="3"/>
        <charset val="128"/>
      </rPr>
      <t>何もない状態でもDBにNULLで書き込まれるという確認観点である。</t>
    </r>
    <rPh sb="32" eb="34">
      <t>セイジョウ</t>
    </rPh>
    <rPh sb="40" eb="41">
      <t>コト</t>
    </rPh>
    <rPh sb="47" eb="49">
      <t>トウロク</t>
    </rPh>
    <rPh sb="49" eb="51">
      <t>ナイヨウ</t>
    </rPh>
    <rPh sb="67" eb="69">
      <t>トウロク</t>
    </rPh>
    <rPh sb="69" eb="70">
      <t>ア</t>
    </rPh>
    <rPh sb="77" eb="79">
      <t>セッテイ</t>
    </rPh>
    <rPh sb="80" eb="81">
      <t>ナニ</t>
    </rPh>
    <rPh sb="84" eb="86">
      <t>ジョウタイ</t>
    </rPh>
    <rPh sb="96" eb="97">
      <t>カ</t>
    </rPh>
    <rPh sb="98" eb="99">
      <t>コ</t>
    </rPh>
    <rPh sb="105" eb="107">
      <t>カクニン</t>
    </rPh>
    <rPh sb="107" eb="109">
      <t>カンテン</t>
    </rPh>
    <phoneticPr fontId="3"/>
  </si>
  <si>
    <r>
      <t xml:space="preserve">①応答内容
　API処理状態：01
</t>
    </r>
    <r>
      <rPr>
        <sz val="9"/>
        <color rgb="FFFF0000"/>
        <rFont val="ＭＳ ゴシック"/>
        <family val="3"/>
        <charset val="128"/>
      </rPr>
      <t>エラーのチェック</t>
    </r>
    <r>
      <rPr>
        <sz val="9"/>
        <rFont val="ＭＳ ゴシック"/>
        <family val="3"/>
        <charset val="128"/>
      </rPr>
      <t xml:space="preserve">
②テーブル登録内容
　異業種商材申込情報テーブル：登録無し
③アプリログ
　フォーマット不正の旨のメッセージが出力</t>
    </r>
    <phoneticPr fontId="3"/>
  </si>
  <si>
    <r>
      <t xml:space="preserve">取次情報.各事業者向け取次情報.備考7
属性チェック：NG
</t>
    </r>
    <r>
      <rPr>
        <sz val="9"/>
        <color rgb="FFFF0000"/>
        <rFont val="ＭＳ ゴシック"/>
        <family val="3"/>
        <charset val="128"/>
      </rPr>
      <t>どうやってNGになるのか？
文字数オーバー？</t>
    </r>
    <rPh sb="0" eb="2">
      <t>トリツギ</t>
    </rPh>
    <rPh sb="2" eb="4">
      <t>ジョウホウ</t>
    </rPh>
    <rPh sb="5" eb="9">
      <t>カクジギョウシャ</t>
    </rPh>
    <rPh sb="9" eb="10">
      <t>ム</t>
    </rPh>
    <rPh sb="11" eb="13">
      <t>トリツギ</t>
    </rPh>
    <rPh sb="13" eb="15">
      <t>ジョウホウ</t>
    </rPh>
    <rPh sb="16" eb="18">
      <t>ビコウ</t>
    </rPh>
    <rPh sb="44" eb="47">
      <t>モジスウ</t>
    </rPh>
    <phoneticPr fontId="3"/>
  </si>
  <si>
    <r>
      <t xml:space="preserve">取次情報.各事業者向け取次情報.備考7
バイト数チェック：NG
</t>
    </r>
    <r>
      <rPr>
        <sz val="9"/>
        <color rgb="FFFF0000"/>
        <rFont val="ＭＳ ゴシック"/>
        <family val="3"/>
        <charset val="128"/>
      </rPr>
      <t>文字数が違う。</t>
    </r>
    <rPh sb="0" eb="2">
      <t>トリツギ</t>
    </rPh>
    <rPh sb="2" eb="4">
      <t>ジョウホウ</t>
    </rPh>
    <rPh sb="5" eb="9">
      <t>カクジギョウシャ</t>
    </rPh>
    <rPh sb="9" eb="10">
      <t>ム</t>
    </rPh>
    <rPh sb="11" eb="13">
      <t>トリツギ</t>
    </rPh>
    <rPh sb="13" eb="15">
      <t>ジョウホウ</t>
    </rPh>
    <rPh sb="16" eb="18">
      <t>ビコウ</t>
    </rPh>
    <rPh sb="32" eb="35">
      <t>モジスウ</t>
    </rPh>
    <rPh sb="36" eb="37">
      <t>チガ</t>
    </rPh>
    <phoneticPr fontId="3"/>
  </si>
  <si>
    <r>
      <t xml:space="preserve">正常
取次情報.各事業者向け取次情報.備考7～20
</t>
    </r>
    <r>
      <rPr>
        <sz val="9"/>
        <color rgb="FFFF0000"/>
        <rFont val="ＭＳ ゴシック"/>
        <family val="3"/>
        <charset val="128"/>
      </rPr>
      <t>全部に入れて登録できるか確認する。</t>
    </r>
    <rPh sb="0" eb="2">
      <t>セイジョウ</t>
    </rPh>
    <rPh sb="26" eb="28">
      <t>ゼンブ</t>
    </rPh>
    <rPh sb="29" eb="30">
      <t>イ</t>
    </rPh>
    <rPh sb="32" eb="34">
      <t>トウロク</t>
    </rPh>
    <rPh sb="38" eb="40">
      <t>カクニン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</si>
</sst>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Red]&quot;¥&quot;\-#,##0"/>
    <numFmt numFmtId="41" formatCode="_ * #,##0_ ;_ * \-#,##0_ ;_ * &quot;-&quot;_ ;_ @_ "/>
    <numFmt numFmtId="43" formatCode="_ * #,##0.00_ ;_ * \-#,##0.00_ ;_ * &quot;-&quot;??_ ;_ @_ "/>
    <numFmt numFmtId="176" formatCode="#,##0_ "/>
    <numFmt numFmtId="177" formatCode="#,##0.0&quot;人月&quot;"/>
    <numFmt numFmtId="178" formatCode="&quot;¥&quot;\$#,##0.00_);[Red]&quot;¥&quot;\(&quot;¥&quot;\$#,##0.00&quot;¥&quot;\)"/>
    <numFmt numFmtId="179" formatCode="&quot;$&quot;#,##0_);[Red]&quot;¥&quot;&quot;¥&quot;&quot;¥&quot;\(&quot;$&quot;#,##0&quot;¥&quot;&quot;¥&quot;&quot;¥&quot;\)"/>
    <numFmt numFmtId="180" formatCode="&quot;$&quot;#,##0.00_);[Red]&quot;¥&quot;&quot;¥&quot;&quot;¥&quot;\(&quot;$&quot;#,##0.00&quot;¥&quot;&quot;¥&quot;&quot;¥&quot;\)"/>
    <numFmt numFmtId="181" formatCode="000"/>
    <numFmt numFmtId="182" formatCode="00000"/>
    <numFmt numFmtId="183" formatCode="_(* #,##0.00000_);_(* \(#,##0.00000\);_(* &quot;-&quot;??_);_(@_)"/>
    <numFmt numFmtId="184" formatCode="_(* #,##0.000000_);_(* \(#,##0.000000\);_(* &quot;-&quot;??_);_(@_)"/>
    <numFmt numFmtId="185" formatCode="0.00000%"/>
    <numFmt numFmtId="186" formatCode="0%\);[Red]\(0%\)"/>
    <numFmt numFmtId="187" formatCode="#,##0_ ;[Red]&quot;¥&quot;\!\-#,##0&quot;¥&quot;\!\ "/>
    <numFmt numFmtId="188" formatCode="0_ ;[Red]&quot;¥&quot;\!\-0&quot;¥&quot;\!\ "/>
    <numFmt numFmtId="189" formatCode="&quot;¥&quot;#,##0.0;[Red]&quot;¥&quot;\-#,##0.0"/>
    <numFmt numFmtId="190" formatCode="0_)"/>
  </numFmts>
  <fonts count="81">
    <font>
      <sz val="11"/>
      <name val="ＭＳ Ｐゴシック"/>
      <family val="3"/>
      <charset val="128"/>
    </font>
    <font>
      <sz val="11"/>
      <name val="ＭＳ Ｐゴシック"/>
      <family val="3"/>
      <charset val="128"/>
    </font>
    <font>
      <u/>
      <sz val="11"/>
      <color indexed="12"/>
      <name val="ＭＳ Ｐゴシック"/>
      <family val="3"/>
      <charset val="128"/>
    </font>
    <font>
      <sz val="6"/>
      <name val="ＭＳ Ｐゴシック"/>
      <family val="3"/>
      <charset val="128"/>
    </font>
    <font>
      <sz val="10"/>
      <name val="ＭＳ Ｐゴシック"/>
      <family val="3"/>
      <charset val="128"/>
    </font>
    <font>
      <b/>
      <sz val="11"/>
      <name val="ＭＳ Ｐゴシック"/>
      <family val="3"/>
      <charset val="128"/>
    </font>
    <font>
      <sz val="10"/>
      <name val="??"/>
      <family val="3"/>
    </font>
    <font>
      <sz val="10"/>
      <name val="，iA¶"/>
      <family val="3"/>
      <charset val="128"/>
    </font>
    <font>
      <sz val="10"/>
      <name val="Helv"/>
      <family val="2"/>
    </font>
    <font>
      <sz val="11"/>
      <name val="??"/>
      <family val="3"/>
    </font>
    <font>
      <b/>
      <sz val="10"/>
      <name val="Helv"/>
      <family val="2"/>
    </font>
    <font>
      <sz val="8"/>
      <name val="Arial"/>
      <family val="2"/>
    </font>
    <font>
      <b/>
      <sz val="12"/>
      <name val="Helv"/>
      <family val="2"/>
    </font>
    <font>
      <b/>
      <sz val="10"/>
      <name val="Arial"/>
      <family val="2"/>
    </font>
    <font>
      <b/>
      <sz val="14"/>
      <name val="Arial"/>
      <family val="2"/>
    </font>
    <font>
      <b/>
      <sz val="12"/>
      <name val="Arial"/>
      <family val="2"/>
    </font>
    <font>
      <sz val="20"/>
      <name val="HP Logo LG"/>
      <family val="3"/>
      <charset val="128"/>
    </font>
    <font>
      <b/>
      <sz val="11"/>
      <name val="Helv"/>
      <family val="2"/>
    </font>
    <font>
      <sz val="11"/>
      <name val="1UAAA?"/>
      <family val="3"/>
    </font>
    <font>
      <sz val="10"/>
      <name val="Arial"/>
      <family val="2"/>
    </font>
    <font>
      <sz val="10"/>
      <name val="MS Sans Serif"/>
      <family val="2"/>
    </font>
    <font>
      <b/>
      <sz val="10"/>
      <name val="MS Sans Serif"/>
      <family val="2"/>
    </font>
    <font>
      <b/>
      <sz val="10"/>
      <color indexed="12"/>
      <name val="Times New Roman"/>
      <family val="1"/>
    </font>
    <font>
      <sz val="10"/>
      <color indexed="12"/>
      <name val="Arial"/>
      <family val="2"/>
    </font>
    <font>
      <b/>
      <sz val="8"/>
      <name val="Arial"/>
      <family val="2"/>
    </font>
    <font>
      <sz val="11"/>
      <name val="明朝"/>
      <family val="1"/>
      <charset val="128"/>
    </font>
    <font>
      <b/>
      <sz val="16"/>
      <name val="丸ｺﾞｼｯｸ"/>
      <family val="3"/>
      <charset val="128"/>
    </font>
    <font>
      <b/>
      <sz val="11"/>
      <color indexed="10"/>
      <name val="ＭＳ Ｐゴシック"/>
      <family val="3"/>
      <charset val="128"/>
    </font>
    <font>
      <u/>
      <sz val="9.35"/>
      <color indexed="12"/>
      <name val="ＭＳ Ｐゴシック"/>
      <family val="3"/>
      <charset val="128"/>
    </font>
    <font>
      <b/>
      <sz val="11"/>
      <color indexed="8"/>
      <name val="Calibri"/>
      <family val="2"/>
    </font>
    <font>
      <sz val="11"/>
      <color indexed="8"/>
      <name val="Calibri"/>
      <family val="2"/>
    </font>
    <font>
      <sz val="9"/>
      <name val="ＭＳ Ｐゴシック"/>
      <family val="3"/>
      <charset val="128"/>
    </font>
    <font>
      <sz val="9"/>
      <name val="ＭＳ ゴシック"/>
      <family val="3"/>
      <charset val="128"/>
    </font>
    <font>
      <b/>
      <sz val="10"/>
      <name val="ＭＳ Ｐゴシック"/>
      <family val="3"/>
      <charset val="128"/>
    </font>
    <font>
      <sz val="10"/>
      <name val="ＭＳ ゴシック"/>
      <family val="3"/>
      <charset val="128"/>
    </font>
    <font>
      <sz val="11"/>
      <color indexed="9"/>
      <name val="Calibri"/>
      <family val="2"/>
    </font>
    <font>
      <sz val="11"/>
      <color indexed="20"/>
      <name val="Calibri"/>
      <family val="2"/>
    </font>
    <font>
      <sz val="10"/>
      <name val="ＭＳ Ｐ明朝"/>
      <family val="1"/>
      <charset val="128"/>
    </font>
    <font>
      <b/>
      <sz val="11"/>
      <color indexed="52"/>
      <name val="Calibri"/>
      <family val="2"/>
    </font>
    <font>
      <b/>
      <sz val="11"/>
      <color indexed="9"/>
      <name val="Calibri"/>
      <family val="2"/>
    </font>
    <font>
      <sz val="10"/>
      <name val="BERNHARD"/>
      <family val="2"/>
    </font>
    <font>
      <sz val="1"/>
      <color indexed="8"/>
      <name val="Courier"/>
      <family val="3"/>
    </font>
    <font>
      <b/>
      <sz val="1"/>
      <color indexed="8"/>
      <name val="Courier"/>
      <family val="3"/>
    </font>
    <font>
      <sz val="9"/>
      <name val="Times New Roman"/>
      <family val="1"/>
    </font>
    <font>
      <i/>
      <sz val="11"/>
      <color indexed="23"/>
      <name val="Calibri"/>
      <family val="2"/>
    </font>
    <font>
      <sz val="11"/>
      <color indexed="17"/>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7"/>
      <name val="Small Fonts"/>
      <family val="3"/>
      <charset val="128"/>
    </font>
    <font>
      <sz val="8"/>
      <name val="Times New Roman"/>
      <family val="1"/>
    </font>
    <font>
      <sz val="14"/>
      <name val="?? ??"/>
      <family val="1"/>
    </font>
    <font>
      <b/>
      <sz val="11"/>
      <color indexed="63"/>
      <name val="Calibri"/>
      <family val="2"/>
    </font>
    <font>
      <sz val="8"/>
      <color indexed="16"/>
      <name val="Century Schoolbook"/>
      <family val="1"/>
    </font>
    <font>
      <sz val="8"/>
      <name val="Helv"/>
      <family val="2"/>
    </font>
    <font>
      <b/>
      <i/>
      <sz val="10"/>
      <name val="Times New Roman"/>
      <family val="1"/>
    </font>
    <font>
      <sz val="10"/>
      <name val="Times New Roman"/>
      <family val="1"/>
    </font>
    <font>
      <b/>
      <sz val="18"/>
      <color indexed="56"/>
      <name val="Cambria"/>
      <family val="1"/>
    </font>
    <font>
      <sz val="11"/>
      <color indexed="10"/>
      <name val="Calibri"/>
      <family val="2"/>
    </font>
    <font>
      <u/>
      <sz val="10"/>
      <color indexed="12"/>
      <name val="Arial"/>
      <family val="2"/>
    </font>
    <font>
      <b/>
      <sz val="12"/>
      <name val="標準ゴシック"/>
      <family val="3"/>
      <charset val="128"/>
    </font>
    <font>
      <b/>
      <sz val="15"/>
      <color indexed="56"/>
      <name val="ＭＳ Ｐゴシック"/>
      <family val="3"/>
      <charset val="128"/>
    </font>
    <font>
      <sz val="14"/>
      <name val="ＭＳ 明朝"/>
      <family val="1"/>
      <charset val="128"/>
    </font>
    <font>
      <sz val="10"/>
      <name val="Courier"/>
      <family val="3"/>
    </font>
    <font>
      <sz val="10"/>
      <name val="ＭＳ 明朝"/>
      <family val="1"/>
      <charset val="128"/>
    </font>
    <font>
      <sz val="20"/>
      <name val="ＭＳ ゴシック"/>
      <family val="3"/>
      <charset val="128"/>
    </font>
    <font>
      <sz val="8"/>
      <name val="ＭＳ ゴシック"/>
      <family val="3"/>
      <charset val="128"/>
    </font>
    <font>
      <b/>
      <sz val="10"/>
      <name val="ＭＳ ゴシック"/>
      <family val="3"/>
      <charset val="128"/>
    </font>
    <font>
      <sz val="10.5"/>
      <name val="ＭＳ 明朝"/>
      <family val="1"/>
      <charset val="128"/>
    </font>
    <font>
      <b/>
      <sz val="9"/>
      <name val="ＭＳ ゴシック"/>
      <family val="3"/>
      <charset val="128"/>
    </font>
    <font>
      <b/>
      <sz val="12"/>
      <name val="ＭＳ ゴシック"/>
      <family val="3"/>
      <charset val="128"/>
    </font>
    <font>
      <u/>
      <sz val="11"/>
      <name val="ＭＳ Ｐゴシック"/>
      <family val="3"/>
      <charset val="128"/>
    </font>
    <font>
      <b/>
      <sz val="12"/>
      <name val="ＭＳ Ｐゴシック"/>
      <family val="3"/>
      <charset val="128"/>
    </font>
    <font>
      <sz val="11"/>
      <name val="ＭＳ ゴシック"/>
      <family val="3"/>
      <charset val="128"/>
    </font>
    <font>
      <sz val="11"/>
      <color theme="1"/>
      <name val="ＭＳ Ｐゴシック"/>
      <family val="3"/>
      <charset val="128"/>
      <scheme val="minor"/>
    </font>
    <font>
      <sz val="11"/>
      <color rgb="FFFF0000"/>
      <name val="ＭＳ Ｐゴシック"/>
      <family val="3"/>
      <charset val="128"/>
    </font>
    <font>
      <sz val="11"/>
      <color rgb="FFFF0000"/>
      <name val="ＭＳ ゴシック"/>
      <family val="3"/>
      <charset val="128"/>
    </font>
    <font>
      <b/>
      <sz val="11"/>
      <color rgb="FFFF0000"/>
      <name val="ＭＳ Ｐゴシック"/>
      <family val="3"/>
      <charset val="128"/>
    </font>
    <font>
      <sz val="9"/>
      <color rgb="FFFF0000"/>
      <name val="ＭＳ ゴシック"/>
      <family val="3"/>
      <charset val="128"/>
    </font>
  </fonts>
  <fills count="4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bgColor indexed="64"/>
      </patternFill>
    </fill>
    <fill>
      <patternFill patternType="solid">
        <fgColor indexed="22"/>
        <bgColor indexed="64"/>
      </patternFill>
    </fill>
    <fill>
      <patternFill patternType="solid">
        <fgColor indexed="43"/>
      </patternFill>
    </fill>
    <fill>
      <patternFill patternType="solid">
        <fgColor indexed="26"/>
      </patternFill>
    </fill>
    <fill>
      <patternFill patternType="solid">
        <fgColor indexed="42"/>
        <bgColor indexed="42"/>
      </patternFill>
    </fill>
    <fill>
      <patternFill patternType="lightGray"/>
    </fill>
    <fill>
      <patternFill patternType="solid">
        <fgColor indexed="13"/>
        <bgColor indexed="64"/>
      </patternFill>
    </fill>
    <fill>
      <patternFill patternType="solid">
        <fgColor indexed="51"/>
        <bgColor indexed="64"/>
      </patternFill>
    </fill>
    <fill>
      <patternFill patternType="solid">
        <fgColor indexed="42"/>
        <bgColor indexed="64"/>
      </patternFill>
    </fill>
    <fill>
      <patternFill patternType="solid">
        <fgColor indexed="65"/>
        <bgColor indexed="64"/>
      </patternFill>
    </fill>
    <fill>
      <patternFill patternType="solid">
        <fgColor indexed="40"/>
        <bgColor indexed="64"/>
      </patternFill>
    </fill>
    <fill>
      <patternFill patternType="solid">
        <fgColor indexed="44"/>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bgColor indexed="64"/>
      </patternFill>
    </fill>
    <fill>
      <patternFill patternType="solid">
        <fgColor theme="0" tint="-0.499984740745262"/>
        <bgColor indexed="64"/>
      </patternFill>
    </fill>
    <fill>
      <patternFill patternType="solid">
        <fgColor rgb="FFFFC000"/>
        <bgColor indexed="64"/>
      </patternFill>
    </fill>
    <fill>
      <patternFill patternType="solid">
        <fgColor theme="9" tint="0.59999389629810485"/>
        <bgColor indexed="64"/>
      </patternFill>
    </fill>
    <fill>
      <patternFill patternType="solid">
        <fgColor rgb="FF00B0F0"/>
        <bgColor indexed="64"/>
      </patternFill>
    </fill>
    <fill>
      <patternFill patternType="solid">
        <fgColor rgb="FF99CCFF"/>
        <bgColor indexed="64"/>
      </patternFill>
    </fill>
    <fill>
      <patternFill patternType="solid">
        <fgColor rgb="FFCCFFCC"/>
        <bgColor indexed="64"/>
      </patternFill>
    </fill>
  </fills>
  <borders count="131">
    <border>
      <left/>
      <right/>
      <top/>
      <bottom/>
      <diagonal/>
    </border>
    <border>
      <left/>
      <right/>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double">
        <color indexed="64"/>
      </left>
      <right/>
      <top style="double">
        <color indexed="64"/>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62"/>
      </top>
      <bottom style="double">
        <color indexed="62"/>
      </bottom>
      <diagonal/>
    </border>
    <border>
      <left style="thin">
        <color indexed="64"/>
      </left>
      <right style="thin">
        <color indexed="64"/>
      </right>
      <top style="dotted">
        <color indexed="64"/>
      </top>
      <bottom style="dotted">
        <color indexed="64"/>
      </bottom>
      <diagonal/>
    </border>
    <border>
      <left/>
      <right/>
      <top/>
      <bottom style="thick">
        <color indexed="62"/>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double">
        <color indexed="64"/>
      </top>
      <bottom/>
      <diagonal/>
    </border>
    <border>
      <left/>
      <right/>
      <top/>
      <bottom style="double">
        <color indexed="64"/>
      </bottom>
      <diagonal/>
    </border>
    <border>
      <left style="hair">
        <color indexed="64"/>
      </left>
      <right style="hair">
        <color indexed="64"/>
      </right>
      <top/>
      <bottom style="medium">
        <color indexed="64"/>
      </bottom>
      <diagonal/>
    </border>
    <border>
      <left/>
      <right style="thin">
        <color indexed="64"/>
      </right>
      <top/>
      <bottom style="medium">
        <color indexed="64"/>
      </bottom>
      <diagonal/>
    </border>
    <border>
      <left/>
      <right style="medium">
        <color indexed="64"/>
      </right>
      <top/>
      <bottom/>
      <diagonal/>
    </border>
    <border>
      <left style="hair">
        <color indexed="64"/>
      </left>
      <right style="hair">
        <color indexed="64"/>
      </right>
      <top style="thin">
        <color indexed="64"/>
      </top>
      <bottom/>
      <diagonal/>
    </border>
    <border>
      <left/>
      <right style="thin">
        <color indexed="64"/>
      </right>
      <top/>
      <bottom/>
      <diagonal/>
    </border>
    <border>
      <left/>
      <right style="hair">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hair">
        <color indexed="64"/>
      </right>
      <top/>
      <bottom/>
      <diagonal/>
    </border>
    <border>
      <left/>
      <right style="hair">
        <color indexed="64"/>
      </right>
      <top style="thin">
        <color indexed="64"/>
      </top>
      <bottom/>
      <diagonal/>
    </border>
    <border>
      <left style="hair">
        <color indexed="64"/>
      </left>
      <right style="hair">
        <color indexed="64"/>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hair">
        <color indexed="64"/>
      </left>
      <right style="hair">
        <color indexed="64"/>
      </right>
      <top/>
      <bottom style="hair">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bottom/>
      <diagonal/>
    </border>
    <border>
      <left style="hair">
        <color indexed="64"/>
      </left>
      <right style="hair">
        <color indexed="64"/>
      </right>
      <top/>
      <bottom style="thin">
        <color indexed="64"/>
      </bottom>
      <diagonal/>
    </border>
    <border>
      <left/>
      <right style="thin">
        <color indexed="64"/>
      </right>
      <top style="hair">
        <color indexed="64"/>
      </top>
      <bottom/>
      <diagonal/>
    </border>
    <border>
      <left/>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style="hair">
        <color indexed="64"/>
      </left>
      <right style="hair">
        <color indexed="64"/>
      </right>
      <top style="hair">
        <color indexed="64"/>
      </top>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top style="double">
        <color indexed="64"/>
      </top>
      <bottom style="thin">
        <color indexed="64"/>
      </bottom>
      <diagonal/>
    </border>
    <border>
      <left/>
      <right/>
      <top style="double">
        <color indexed="64"/>
      </top>
      <bottom/>
      <diagonal/>
    </border>
    <border>
      <left style="medium">
        <color indexed="64"/>
      </left>
      <right/>
      <top style="double">
        <color indexed="64"/>
      </top>
      <bottom/>
      <diagonal/>
    </border>
    <border>
      <left style="thin">
        <color indexed="64"/>
      </left>
      <right style="thin">
        <color indexed="64"/>
      </right>
      <top/>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hair">
        <color indexed="64"/>
      </left>
      <right style="hair">
        <color indexed="64"/>
      </right>
      <top style="thick">
        <color indexed="64"/>
      </top>
      <bottom style="thin">
        <color indexed="64"/>
      </bottom>
      <diagonal/>
    </border>
    <border>
      <left/>
      <right style="hair">
        <color indexed="64"/>
      </right>
      <top style="hair">
        <color indexed="64"/>
      </top>
      <bottom/>
      <diagonal/>
    </border>
    <border>
      <left/>
      <right style="thin">
        <color indexed="64"/>
      </right>
      <top/>
      <bottom style="double">
        <color indexed="64"/>
      </bottom>
      <diagonal/>
    </border>
    <border>
      <left style="medium">
        <color indexed="64"/>
      </left>
      <right/>
      <top/>
      <bottom style="double">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right style="hair">
        <color indexed="64"/>
      </right>
      <top/>
      <bottom style="medium">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
      <left style="hair">
        <color indexed="64"/>
      </left>
      <right/>
      <top style="thin">
        <color indexed="64"/>
      </top>
      <bottom style="medium">
        <color indexed="64"/>
      </bottom>
      <diagonal/>
    </border>
    <border>
      <left style="medium">
        <color indexed="64"/>
      </left>
      <right/>
      <top/>
      <bottom style="medium">
        <color indexed="64"/>
      </bottom>
      <diagonal/>
    </border>
    <border>
      <left/>
      <right style="hair">
        <color indexed="64"/>
      </right>
      <top style="hair">
        <color indexed="64"/>
      </top>
      <bottom style="hair">
        <color indexed="64"/>
      </bottom>
      <diagonal/>
    </border>
    <border>
      <left/>
      <right style="hair">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hair">
        <color indexed="64"/>
      </bottom>
      <diagonal/>
    </border>
    <border>
      <left style="hair">
        <color indexed="64"/>
      </left>
      <right/>
      <top style="medium">
        <color indexed="64"/>
      </top>
      <bottom/>
      <diagonal/>
    </border>
    <border>
      <left/>
      <right style="hair">
        <color indexed="64"/>
      </right>
      <top style="medium">
        <color indexed="64"/>
      </top>
      <bottom style="hair">
        <color indexed="64"/>
      </bottom>
      <diagonal/>
    </border>
    <border>
      <left/>
      <right style="hair">
        <color indexed="64"/>
      </right>
      <top style="medium">
        <color indexed="64"/>
      </top>
      <bottom/>
      <diagonal/>
    </border>
    <border>
      <left/>
      <right/>
      <top style="medium">
        <color indexed="64"/>
      </top>
      <bottom/>
      <diagonal/>
    </border>
    <border>
      <left style="thin">
        <color indexed="64"/>
      </left>
      <right/>
      <top style="medium">
        <color indexed="64"/>
      </top>
      <bottom/>
      <diagonal/>
    </border>
    <border>
      <left/>
      <right style="hair">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style="thin">
        <color indexed="64"/>
      </right>
      <top style="double">
        <color indexed="64"/>
      </top>
      <bottom style="thin">
        <color indexed="64"/>
      </bottom>
      <diagonal/>
    </border>
    <border>
      <left style="medium">
        <color indexed="64"/>
      </left>
      <right/>
      <top style="thin">
        <color indexed="64"/>
      </top>
      <bottom/>
      <diagonal/>
    </border>
    <border>
      <left style="thin">
        <color indexed="64"/>
      </left>
      <right style="medium">
        <color indexed="64"/>
      </right>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bottom style="double">
        <color indexed="64"/>
      </bottom>
      <diagonal/>
    </border>
    <border>
      <left style="medium">
        <color indexed="64"/>
      </left>
      <right/>
      <top style="medium">
        <color indexed="64"/>
      </top>
      <bottom style="medium">
        <color indexed="64"/>
      </bottom>
      <diagonal/>
    </border>
    <border>
      <left style="hair">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202">
    <xf numFmtId="0" fontId="0" fillId="0" borderId="0">
      <alignment vertical="center"/>
    </xf>
    <xf numFmtId="0" fontId="6" fillId="0" borderId="1"/>
    <xf numFmtId="0" fontId="6" fillId="0" borderId="0"/>
    <xf numFmtId="0" fontId="7" fillId="0" borderId="1"/>
    <xf numFmtId="0" fontId="30" fillId="2" borderId="0" applyNumberFormat="0" applyBorder="0" applyAlignment="0" applyProtection="0"/>
    <xf numFmtId="0" fontId="30" fillId="3" borderId="0" applyNumberFormat="0" applyBorder="0" applyAlignment="0" applyProtection="0"/>
    <xf numFmtId="0" fontId="30" fillId="4" borderId="0" applyNumberFormat="0" applyBorder="0" applyAlignment="0" applyProtection="0"/>
    <xf numFmtId="0" fontId="30" fillId="5" borderId="0" applyNumberFormat="0" applyBorder="0" applyAlignment="0" applyProtection="0"/>
    <xf numFmtId="0" fontId="30" fillId="6" borderId="0" applyNumberFormat="0" applyBorder="0" applyAlignment="0" applyProtection="0"/>
    <xf numFmtId="0" fontId="30" fillId="7" borderId="0" applyNumberFormat="0" applyBorder="0" applyAlignment="0" applyProtection="0"/>
    <xf numFmtId="0" fontId="30" fillId="8" borderId="0" applyNumberFormat="0" applyBorder="0" applyAlignment="0" applyProtection="0"/>
    <xf numFmtId="0" fontId="30" fillId="9" borderId="0" applyNumberFormat="0" applyBorder="0" applyAlignment="0" applyProtection="0"/>
    <xf numFmtId="0" fontId="30" fillId="10" borderId="0" applyNumberFormat="0" applyBorder="0" applyAlignment="0" applyProtection="0"/>
    <xf numFmtId="0" fontId="30" fillId="5" borderId="0" applyNumberFormat="0" applyBorder="0" applyAlignment="0" applyProtection="0"/>
    <xf numFmtId="0" fontId="30" fillId="8" borderId="0" applyNumberFormat="0" applyBorder="0" applyAlignment="0" applyProtection="0"/>
    <xf numFmtId="0" fontId="30" fillId="11" borderId="0" applyNumberFormat="0" applyBorder="0" applyAlignment="0" applyProtection="0"/>
    <xf numFmtId="0" fontId="35" fillId="12"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35" fillId="18"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9" borderId="0" applyNumberFormat="0" applyBorder="0" applyAlignment="0" applyProtection="0"/>
    <xf numFmtId="179" fontId="8" fillId="0" borderId="0" applyFont="0" applyFill="0" applyBorder="0" applyAlignment="0" applyProtection="0"/>
    <xf numFmtId="180" fontId="8"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0" fontId="36" fillId="3" borderId="0" applyNumberFormat="0" applyBorder="0" applyAlignment="0" applyProtection="0"/>
    <xf numFmtId="0" fontId="37" fillId="0" borderId="0">
      <alignment vertical="center" wrapText="1"/>
    </xf>
    <xf numFmtId="0" fontId="8" fillId="0" borderId="0"/>
    <xf numFmtId="0" fontId="9" fillId="0" borderId="0" applyFill="0" applyBorder="0" applyAlignment="0"/>
    <xf numFmtId="0" fontId="38" fillId="20" borderId="2" applyNumberFormat="0" applyAlignment="0" applyProtection="0"/>
    <xf numFmtId="0" fontId="10" fillId="0" borderId="0"/>
    <xf numFmtId="0" fontId="39" fillId="21" borderId="3" applyNumberFormat="0" applyAlignment="0" applyProtection="0"/>
    <xf numFmtId="41" fontId="19" fillId="0" borderId="0" applyFont="0" applyFill="0" applyBorder="0" applyAlignment="0" applyProtection="0"/>
    <xf numFmtId="43" fontId="19" fillId="0" borderId="0" applyFont="0" applyFill="0" applyBorder="0" applyAlignment="0" applyProtection="0"/>
    <xf numFmtId="0" fontId="40" fillId="0" borderId="0"/>
    <xf numFmtId="0" fontId="8" fillId="0" borderId="0"/>
    <xf numFmtId="0" fontId="40" fillId="0" borderId="0"/>
    <xf numFmtId="0" fontId="8" fillId="0" borderId="0"/>
    <xf numFmtId="181" fontId="19" fillId="0" borderId="0" applyFont="0" applyFill="0" applyBorder="0" applyAlignment="0" applyProtection="0"/>
    <xf numFmtId="182" fontId="19" fillId="0" borderId="0" applyFont="0" applyFill="0" applyBorder="0" applyAlignment="0" applyProtection="0"/>
    <xf numFmtId="0" fontId="41" fillId="0" borderId="0">
      <protection locked="0"/>
    </xf>
    <xf numFmtId="0" fontId="42" fillId="0" borderId="0">
      <protection locked="0"/>
    </xf>
    <xf numFmtId="0" fontId="42" fillId="0" borderId="0">
      <protection locked="0"/>
    </xf>
    <xf numFmtId="0" fontId="43" fillId="0" borderId="0">
      <alignment horizontal="left"/>
    </xf>
    <xf numFmtId="0" fontId="44" fillId="0" borderId="0" applyNumberFormat="0" applyFill="0" applyBorder="0" applyAlignment="0" applyProtection="0"/>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5" fillId="4" borderId="0" applyNumberFormat="0" applyBorder="0" applyAlignment="0" applyProtection="0"/>
    <xf numFmtId="38" fontId="11" fillId="22" borderId="0" applyNumberFormat="0" applyBorder="0" applyAlignment="0" applyProtection="0"/>
    <xf numFmtId="0" fontId="12" fillId="0" borderId="0">
      <alignment horizontal="left"/>
    </xf>
    <xf numFmtId="0" fontId="13" fillId="0" borderId="4" applyFill="0" applyBorder="0"/>
    <xf numFmtId="0" fontId="11" fillId="0" borderId="4" applyBorder="0">
      <alignment horizontal="center" vertical="center"/>
    </xf>
    <xf numFmtId="0" fontId="14" fillId="0" borderId="4" applyBorder="0">
      <alignment horizontal="center" vertical="center"/>
    </xf>
    <xf numFmtId="0" fontId="15" fillId="0" borderId="5" applyNumberFormat="0" applyAlignment="0" applyProtection="0">
      <alignment horizontal="left" vertical="center"/>
    </xf>
    <xf numFmtId="0" fontId="15" fillId="0" borderId="6">
      <alignment horizontal="left" vertical="center"/>
    </xf>
    <xf numFmtId="0" fontId="15" fillId="0" borderId="0" applyFill="0" applyBorder="0" applyAlignment="0">
      <alignment vertical="center"/>
    </xf>
    <xf numFmtId="0" fontId="46" fillId="0" borderId="7" applyNumberFormat="0" applyFill="0" applyAlignment="0" applyProtection="0"/>
    <xf numFmtId="0" fontId="47" fillId="0" borderId="8" applyNumberFormat="0" applyFill="0" applyAlignment="0" applyProtection="0"/>
    <xf numFmtId="0" fontId="47" fillId="0" borderId="0" applyNumberFormat="0" applyFill="0" applyBorder="0" applyAlignment="0" applyProtection="0"/>
    <xf numFmtId="0" fontId="16" fillId="0" borderId="4" applyBorder="0">
      <alignment horizontal="center" vertical="center"/>
    </xf>
    <xf numFmtId="0" fontId="28" fillId="0" borderId="0" applyNumberFormat="0" applyFill="0" applyBorder="0" applyAlignment="0" applyProtection="0">
      <alignment vertical="top"/>
      <protection locked="0"/>
    </xf>
    <xf numFmtId="0" fontId="34" fillId="0" borderId="0" applyBorder="0"/>
    <xf numFmtId="0" fontId="48" fillId="7" borderId="2" applyNumberFormat="0" applyAlignment="0" applyProtection="0"/>
    <xf numFmtId="10" fontId="11" fillId="22" borderId="9" applyNumberFormat="0" applyBorder="0" applyAlignment="0" applyProtection="0"/>
    <xf numFmtId="0" fontId="34" fillId="0" borderId="0"/>
    <xf numFmtId="0" fontId="49" fillId="0" borderId="10" applyNumberFormat="0" applyFill="0" applyAlignment="0" applyProtection="0"/>
    <xf numFmtId="0" fontId="25" fillId="23" borderId="0" applyNumberFormat="0" applyFont="0" applyBorder="0" applyAlignment="0" applyProtection="0"/>
    <xf numFmtId="183" fontId="1" fillId="0" borderId="0" applyFont="0" applyFill="0" applyBorder="0" applyAlignment="0" applyProtection="0"/>
    <xf numFmtId="183" fontId="1" fillId="0" borderId="0" applyFont="0" applyFill="0" applyBorder="0" applyAlignment="0" applyProtection="0"/>
    <xf numFmtId="0" fontId="17" fillId="0" borderId="11"/>
    <xf numFmtId="184" fontId="1" fillId="0" borderId="0" applyFont="0" applyFill="0" applyBorder="0" applyAlignment="0" applyProtection="0"/>
    <xf numFmtId="185" fontId="1" fillId="0" borderId="0" applyFont="0" applyFill="0" applyBorder="0" applyAlignment="0" applyProtection="0"/>
    <xf numFmtId="0" fontId="41" fillId="0" borderId="0">
      <protection locked="0"/>
    </xf>
    <xf numFmtId="0" fontId="50" fillId="24" borderId="0" applyNumberFormat="0" applyBorder="0" applyAlignment="0" applyProtection="0"/>
    <xf numFmtId="37" fontId="51" fillId="0" borderId="0"/>
    <xf numFmtId="178" fontId="18" fillId="0" borderId="0"/>
    <xf numFmtId="0" fontId="76" fillId="0" borderId="0">
      <alignment vertical="center"/>
    </xf>
    <xf numFmtId="0" fontId="52" fillId="0" borderId="0"/>
    <xf numFmtId="0" fontId="53" fillId="0" borderId="0"/>
    <xf numFmtId="0" fontId="1" fillId="25" borderId="12" applyNumberFormat="0" applyFont="0" applyAlignment="0" applyProtection="0"/>
    <xf numFmtId="186" fontId="19" fillId="0" borderId="0" applyFont="0" applyFill="0" applyBorder="0" applyAlignment="0" applyProtection="0">
      <alignment horizontal="center"/>
      <protection locked="0"/>
    </xf>
    <xf numFmtId="0" fontId="54" fillId="20" borderId="13" applyNumberFormat="0" applyAlignment="0" applyProtection="0"/>
    <xf numFmtId="10" fontId="19" fillId="0" borderId="0" applyFont="0" applyFill="0" applyBorder="0" applyAlignment="0" applyProtection="0"/>
    <xf numFmtId="0" fontId="41" fillId="0" borderId="0">
      <protection locked="0"/>
    </xf>
    <xf numFmtId="4" fontId="43" fillId="0" borderId="0">
      <alignment horizontal="right"/>
    </xf>
    <xf numFmtId="0" fontId="20" fillId="0" borderId="0" applyNumberFormat="0" applyFont="0" applyFill="0" applyBorder="0" applyAlignment="0" applyProtection="0">
      <alignment horizontal="left"/>
    </xf>
    <xf numFmtId="0" fontId="21" fillId="0" borderId="11">
      <alignment horizontal="center"/>
    </xf>
    <xf numFmtId="4" fontId="55" fillId="0" borderId="0">
      <alignment horizontal="right"/>
    </xf>
    <xf numFmtId="38" fontId="56" fillId="0" borderId="0"/>
    <xf numFmtId="0" fontId="57" fillId="0" borderId="0">
      <alignment horizontal="left"/>
    </xf>
    <xf numFmtId="1" fontId="58" fillId="0" borderId="0" applyBorder="0">
      <alignment horizontal="left" vertical="top" wrapText="1"/>
    </xf>
    <xf numFmtId="0" fontId="17" fillId="0" borderId="0"/>
    <xf numFmtId="0" fontId="22" fillId="0" borderId="14" applyNumberFormat="0" applyFill="0" applyBorder="0">
      <alignment horizontal="centerContinuous" vertical="center" wrapText="1"/>
      <protection locked="0"/>
    </xf>
    <xf numFmtId="0" fontId="13" fillId="26" borderId="15" applyFill="0" applyBorder="0">
      <alignment horizontal="left" vertical="center"/>
    </xf>
    <xf numFmtId="0" fontId="13" fillId="26" borderId="15" applyFill="0" applyBorder="0">
      <alignment horizontal="center" vertical="center"/>
    </xf>
    <xf numFmtId="0" fontId="13" fillId="26" borderId="16" applyNumberFormat="0" applyFill="0" applyBorder="0" applyProtection="0">
      <alignment horizontal="centerContinuous"/>
    </xf>
    <xf numFmtId="0" fontId="23" fillId="0" borderId="14" applyFill="0" applyBorder="0" applyProtection="0">
      <alignment vertical="center"/>
      <protection locked="0"/>
    </xf>
    <xf numFmtId="0" fontId="11" fillId="0" borderId="0" applyFill="0" applyBorder="0">
      <alignment vertical="center"/>
    </xf>
    <xf numFmtId="0" fontId="24" fillId="26" borderId="17" applyFill="0" applyBorder="0" applyAlignment="0">
      <alignment horizontal="center" vertical="center"/>
    </xf>
    <xf numFmtId="0" fontId="11" fillId="0" borderId="0" applyFill="0" applyBorder="0">
      <alignment horizontal="centerContinuous" vertical="center"/>
    </xf>
    <xf numFmtId="0" fontId="13" fillId="0" borderId="0" applyNumberFormat="0" applyFill="0" applyBorder="0">
      <alignment vertical="center"/>
    </xf>
    <xf numFmtId="0" fontId="59" fillId="0" borderId="0" applyNumberFormat="0" applyFill="0" applyBorder="0" applyAlignment="0" applyProtection="0"/>
    <xf numFmtId="0" fontId="29" fillId="0" borderId="18" applyNumberFormat="0" applyFill="0" applyAlignment="0" applyProtection="0"/>
    <xf numFmtId="0" fontId="60" fillId="0" borderId="0" applyNumberFormat="0" applyFill="0" applyBorder="0" applyAlignment="0" applyProtection="0"/>
    <xf numFmtId="0" fontId="2"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1" fillId="0" borderId="19"/>
    <xf numFmtId="187" fontId="4" fillId="0" borderId="0" applyBorder="0">
      <alignment horizontal="right"/>
    </xf>
    <xf numFmtId="0" fontId="34" fillId="0" borderId="0">
      <alignment vertical="center"/>
    </xf>
    <xf numFmtId="49" fontId="1" fillId="0" borderId="0" applyFont="0"/>
    <xf numFmtId="38" fontId="25" fillId="0" borderId="0"/>
    <xf numFmtId="0" fontId="62" fillId="0" borderId="0"/>
    <xf numFmtId="0" fontId="63" fillId="0" borderId="20" applyNumberFormat="0" applyFill="0" applyAlignment="0" applyProtection="0">
      <alignment vertical="center"/>
    </xf>
    <xf numFmtId="0" fontId="1" fillId="0" borderId="0">
      <alignment vertical="center"/>
    </xf>
    <xf numFmtId="0" fontId="1" fillId="0" borderId="0">
      <alignment vertical="center"/>
    </xf>
    <xf numFmtId="177" fontId="25" fillId="0" borderId="0"/>
    <xf numFmtId="188" fontId="4" fillId="0" borderId="0" applyFill="0" applyBorder="0"/>
    <xf numFmtId="187" fontId="4" fillId="0" borderId="0" applyFill="0" applyBorder="0"/>
    <xf numFmtId="189" fontId="1" fillId="0" borderId="0" applyFill="0" applyBorder="0"/>
    <xf numFmtId="49" fontId="4" fillId="22" borderId="21">
      <alignment horizontal="center"/>
    </xf>
    <xf numFmtId="176" fontId="4" fillId="22" borderId="21">
      <alignment horizontal="right"/>
    </xf>
    <xf numFmtId="14" fontId="4" fillId="22" borderId="0" applyBorder="0">
      <alignment horizontal="center"/>
    </xf>
    <xf numFmtId="49" fontId="4" fillId="0" borderId="21"/>
    <xf numFmtId="6" fontId="1" fillId="0" borderId="0" applyFont="0" applyFill="0" applyBorder="0" applyAlignment="0" applyProtection="0"/>
    <xf numFmtId="14" fontId="4" fillId="0" borderId="22" applyBorder="0">
      <alignment horizontal="left"/>
    </xf>
    <xf numFmtId="14" fontId="4" fillId="0" borderId="0" applyFill="0" applyBorder="0"/>
    <xf numFmtId="0" fontId="64" fillId="0" borderId="0"/>
    <xf numFmtId="0" fontId="1" fillId="0" borderId="0"/>
    <xf numFmtId="0" fontId="76" fillId="0" borderId="0">
      <alignment vertical="center"/>
    </xf>
    <xf numFmtId="0" fontId="1" fillId="0" borderId="0"/>
    <xf numFmtId="0" fontId="1" fillId="0" borderId="0"/>
    <xf numFmtId="0" fontId="1" fillId="0" borderId="0"/>
    <xf numFmtId="0" fontId="1" fillId="0" borderId="0">
      <alignment vertical="center"/>
    </xf>
    <xf numFmtId="0" fontId="1" fillId="0" borderId="0"/>
    <xf numFmtId="0" fontId="76" fillId="0" borderId="0">
      <alignment vertical="center"/>
    </xf>
    <xf numFmtId="0" fontId="1" fillId="0" borderId="0"/>
    <xf numFmtId="0" fontId="1" fillId="0" borderId="0">
      <alignment vertical="center"/>
    </xf>
    <xf numFmtId="0" fontId="76" fillId="0" borderId="0">
      <alignment vertical="center"/>
    </xf>
    <xf numFmtId="0" fontId="1" fillId="0" borderId="0"/>
    <xf numFmtId="0" fontId="76" fillId="0" borderId="0">
      <alignment vertical="center"/>
    </xf>
    <xf numFmtId="0" fontId="1" fillId="0" borderId="0">
      <alignment vertical="center"/>
    </xf>
    <xf numFmtId="0" fontId="32" fillId="0" borderId="0">
      <alignment vertical="center"/>
    </xf>
    <xf numFmtId="0" fontId="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lignment vertical="center"/>
    </xf>
    <xf numFmtId="0" fontId="1" fillId="0" borderId="0"/>
    <xf numFmtId="0" fontId="1" fillId="0" borderId="0"/>
    <xf numFmtId="0" fontId="1" fillId="0" borderId="0"/>
    <xf numFmtId="0" fontId="1" fillId="0" borderId="0"/>
    <xf numFmtId="0" fontId="1" fillId="0" borderId="0"/>
    <xf numFmtId="0" fontId="26" fillId="0" borderId="11">
      <alignment horizontal="centerContinuous" vertical="center" wrapText="1"/>
    </xf>
    <xf numFmtId="49" fontId="4" fillId="0" borderId="0" applyFill="0" applyBorder="0"/>
    <xf numFmtId="190" fontId="65" fillId="0" borderId="0"/>
    <xf numFmtId="0" fontId="1" fillId="27" borderId="0" applyNumberFormat="0" applyFont="0" applyBorder="0" applyAlignment="0" applyProtection="0"/>
    <xf numFmtId="0" fontId="31" fillId="27" borderId="23">
      <alignment horizontal="left" vertical="center" wrapText="1"/>
    </xf>
    <xf numFmtId="0" fontId="66" fillId="0" borderId="0"/>
  </cellStyleXfs>
  <cellXfs count="428">
    <xf numFmtId="0" fontId="0" fillId="0" borderId="0" xfId="0">
      <alignment vertical="center"/>
    </xf>
    <xf numFmtId="0" fontId="0" fillId="0" borderId="0" xfId="0" applyNumberFormat="1">
      <alignment vertical="center"/>
    </xf>
    <xf numFmtId="0" fontId="0" fillId="28" borderId="0" xfId="0" applyFill="1">
      <alignment vertical="center"/>
    </xf>
    <xf numFmtId="0" fontId="0" fillId="29" borderId="0" xfId="0" applyFill="1">
      <alignment vertical="center"/>
    </xf>
    <xf numFmtId="0" fontId="0" fillId="30" borderId="0" xfId="0" applyFill="1">
      <alignment vertical="center"/>
    </xf>
    <xf numFmtId="0" fontId="5" fillId="29" borderId="0" xfId="0" applyFont="1" applyFill="1">
      <alignment vertical="center"/>
    </xf>
    <xf numFmtId="0" fontId="0" fillId="0" borderId="0" xfId="0" applyFont="1">
      <alignment vertical="center"/>
    </xf>
    <xf numFmtId="0" fontId="5" fillId="28" borderId="0" xfId="0" applyFont="1" applyFill="1">
      <alignment vertical="center"/>
    </xf>
    <xf numFmtId="0" fontId="5" fillId="30" borderId="0" xfId="0" applyFont="1" applyFill="1">
      <alignment vertical="center"/>
    </xf>
    <xf numFmtId="0" fontId="32" fillId="0" borderId="0" xfId="169" applyFont="1" applyFill="1" applyAlignment="1">
      <alignment vertical="center"/>
    </xf>
    <xf numFmtId="0" fontId="32" fillId="0" borderId="24" xfId="169" applyFont="1" applyFill="1" applyBorder="1" applyAlignment="1">
      <alignment horizontal="center" vertical="center"/>
    </xf>
    <xf numFmtId="0" fontId="32" fillId="0" borderId="25" xfId="169" applyFont="1" applyFill="1" applyBorder="1" applyAlignment="1">
      <alignment horizontal="left" vertical="center"/>
    </xf>
    <xf numFmtId="0" fontId="32" fillId="0" borderId="26" xfId="169" applyFont="1" applyFill="1" applyBorder="1" applyAlignment="1">
      <alignment horizontal="left" vertical="center"/>
    </xf>
    <xf numFmtId="0" fontId="32" fillId="0" borderId="27" xfId="169" applyFont="1" applyFill="1" applyBorder="1" applyAlignment="1">
      <alignment horizontal="center" vertical="center"/>
    </xf>
    <xf numFmtId="0" fontId="32" fillId="0" borderId="28" xfId="169" applyFont="1" applyFill="1" applyBorder="1" applyAlignment="1">
      <alignment horizontal="center" vertical="center"/>
    </xf>
    <xf numFmtId="0" fontId="32" fillId="0" borderId="29" xfId="169" applyFont="1" applyFill="1" applyBorder="1" applyAlignment="1">
      <alignment horizontal="left" vertical="center" wrapText="1"/>
    </xf>
    <xf numFmtId="0" fontId="32" fillId="0" borderId="30" xfId="169" applyFont="1" applyFill="1" applyBorder="1" applyAlignment="1">
      <alignment horizontal="center" vertical="center"/>
    </xf>
    <xf numFmtId="0" fontId="32" fillId="0" borderId="31" xfId="169" applyFont="1" applyFill="1" applyBorder="1" applyAlignment="1">
      <alignment horizontal="center" vertical="center"/>
    </xf>
    <xf numFmtId="0" fontId="32" fillId="0" borderId="32" xfId="169" applyFont="1" applyFill="1" applyBorder="1" applyAlignment="1">
      <alignment horizontal="left" vertical="center"/>
    </xf>
    <xf numFmtId="0" fontId="32" fillId="0" borderId="33" xfId="169" applyFont="1" applyFill="1" applyBorder="1" applyAlignment="1">
      <alignment horizontal="center" vertical="center"/>
    </xf>
    <xf numFmtId="0" fontId="32" fillId="0" borderId="34" xfId="169" applyFont="1" applyFill="1" applyBorder="1" applyAlignment="1">
      <alignment horizontal="center" vertical="center"/>
    </xf>
    <xf numFmtId="0" fontId="32" fillId="0" borderId="35" xfId="169" applyFont="1" applyFill="1" applyBorder="1" applyAlignment="1">
      <alignment vertical="center"/>
    </xf>
    <xf numFmtId="0" fontId="32" fillId="0" borderId="0" xfId="169" applyFont="1" applyFill="1" applyAlignment="1">
      <alignment horizontal="left" vertical="center"/>
    </xf>
    <xf numFmtId="0" fontId="32" fillId="0" borderId="36" xfId="169" applyFont="1" applyFill="1" applyBorder="1" applyAlignment="1">
      <alignment vertical="center"/>
    </xf>
    <xf numFmtId="0" fontId="32" fillId="0" borderId="36" xfId="169" applyFont="1" applyFill="1" applyBorder="1" applyAlignment="1">
      <alignment horizontal="left" vertical="center"/>
    </xf>
    <xf numFmtId="0" fontId="67" fillId="0" borderId="36" xfId="169" applyFont="1" applyFill="1" applyBorder="1" applyAlignment="1">
      <alignment vertical="center"/>
    </xf>
    <xf numFmtId="0" fontId="32" fillId="31" borderId="0" xfId="195" applyFont="1" applyFill="1" applyBorder="1" applyAlignment="1"/>
    <xf numFmtId="0" fontId="34" fillId="31" borderId="0" xfId="195" applyFont="1" applyFill="1" applyBorder="1" applyAlignment="1"/>
    <xf numFmtId="49" fontId="34" fillId="31" borderId="37" xfId="195" applyNumberFormat="1" applyFont="1" applyFill="1" applyBorder="1" applyAlignment="1">
      <alignment horizontal="center" vertical="top" textRotation="255"/>
    </xf>
    <xf numFmtId="49" fontId="68" fillId="31" borderId="38" xfId="195" applyNumberFormat="1" applyFont="1" applyFill="1" applyBorder="1" applyAlignment="1">
      <alignment horizontal="right" vertical="center"/>
    </xf>
    <xf numFmtId="49" fontId="68" fillId="31" borderId="11" xfId="195" applyNumberFormat="1" applyFont="1" applyFill="1" applyBorder="1" applyAlignment="1" applyProtection="1">
      <alignment vertical="center" wrapText="1"/>
      <protection locked="0"/>
    </xf>
    <xf numFmtId="49" fontId="68" fillId="31" borderId="39" xfId="195" applyNumberFormat="1" applyFont="1" applyFill="1" applyBorder="1" applyAlignment="1">
      <alignment vertical="center"/>
    </xf>
    <xf numFmtId="49" fontId="68" fillId="31" borderId="0" xfId="195" applyNumberFormat="1" applyFont="1" applyFill="1" applyBorder="1" applyAlignment="1">
      <alignment vertical="center"/>
    </xf>
    <xf numFmtId="49" fontId="68" fillId="31" borderId="0" xfId="195" applyNumberFormat="1" applyFont="1" applyFill="1" applyBorder="1" applyAlignment="1" applyProtection="1">
      <alignment vertical="center"/>
      <protection locked="0"/>
    </xf>
    <xf numFmtId="49" fontId="34" fillId="31" borderId="40" xfId="195" applyNumberFormat="1" applyFont="1" applyFill="1" applyBorder="1" applyAlignment="1">
      <alignment horizontal="center" vertical="top" textRotation="255"/>
    </xf>
    <xf numFmtId="49" fontId="68" fillId="31" borderId="41" xfId="195" applyNumberFormat="1" applyFont="1" applyFill="1" applyBorder="1" applyAlignment="1">
      <alignment horizontal="right" vertical="center"/>
    </xf>
    <xf numFmtId="49" fontId="34" fillId="31" borderId="42" xfId="195" applyNumberFormat="1" applyFont="1" applyFill="1" applyBorder="1" applyAlignment="1">
      <alignment horizontal="center" vertical="center"/>
    </xf>
    <xf numFmtId="49" fontId="68" fillId="31" borderId="43" xfId="195" applyNumberFormat="1" applyFont="1" applyFill="1" applyBorder="1" applyAlignment="1">
      <alignment horizontal="right" vertical="top"/>
    </xf>
    <xf numFmtId="49" fontId="68" fillId="31" borderId="44" xfId="195" applyNumberFormat="1" applyFont="1" applyFill="1" applyBorder="1" applyAlignment="1">
      <alignment vertical="top"/>
    </xf>
    <xf numFmtId="49" fontId="68" fillId="31" borderId="44" xfId="195" applyNumberFormat="1" applyFont="1" applyFill="1" applyBorder="1" applyAlignment="1">
      <alignment vertical="center"/>
    </xf>
    <xf numFmtId="49" fontId="34" fillId="31" borderId="45" xfId="195" applyNumberFormat="1" applyFont="1" applyFill="1" applyBorder="1" applyAlignment="1">
      <alignment horizontal="center" vertical="center" wrapText="1"/>
    </xf>
    <xf numFmtId="49" fontId="68" fillId="31" borderId="41" xfId="195" applyNumberFormat="1" applyFont="1" applyFill="1" applyBorder="1" applyAlignment="1">
      <alignment horizontal="right"/>
    </xf>
    <xf numFmtId="49" fontId="68" fillId="31" borderId="0" xfId="195" applyNumberFormat="1" applyFont="1" applyFill="1" applyBorder="1" applyAlignment="1"/>
    <xf numFmtId="49" fontId="34" fillId="31" borderId="42" xfId="195" applyNumberFormat="1" applyFont="1" applyFill="1" applyBorder="1" applyAlignment="1">
      <alignment horizontal="right" vertical="center"/>
    </xf>
    <xf numFmtId="49" fontId="68" fillId="31" borderId="43" xfId="195" applyNumberFormat="1" applyFont="1" applyFill="1" applyBorder="1" applyAlignment="1">
      <alignment horizontal="right" vertical="center"/>
    </xf>
    <xf numFmtId="49" fontId="68" fillId="31" borderId="44" xfId="195" applyNumberFormat="1" applyFont="1" applyFill="1" applyBorder="1" applyAlignment="1" applyProtection="1">
      <alignment vertical="center" wrapText="1"/>
      <protection locked="0"/>
    </xf>
    <xf numFmtId="49" fontId="34" fillId="31" borderId="46" xfId="195" applyNumberFormat="1" applyFont="1" applyFill="1" applyBorder="1" applyAlignment="1">
      <alignment horizontal="right" vertical="center"/>
    </xf>
    <xf numFmtId="49" fontId="34" fillId="31" borderId="45" xfId="195" applyNumberFormat="1" applyFont="1" applyFill="1" applyBorder="1" applyAlignment="1">
      <alignment horizontal="left" vertical="top" wrapText="1"/>
    </xf>
    <xf numFmtId="49" fontId="34" fillId="31" borderId="42" xfId="195" applyNumberFormat="1" applyFont="1" applyFill="1" applyBorder="1" applyAlignment="1">
      <alignment horizontal="right" vertical="center" wrapText="1"/>
    </xf>
    <xf numFmtId="49" fontId="34" fillId="0" borderId="47" xfId="195" applyNumberFormat="1" applyFont="1" applyFill="1" applyBorder="1" applyAlignment="1">
      <alignment horizontal="center" vertical="center"/>
    </xf>
    <xf numFmtId="0" fontId="34" fillId="22" borderId="48" xfId="195" applyFont="1" applyFill="1" applyBorder="1" applyAlignment="1">
      <alignment vertical="top"/>
    </xf>
    <xf numFmtId="49" fontId="34" fillId="22" borderId="49" xfId="195" applyNumberFormat="1" applyFont="1" applyFill="1" applyBorder="1" applyAlignment="1">
      <alignment vertical="top"/>
    </xf>
    <xf numFmtId="0" fontId="34" fillId="31" borderId="49" xfId="195" applyFont="1" applyFill="1" applyBorder="1" applyAlignment="1">
      <alignment vertical="top" wrapText="1"/>
    </xf>
    <xf numFmtId="0" fontId="34" fillId="31" borderId="50" xfId="195" applyFont="1" applyFill="1" applyBorder="1"/>
    <xf numFmtId="49" fontId="34" fillId="31" borderId="51" xfId="195" applyNumberFormat="1" applyFont="1" applyFill="1" applyBorder="1" applyAlignment="1">
      <alignment vertical="center"/>
    </xf>
    <xf numFmtId="49" fontId="34" fillId="23" borderId="52" xfId="195" applyNumberFormat="1" applyFont="1" applyFill="1" applyBorder="1" applyAlignment="1">
      <alignment vertical="center"/>
    </xf>
    <xf numFmtId="49" fontId="34" fillId="34" borderId="53" xfId="195" applyNumberFormat="1" applyFont="1" applyFill="1" applyBorder="1" applyAlignment="1">
      <alignment horizontal="center" vertical="center"/>
    </xf>
    <xf numFmtId="49" fontId="34" fillId="0" borderId="53" xfId="195" applyNumberFormat="1" applyFont="1" applyFill="1" applyBorder="1" applyAlignment="1">
      <alignment horizontal="center" vertical="center"/>
    </xf>
    <xf numFmtId="49" fontId="34" fillId="22" borderId="54" xfId="195" applyNumberFormat="1" applyFont="1" applyFill="1" applyBorder="1" applyAlignment="1">
      <alignment vertical="center"/>
    </xf>
    <xf numFmtId="49" fontId="34" fillId="22" borderId="29" xfId="195" applyNumberFormat="1" applyFont="1" applyFill="1" applyBorder="1" applyAlignment="1">
      <alignment vertical="center"/>
    </xf>
    <xf numFmtId="49" fontId="34" fillId="22" borderId="6" xfId="195" applyNumberFormat="1" applyFont="1" applyFill="1" applyBorder="1" applyAlignment="1"/>
    <xf numFmtId="49" fontId="34" fillId="22" borderId="6" xfId="195" applyNumberFormat="1" applyFont="1" applyFill="1" applyBorder="1" applyAlignment="1">
      <alignment vertical="center"/>
    </xf>
    <xf numFmtId="49" fontId="34" fillId="22" borderId="29" xfId="195" applyNumberFormat="1" applyFont="1" applyFill="1" applyBorder="1" applyAlignment="1">
      <alignment horizontal="left" vertical="center" indent="1"/>
    </xf>
    <xf numFmtId="49" fontId="69" fillId="22" borderId="55" xfId="195" applyNumberFormat="1" applyFont="1" applyFill="1" applyBorder="1" applyAlignment="1">
      <alignment vertical="center"/>
    </xf>
    <xf numFmtId="49" fontId="34" fillId="23" borderId="56" xfId="195" applyNumberFormat="1" applyFont="1" applyFill="1" applyBorder="1" applyAlignment="1">
      <alignment vertical="center"/>
    </xf>
    <xf numFmtId="49" fontId="34" fillId="35" borderId="54" xfId="195" applyNumberFormat="1" applyFont="1" applyFill="1" applyBorder="1" applyAlignment="1">
      <alignment vertical="center"/>
    </xf>
    <xf numFmtId="49" fontId="34" fillId="35" borderId="29" xfId="195" applyNumberFormat="1" applyFont="1" applyFill="1" applyBorder="1" applyAlignment="1">
      <alignment vertical="center"/>
    </xf>
    <xf numFmtId="49" fontId="34" fillId="35" borderId="6" xfId="195" applyNumberFormat="1" applyFont="1" applyFill="1" applyBorder="1" applyAlignment="1"/>
    <xf numFmtId="49" fontId="34" fillId="35" borderId="6" xfId="195" applyNumberFormat="1" applyFont="1" applyFill="1" applyBorder="1" applyAlignment="1">
      <alignment vertical="center"/>
    </xf>
    <xf numFmtId="49" fontId="34" fillId="35" borderId="29" xfId="195" applyNumberFormat="1" applyFont="1" applyFill="1" applyBorder="1" applyAlignment="1">
      <alignment horizontal="left" vertical="center" indent="1"/>
    </xf>
    <xf numFmtId="49" fontId="34" fillId="34" borderId="57" xfId="195" applyNumberFormat="1" applyFont="1" applyFill="1" applyBorder="1" applyAlignment="1">
      <alignment horizontal="center" vertical="center"/>
    </xf>
    <xf numFmtId="49" fontId="34" fillId="34" borderId="54" xfId="195" applyNumberFormat="1" applyFont="1" applyFill="1" applyBorder="1" applyAlignment="1">
      <alignment vertical="center"/>
    </xf>
    <xf numFmtId="49" fontId="34" fillId="34" borderId="6" xfId="195" applyNumberFormat="1" applyFont="1" applyFill="1" applyBorder="1" applyAlignment="1">
      <alignment vertical="center"/>
    </xf>
    <xf numFmtId="49" fontId="34" fillId="34" borderId="6" xfId="195" applyNumberFormat="1" applyFont="1" applyFill="1" applyBorder="1" applyAlignment="1"/>
    <xf numFmtId="49" fontId="69" fillId="34" borderId="29" xfId="195" applyNumberFormat="1" applyFont="1" applyFill="1" applyBorder="1" applyAlignment="1">
      <alignment vertical="center"/>
    </xf>
    <xf numFmtId="0" fontId="34" fillId="22" borderId="58" xfId="195" applyFont="1" applyFill="1" applyBorder="1" applyAlignment="1">
      <alignment vertical="top"/>
    </xf>
    <xf numFmtId="49" fontId="34" fillId="22" borderId="59" xfId="195" applyNumberFormat="1" applyFont="1" applyFill="1" applyBorder="1" applyAlignment="1">
      <alignment vertical="top"/>
    </xf>
    <xf numFmtId="0" fontId="34" fillId="31" borderId="59" xfId="195" applyFont="1" applyFill="1" applyBorder="1" applyAlignment="1">
      <alignment vertical="top" wrapText="1"/>
    </xf>
    <xf numFmtId="0" fontId="34" fillId="31" borderId="60" xfId="195" applyFont="1" applyFill="1" applyBorder="1" applyAlignment="1">
      <alignment horizontal="left" indent="1"/>
    </xf>
    <xf numFmtId="49" fontId="34" fillId="31" borderId="55" xfId="195" applyNumberFormat="1" applyFont="1" applyFill="1" applyBorder="1" applyAlignment="1">
      <alignment vertical="center"/>
    </xf>
    <xf numFmtId="49" fontId="34" fillId="36" borderId="61" xfId="195" applyNumberFormat="1" applyFont="1" applyFill="1" applyBorder="1" applyAlignment="1">
      <alignment horizontal="center" vertical="center"/>
    </xf>
    <xf numFmtId="0" fontId="34" fillId="36" borderId="62" xfId="195" applyFont="1" applyFill="1" applyBorder="1" applyAlignment="1">
      <alignment vertical="top"/>
    </xf>
    <xf numFmtId="0" fontId="34" fillId="36" borderId="63" xfId="195" applyFont="1" applyFill="1" applyBorder="1" applyAlignment="1">
      <alignment vertical="top"/>
    </xf>
    <xf numFmtId="0" fontId="34" fillId="36" borderId="63" xfId="195" applyFont="1" applyFill="1" applyBorder="1" applyAlignment="1">
      <alignment vertical="top" wrapText="1"/>
    </xf>
    <xf numFmtId="0" fontId="34" fillId="36" borderId="64" xfId="195" applyFont="1" applyFill="1" applyBorder="1"/>
    <xf numFmtId="49" fontId="34" fillId="0" borderId="65" xfId="195" applyNumberFormat="1" applyFont="1" applyFill="1" applyBorder="1" applyAlignment="1">
      <alignment horizontal="center" vertical="center"/>
    </xf>
    <xf numFmtId="49" fontId="34" fillId="0" borderId="21" xfId="195" applyNumberFormat="1" applyFont="1" applyFill="1" applyBorder="1" applyAlignment="1">
      <alignment horizontal="center" vertical="center"/>
    </xf>
    <xf numFmtId="0" fontId="34" fillId="22" borderId="66" xfId="195" applyFont="1" applyFill="1" applyBorder="1" applyAlignment="1">
      <alignment vertical="top"/>
    </xf>
    <xf numFmtId="0" fontId="34" fillId="22" borderId="67" xfId="195" applyFont="1" applyFill="1" applyBorder="1" applyAlignment="1">
      <alignment vertical="top"/>
    </xf>
    <xf numFmtId="0" fontId="34" fillId="31" borderId="66" xfId="195" applyFont="1" applyFill="1" applyBorder="1" applyAlignment="1">
      <alignment vertical="top" wrapText="1"/>
    </xf>
    <xf numFmtId="0" fontId="34" fillId="31" borderId="67" xfId="195" applyFont="1" applyFill="1" applyBorder="1" applyAlignment="1">
      <alignment vertical="top" wrapText="1"/>
    </xf>
    <xf numFmtId="0" fontId="70" fillId="0" borderId="50" xfId="169" applyFont="1" applyBorder="1" applyAlignment="1">
      <alignment horizontal="left" indent="1"/>
    </xf>
    <xf numFmtId="49" fontId="34" fillId="22" borderId="67" xfId="195" applyNumberFormat="1" applyFont="1" applyFill="1" applyBorder="1" applyAlignment="1">
      <alignment vertical="top"/>
    </xf>
    <xf numFmtId="0" fontId="34" fillId="31" borderId="41" xfId="195" applyFont="1" applyFill="1" applyBorder="1" applyAlignment="1">
      <alignment vertical="top" wrapText="1"/>
    </xf>
    <xf numFmtId="0" fontId="34" fillId="31" borderId="0" xfId="195" applyFont="1" applyFill="1" applyBorder="1" applyAlignment="1">
      <alignment vertical="top" wrapText="1"/>
    </xf>
    <xf numFmtId="0" fontId="34" fillId="31" borderId="55" xfId="195" applyFont="1" applyFill="1" applyBorder="1" applyAlignment="1">
      <alignment horizontal="left" indent="1"/>
    </xf>
    <xf numFmtId="0" fontId="34" fillId="31" borderId="58" xfId="195" applyFont="1" applyFill="1" applyBorder="1" applyAlignment="1">
      <alignment vertical="top" wrapText="1"/>
    </xf>
    <xf numFmtId="49" fontId="34" fillId="22" borderId="68" xfId="195" applyNumberFormat="1" applyFont="1" applyFill="1" applyBorder="1" applyAlignment="1">
      <alignment vertical="top"/>
    </xf>
    <xf numFmtId="49" fontId="34" fillId="34" borderId="47" xfId="195" applyNumberFormat="1" applyFont="1" applyFill="1" applyBorder="1" applyAlignment="1">
      <alignment horizontal="center" vertical="center"/>
    </xf>
    <xf numFmtId="49" fontId="34" fillId="23" borderId="69" xfId="195" applyNumberFormat="1" applyFont="1" applyFill="1" applyBorder="1" applyAlignment="1">
      <alignment vertical="center"/>
    </xf>
    <xf numFmtId="49" fontId="34" fillId="23" borderId="70" xfId="195" applyNumberFormat="1" applyFont="1" applyFill="1" applyBorder="1" applyAlignment="1">
      <alignment vertical="center"/>
    </xf>
    <xf numFmtId="49" fontId="69" fillId="23" borderId="71" xfId="195" applyNumberFormat="1" applyFont="1" applyFill="1" applyBorder="1" applyAlignment="1" applyProtection="1">
      <alignment vertical="center"/>
      <protection locked="0"/>
    </xf>
    <xf numFmtId="49" fontId="34" fillId="31" borderId="65" xfId="195" applyNumberFormat="1" applyFont="1" applyFill="1" applyBorder="1" applyAlignment="1">
      <alignment horizontal="center" vertical="center"/>
    </xf>
    <xf numFmtId="49" fontId="34" fillId="31" borderId="54" xfId="195" applyNumberFormat="1" applyFont="1" applyFill="1" applyBorder="1" applyAlignment="1">
      <alignment vertical="center"/>
    </xf>
    <xf numFmtId="49" fontId="34" fillId="31" borderId="29" xfId="195" applyNumberFormat="1" applyFont="1" applyFill="1" applyBorder="1" applyAlignment="1">
      <alignment vertical="center"/>
    </xf>
    <xf numFmtId="0" fontId="34" fillId="31" borderId="54" xfId="130" applyFont="1" applyFill="1" applyBorder="1" applyAlignment="1">
      <alignment horizontal="left" vertical="top"/>
    </xf>
    <xf numFmtId="0" fontId="34" fillId="31" borderId="6" xfId="130" applyFont="1" applyFill="1" applyBorder="1" applyAlignment="1">
      <alignment horizontal="left" vertical="top"/>
    </xf>
    <xf numFmtId="0" fontId="34" fillId="31" borderId="29" xfId="130" applyFont="1" applyFill="1" applyBorder="1" applyAlignment="1">
      <alignment horizontal="left" vertical="top"/>
    </xf>
    <xf numFmtId="49" fontId="34" fillId="31" borderId="72" xfId="195" applyNumberFormat="1" applyFont="1" applyFill="1" applyBorder="1" applyAlignment="1">
      <alignment vertical="center"/>
    </xf>
    <xf numFmtId="49" fontId="34" fillId="23" borderId="73" xfId="195" applyNumberFormat="1" applyFont="1" applyFill="1" applyBorder="1" applyAlignment="1">
      <alignment horizontal="center" vertical="center"/>
    </xf>
    <xf numFmtId="49" fontId="34" fillId="23" borderId="74" xfId="195" applyNumberFormat="1" applyFont="1" applyFill="1" applyBorder="1" applyAlignment="1">
      <alignment horizontal="center" vertical="center"/>
    </xf>
    <xf numFmtId="49" fontId="34" fillId="23" borderId="43" xfId="195" applyNumberFormat="1" applyFont="1" applyFill="1" applyBorder="1" applyAlignment="1">
      <alignment vertical="center"/>
    </xf>
    <xf numFmtId="49" fontId="34" fillId="23" borderId="6" xfId="195" applyNumberFormat="1" applyFont="1" applyFill="1" applyBorder="1" applyAlignment="1">
      <alignment vertical="center"/>
    </xf>
    <xf numFmtId="49" fontId="34" fillId="23" borderId="75" xfId="195" applyNumberFormat="1" applyFont="1" applyFill="1" applyBorder="1" applyAlignment="1"/>
    <xf numFmtId="49" fontId="34" fillId="23" borderId="75" xfId="195" applyNumberFormat="1" applyFont="1" applyFill="1" applyBorder="1" applyAlignment="1">
      <alignment vertical="center"/>
    </xf>
    <xf numFmtId="49" fontId="34" fillId="23" borderId="76" xfId="195" applyNumberFormat="1" applyFont="1" applyFill="1" applyBorder="1" applyAlignment="1">
      <alignment vertical="center"/>
    </xf>
    <xf numFmtId="49" fontId="69" fillId="23" borderId="76" xfId="195" applyNumberFormat="1" applyFont="1" applyFill="1" applyBorder="1" applyAlignment="1">
      <alignment vertical="center"/>
    </xf>
    <xf numFmtId="49" fontId="34" fillId="23" borderId="54" xfId="195" applyNumberFormat="1" applyFont="1" applyFill="1" applyBorder="1" applyAlignment="1">
      <alignment vertical="center"/>
    </xf>
    <xf numFmtId="49" fontId="34" fillId="23" borderId="6" xfId="195" applyNumberFormat="1" applyFont="1" applyFill="1" applyBorder="1" applyAlignment="1"/>
    <xf numFmtId="49" fontId="34" fillId="23" borderId="29" xfId="195" applyNumberFormat="1" applyFont="1" applyFill="1" applyBorder="1" applyAlignment="1">
      <alignment vertical="center"/>
    </xf>
    <xf numFmtId="49" fontId="69" fillId="23" borderId="9" xfId="195" applyNumberFormat="1" applyFont="1" applyFill="1" applyBorder="1" applyAlignment="1">
      <alignment vertical="center"/>
    </xf>
    <xf numFmtId="0" fontId="34" fillId="31" borderId="22" xfId="130" applyFont="1" applyFill="1" applyBorder="1" applyAlignment="1">
      <alignment horizontal="left" vertical="top"/>
    </xf>
    <xf numFmtId="0" fontId="34" fillId="31" borderId="75" xfId="130" applyFont="1" applyFill="1" applyBorder="1" applyAlignment="1">
      <alignment horizontal="left" vertical="top"/>
    </xf>
    <xf numFmtId="0" fontId="34" fillId="31" borderId="76" xfId="130" applyFont="1" applyFill="1" applyBorder="1" applyAlignment="1">
      <alignment horizontal="left" vertical="top"/>
    </xf>
    <xf numFmtId="0" fontId="34" fillId="35" borderId="41" xfId="130" applyFont="1" applyFill="1" applyBorder="1" applyAlignment="1">
      <alignment horizontal="left" vertical="top"/>
    </xf>
    <xf numFmtId="0" fontId="34" fillId="35" borderId="0" xfId="130" applyFont="1" applyFill="1" applyBorder="1" applyAlignment="1">
      <alignment horizontal="left" vertical="top"/>
    </xf>
    <xf numFmtId="0" fontId="34" fillId="35" borderId="55" xfId="130" applyFont="1" applyFill="1" applyBorder="1" applyAlignment="1">
      <alignment horizontal="left" vertical="top"/>
    </xf>
    <xf numFmtId="0" fontId="34" fillId="35" borderId="22" xfId="130" applyFont="1" applyFill="1" applyBorder="1" applyAlignment="1">
      <alignment horizontal="left" vertical="top"/>
    </xf>
    <xf numFmtId="0" fontId="34" fillId="35" borderId="75" xfId="130" applyFont="1" applyFill="1" applyBorder="1" applyAlignment="1">
      <alignment horizontal="left" vertical="top"/>
    </xf>
    <xf numFmtId="0" fontId="34" fillId="35" borderId="76" xfId="130" applyFont="1" applyFill="1" applyBorder="1" applyAlignment="1">
      <alignment horizontal="left" vertical="top"/>
    </xf>
    <xf numFmtId="0" fontId="34" fillId="35" borderId="43" xfId="130" applyFont="1" applyFill="1" applyBorder="1" applyAlignment="1">
      <alignment horizontal="left" vertical="top"/>
    </xf>
    <xf numFmtId="0" fontId="34" fillId="35" borderId="44" xfId="130" applyFont="1" applyFill="1" applyBorder="1" applyAlignment="1">
      <alignment horizontal="left" vertical="top"/>
    </xf>
    <xf numFmtId="0" fontId="34" fillId="35" borderId="51" xfId="130" applyFont="1" applyFill="1" applyBorder="1" applyAlignment="1">
      <alignment horizontal="left" vertical="top"/>
    </xf>
    <xf numFmtId="49" fontId="34" fillId="34" borderId="77" xfId="195" applyNumberFormat="1" applyFont="1" applyFill="1" applyBorder="1" applyAlignment="1">
      <alignment horizontal="center" vertical="top" textRotation="90"/>
    </xf>
    <xf numFmtId="49" fontId="34" fillId="23" borderId="43" xfId="195" applyNumberFormat="1" applyFont="1" applyFill="1" applyBorder="1" applyAlignment="1"/>
    <xf numFmtId="49" fontId="34" fillId="23" borderId="0" xfId="195" applyNumberFormat="1" applyFont="1" applyFill="1" applyBorder="1" applyAlignment="1"/>
    <xf numFmtId="49" fontId="34" fillId="23" borderId="70" xfId="195" applyNumberFormat="1" applyFont="1" applyFill="1" applyBorder="1" applyAlignment="1"/>
    <xf numFmtId="49" fontId="34" fillId="23" borderId="69" xfId="195" applyNumberFormat="1" applyFont="1" applyFill="1" applyBorder="1" applyAlignment="1"/>
    <xf numFmtId="49" fontId="69" fillId="23" borderId="56" xfId="195" applyNumberFormat="1" applyFont="1" applyFill="1" applyBorder="1" applyAlignment="1">
      <alignment vertical="center"/>
    </xf>
    <xf numFmtId="49" fontId="68" fillId="37" borderId="78" xfId="195" applyNumberFormat="1" applyFont="1" applyFill="1" applyBorder="1" applyAlignment="1"/>
    <xf numFmtId="49" fontId="32" fillId="31" borderId="79" xfId="195" applyNumberFormat="1" applyFont="1" applyFill="1" applyBorder="1" applyAlignment="1"/>
    <xf numFmtId="49" fontId="32" fillId="31" borderId="36" xfId="195" applyNumberFormat="1" applyFont="1" applyFill="1" applyBorder="1" applyAlignment="1"/>
    <xf numFmtId="49" fontId="32" fillId="31" borderId="80" xfId="195" applyNumberFormat="1" applyFont="1" applyFill="1" applyBorder="1" applyAlignment="1"/>
    <xf numFmtId="49" fontId="32" fillId="31" borderId="0" xfId="195" applyNumberFormat="1" applyFont="1" applyFill="1" applyBorder="1" applyAlignment="1">
      <alignment vertical="center"/>
    </xf>
    <xf numFmtId="49" fontId="32" fillId="31" borderId="0" xfId="195" applyNumberFormat="1" applyFont="1" applyFill="1" applyBorder="1" applyAlignment="1"/>
    <xf numFmtId="49" fontId="71" fillId="31" borderId="81" xfId="195" applyNumberFormat="1" applyFont="1" applyFill="1" applyBorder="1" applyAlignment="1">
      <alignment horizontal="center"/>
    </xf>
    <xf numFmtId="49" fontId="71" fillId="23" borderId="82" xfId="195" applyNumberFormat="1" applyFont="1" applyFill="1" applyBorder="1" applyAlignment="1">
      <alignment horizontal="right"/>
    </xf>
    <xf numFmtId="49" fontId="71" fillId="23" borderId="83" xfId="195" applyNumberFormat="1" applyFont="1" applyFill="1" applyBorder="1" applyAlignment="1"/>
    <xf numFmtId="49" fontId="71" fillId="23" borderId="11" xfId="195" applyNumberFormat="1" applyFont="1" applyFill="1" applyBorder="1" applyAlignment="1"/>
    <xf numFmtId="49" fontId="71" fillId="23" borderId="84" xfId="195" applyNumberFormat="1" applyFont="1" applyFill="1" applyBorder="1" applyAlignment="1"/>
    <xf numFmtId="49" fontId="72" fillId="31" borderId="85" xfId="195" applyNumberFormat="1" applyFont="1" applyFill="1" applyBorder="1" applyAlignment="1">
      <alignment horizontal="right"/>
    </xf>
    <xf numFmtId="49" fontId="72" fillId="31" borderId="26" xfId="195" applyNumberFormat="1" applyFont="1" applyFill="1" applyBorder="1" applyAlignment="1">
      <alignment horizontal="right"/>
    </xf>
    <xf numFmtId="49" fontId="72" fillId="31" borderId="86" xfId="195" applyNumberFormat="1" applyFont="1" applyFill="1" applyBorder="1" applyAlignment="1">
      <alignment horizontal="right"/>
    </xf>
    <xf numFmtId="49" fontId="71" fillId="23" borderId="87" xfId="195" applyNumberFormat="1" applyFont="1" applyFill="1" applyBorder="1" applyAlignment="1"/>
    <xf numFmtId="49" fontId="34" fillId="31" borderId="59" xfId="195" applyNumberFormat="1" applyFont="1" applyFill="1" applyBorder="1" applyAlignment="1"/>
    <xf numFmtId="49" fontId="71" fillId="23" borderId="88" xfId="195" applyNumberFormat="1" applyFont="1" applyFill="1" applyBorder="1" applyAlignment="1"/>
    <xf numFmtId="49" fontId="71" fillId="23" borderId="45" xfId="195" applyNumberFormat="1" applyFont="1" applyFill="1" applyBorder="1" applyAlignment="1"/>
    <xf numFmtId="49" fontId="71" fillId="23" borderId="0" xfId="195" applyNumberFormat="1" applyFont="1" applyFill="1" applyBorder="1" applyAlignment="1"/>
    <xf numFmtId="49" fontId="71" fillId="23" borderId="55" xfId="195" applyNumberFormat="1" applyFont="1" applyFill="1" applyBorder="1" applyAlignment="1"/>
    <xf numFmtId="49" fontId="71" fillId="23" borderId="89" xfId="195" applyNumberFormat="1" applyFont="1" applyFill="1" applyBorder="1" applyAlignment="1"/>
    <xf numFmtId="49" fontId="71" fillId="23" borderId="6" xfId="195" applyNumberFormat="1" applyFont="1" applyFill="1" applyBorder="1" applyAlignment="1"/>
    <xf numFmtId="49" fontId="71" fillId="23" borderId="90" xfId="195" applyNumberFormat="1" applyFont="1" applyFill="1" applyBorder="1" applyAlignment="1"/>
    <xf numFmtId="49" fontId="34" fillId="31" borderId="67" xfId="195" applyNumberFormat="1" applyFont="1" applyFill="1" applyBorder="1" applyAlignment="1"/>
    <xf numFmtId="49" fontId="34" fillId="38" borderId="91" xfId="195" applyNumberFormat="1" applyFont="1" applyFill="1" applyBorder="1" applyAlignment="1"/>
    <xf numFmtId="49" fontId="34" fillId="0" borderId="92" xfId="195" applyNumberFormat="1" applyFont="1" applyFill="1" applyBorder="1" applyAlignment="1"/>
    <xf numFmtId="49" fontId="71" fillId="23" borderId="93" xfId="195" applyNumberFormat="1" applyFont="1" applyFill="1" applyBorder="1" applyAlignment="1"/>
    <xf numFmtId="49" fontId="71" fillId="23" borderId="94" xfId="195" applyNumberFormat="1" applyFont="1" applyFill="1" applyBorder="1" applyAlignment="1"/>
    <xf numFmtId="49" fontId="71" fillId="23" borderId="95" xfId="195" applyNumberFormat="1" applyFont="1" applyFill="1" applyBorder="1" applyAlignment="1"/>
    <xf numFmtId="49" fontId="71" fillId="23" borderId="96" xfId="195" applyNumberFormat="1" applyFont="1" applyFill="1" applyBorder="1" applyAlignment="1"/>
    <xf numFmtId="49" fontId="71" fillId="23" borderId="97" xfId="195" applyNumberFormat="1" applyFont="1" applyFill="1" applyBorder="1" applyAlignment="1"/>
    <xf numFmtId="49" fontId="71" fillId="23" borderId="33" xfId="195" applyNumberFormat="1" applyFont="1" applyFill="1" applyBorder="1" applyAlignment="1"/>
    <xf numFmtId="49" fontId="71" fillId="23" borderId="98" xfId="195" applyNumberFormat="1" applyFont="1" applyFill="1" applyBorder="1" applyAlignment="1"/>
    <xf numFmtId="0" fontId="19" fillId="38" borderId="0" xfId="169" applyFill="1"/>
    <xf numFmtId="0" fontId="19" fillId="22" borderId="0" xfId="169" applyFont="1" applyFill="1" applyAlignment="1">
      <alignment vertical="center"/>
    </xf>
    <xf numFmtId="49" fontId="19" fillId="0" borderId="0" xfId="169" applyNumberFormat="1" applyFont="1" applyFill="1" applyBorder="1" applyAlignment="1">
      <alignment vertical="center"/>
    </xf>
    <xf numFmtId="0" fontId="19" fillId="22" borderId="0" xfId="169" applyFont="1" applyFill="1" applyAlignment="1">
      <alignment horizontal="center" vertical="center"/>
    </xf>
    <xf numFmtId="0" fontId="19" fillId="22" borderId="0" xfId="169" applyFont="1" applyFill="1" applyAlignment="1">
      <alignment horizontal="left" vertical="center"/>
    </xf>
    <xf numFmtId="0" fontId="19" fillId="22" borderId="0" xfId="169" applyFont="1" applyFill="1" applyAlignment="1">
      <alignment horizontal="center" vertical="center" shrinkToFit="1"/>
    </xf>
    <xf numFmtId="49" fontId="19" fillId="0" borderId="95" xfId="169" quotePrefix="1" applyNumberFormat="1" applyFont="1" applyFill="1" applyBorder="1" applyAlignment="1">
      <alignment vertical="center" shrinkToFit="1"/>
    </xf>
    <xf numFmtId="49" fontId="19" fillId="0" borderId="95" xfId="169" applyNumberFormat="1" applyFont="1" applyFill="1" applyBorder="1" applyAlignment="1">
      <alignment vertical="center"/>
    </xf>
    <xf numFmtId="0" fontId="19" fillId="39" borderId="22" xfId="169" applyNumberFormat="1" applyFill="1" applyBorder="1" applyAlignment="1">
      <alignment vertical="center"/>
    </xf>
    <xf numFmtId="0" fontId="19" fillId="39" borderId="27" xfId="169" applyNumberFormat="1" applyFill="1" applyBorder="1" applyAlignment="1">
      <alignment vertical="center"/>
    </xf>
    <xf numFmtId="0" fontId="19" fillId="22" borderId="29" xfId="169" applyNumberFormat="1" applyFill="1" applyBorder="1" applyAlignment="1">
      <alignment vertical="center"/>
    </xf>
    <xf numFmtId="0" fontId="19" fillId="22" borderId="9" xfId="169" applyNumberFormat="1" applyFill="1" applyBorder="1" applyAlignment="1">
      <alignment vertical="center"/>
    </xf>
    <xf numFmtId="49" fontId="19" fillId="0" borderId="99" xfId="169" applyNumberFormat="1" applyFont="1" applyFill="1" applyBorder="1" applyAlignment="1">
      <alignment vertical="center"/>
    </xf>
    <xf numFmtId="49" fontId="19" fillId="0" borderId="27" xfId="169" applyNumberFormat="1" applyFont="1" applyFill="1" applyBorder="1" applyAlignment="1">
      <alignment vertical="center"/>
    </xf>
    <xf numFmtId="0" fontId="19" fillId="22" borderId="99" xfId="169" applyFont="1" applyFill="1" applyBorder="1" applyAlignment="1">
      <alignment vertical="center"/>
    </xf>
    <xf numFmtId="0" fontId="19" fillId="22" borderId="99" xfId="169" applyFont="1" applyFill="1" applyBorder="1" applyAlignment="1">
      <alignment horizontal="center" vertical="top"/>
    </xf>
    <xf numFmtId="0" fontId="19" fillId="22" borderId="99" xfId="169" applyFont="1" applyFill="1" applyBorder="1" applyAlignment="1">
      <alignment vertical="top"/>
    </xf>
    <xf numFmtId="0" fontId="19" fillId="22" borderId="85" xfId="169" applyFont="1" applyFill="1" applyBorder="1" applyAlignment="1">
      <alignment horizontal="center" vertical="center" shrinkToFit="1"/>
    </xf>
    <xf numFmtId="0" fontId="77" fillId="22" borderId="24" xfId="169" applyFont="1" applyFill="1" applyBorder="1" applyAlignment="1">
      <alignment vertical="center"/>
    </xf>
    <xf numFmtId="0" fontId="77" fillId="22" borderId="99" xfId="169" applyFont="1" applyFill="1" applyBorder="1" applyAlignment="1">
      <alignment horizontal="center" vertical="center"/>
    </xf>
    <xf numFmtId="0" fontId="77" fillId="22" borderId="99" xfId="169" applyFont="1" applyFill="1" applyBorder="1" applyAlignment="1">
      <alignment vertical="center"/>
    </xf>
    <xf numFmtId="0" fontId="77" fillId="22" borderId="27" xfId="169" applyFont="1" applyFill="1" applyBorder="1" applyAlignment="1">
      <alignment vertical="center"/>
    </xf>
    <xf numFmtId="0" fontId="19" fillId="22" borderId="24" xfId="169" applyFont="1" applyFill="1" applyBorder="1" applyAlignment="1">
      <alignment vertical="center"/>
    </xf>
    <xf numFmtId="0" fontId="19" fillId="22" borderId="99" xfId="169" applyFont="1" applyFill="1" applyBorder="1" applyAlignment="1">
      <alignment horizontal="center" vertical="center"/>
    </xf>
    <xf numFmtId="0" fontId="19" fillId="22" borderId="85" xfId="169" applyFont="1" applyFill="1" applyBorder="1" applyAlignment="1">
      <alignment vertical="top"/>
    </xf>
    <xf numFmtId="0" fontId="19" fillId="22" borderId="26" xfId="169" applyFont="1" applyFill="1" applyBorder="1" applyAlignment="1">
      <alignment vertical="top"/>
    </xf>
    <xf numFmtId="0" fontId="19" fillId="22" borderId="25" xfId="169" applyFont="1" applyFill="1" applyBorder="1" applyAlignment="1">
      <alignment vertical="top"/>
    </xf>
    <xf numFmtId="0" fontId="19" fillId="22" borderId="27" xfId="169" applyFont="1" applyFill="1" applyBorder="1" applyAlignment="1">
      <alignment horizontal="center" vertical="center" shrinkToFit="1"/>
    </xf>
    <xf numFmtId="0" fontId="19" fillId="22" borderId="0" xfId="169" applyFill="1" applyAlignment="1">
      <alignment vertical="center"/>
    </xf>
    <xf numFmtId="0" fontId="19" fillId="0" borderId="0" xfId="169" applyFont="1" applyFill="1" applyAlignment="1">
      <alignment vertical="center"/>
    </xf>
    <xf numFmtId="0" fontId="19" fillId="39" borderId="6" xfId="169" applyNumberFormat="1" applyFill="1" applyBorder="1" applyAlignment="1">
      <alignment vertical="center"/>
    </xf>
    <xf numFmtId="0" fontId="19" fillId="22" borderId="28" xfId="169" applyNumberFormat="1" applyFill="1" applyBorder="1" applyAlignment="1">
      <alignment vertical="center"/>
    </xf>
    <xf numFmtId="0" fontId="19" fillId="40" borderId="9" xfId="169" applyNumberFormat="1" applyFill="1" applyBorder="1" applyAlignment="1">
      <alignment vertical="center"/>
    </xf>
    <xf numFmtId="49" fontId="19" fillId="0" borderId="9" xfId="169" quotePrefix="1" applyNumberFormat="1" applyFont="1" applyFill="1" applyBorder="1" applyAlignment="1">
      <alignment vertical="center"/>
    </xf>
    <xf numFmtId="49" fontId="19" fillId="0" borderId="30" xfId="169" applyNumberFormat="1" applyFont="1" applyFill="1" applyBorder="1" applyAlignment="1">
      <alignment vertical="center"/>
    </xf>
    <xf numFmtId="0" fontId="19" fillId="0" borderId="28" xfId="169" applyFont="1" applyFill="1" applyBorder="1" applyAlignment="1">
      <alignment horizontal="left" vertical="top" wrapText="1"/>
    </xf>
    <xf numFmtId="0" fontId="19" fillId="0" borderId="100" xfId="169" applyFont="1" applyFill="1" applyBorder="1" applyAlignment="1">
      <alignment horizontal="center" vertical="top"/>
    </xf>
    <xf numFmtId="0" fontId="19" fillId="0" borderId="9" xfId="169" applyFont="1" applyFill="1" applyBorder="1" applyAlignment="1">
      <alignment horizontal="center" vertical="top"/>
    </xf>
    <xf numFmtId="0" fontId="19" fillId="0" borderId="9" xfId="169" applyFont="1" applyFill="1" applyBorder="1" applyAlignment="1">
      <alignment vertical="top"/>
    </xf>
    <xf numFmtId="0" fontId="19" fillId="0" borderId="101" xfId="169" applyFont="1" applyFill="1" applyBorder="1" applyAlignment="1">
      <alignment horizontal="center" vertical="top" shrinkToFit="1"/>
    </xf>
    <xf numFmtId="0" fontId="19" fillId="36" borderId="29" xfId="169" applyFont="1" applyFill="1" applyBorder="1" applyAlignment="1">
      <alignment vertical="top"/>
    </xf>
    <xf numFmtId="0" fontId="19" fillId="36" borderId="9" xfId="169" applyFont="1" applyFill="1" applyBorder="1" applyAlignment="1">
      <alignment horizontal="center" vertical="top"/>
    </xf>
    <xf numFmtId="49" fontId="19" fillId="36" borderId="29" xfId="169" applyNumberFormat="1" applyFont="1" applyFill="1" applyBorder="1" applyAlignment="1">
      <alignment vertical="top"/>
    </xf>
    <xf numFmtId="0" fontId="19" fillId="36" borderId="29" xfId="169" applyFont="1" applyFill="1" applyBorder="1" applyAlignment="1">
      <alignment horizontal="center" vertical="top"/>
    </xf>
    <xf numFmtId="0" fontId="19" fillId="0" borderId="28" xfId="169" applyFont="1" applyFill="1" applyBorder="1" applyAlignment="1">
      <alignment vertical="top" wrapText="1"/>
    </xf>
    <xf numFmtId="0" fontId="19" fillId="0" borderId="9" xfId="169" applyFont="1" applyFill="1" applyBorder="1" applyAlignment="1">
      <alignment horizontal="center" vertical="top" wrapText="1"/>
    </xf>
    <xf numFmtId="0" fontId="19" fillId="0" borderId="9" xfId="169" applyFont="1" applyFill="1" applyBorder="1" applyAlignment="1">
      <alignment vertical="top" wrapText="1"/>
    </xf>
    <xf numFmtId="49" fontId="19" fillId="0" borderId="9" xfId="169" applyNumberFormat="1" applyFont="1" applyFill="1" applyBorder="1" applyAlignment="1">
      <alignment horizontal="center" vertical="top"/>
    </xf>
    <xf numFmtId="0" fontId="19" fillId="0" borderId="54" xfId="169" applyFont="1" applyFill="1" applyBorder="1" applyAlignment="1">
      <alignment vertical="top"/>
    </xf>
    <xf numFmtId="0" fontId="19" fillId="0" borderId="6" xfId="169" applyFont="1" applyFill="1" applyBorder="1" applyAlignment="1">
      <alignment vertical="top"/>
    </xf>
    <xf numFmtId="0" fontId="19" fillId="0" borderId="29" xfId="169" applyFont="1" applyFill="1" applyBorder="1" applyAlignment="1">
      <alignment vertical="top"/>
    </xf>
    <xf numFmtId="0" fontId="19" fillId="0" borderId="51" xfId="169" applyFont="1" applyFill="1" applyBorder="1" applyAlignment="1">
      <alignment vertical="top"/>
    </xf>
    <xf numFmtId="0" fontId="19" fillId="0" borderId="100" xfId="169" applyFont="1" applyFill="1" applyBorder="1" applyAlignment="1">
      <alignment vertical="top"/>
    </xf>
    <xf numFmtId="0" fontId="19" fillId="0" borderId="30" xfId="169" applyFont="1" applyFill="1" applyBorder="1" applyAlignment="1">
      <alignment horizontal="center" vertical="top" shrinkToFit="1"/>
    </xf>
    <xf numFmtId="49" fontId="19" fillId="0" borderId="30" xfId="169" applyNumberFormat="1" applyFill="1" applyBorder="1" applyAlignment="1">
      <alignment vertical="center"/>
    </xf>
    <xf numFmtId="0" fontId="19" fillId="0" borderId="54" xfId="169" applyFont="1" applyFill="1" applyBorder="1" applyAlignment="1">
      <alignment horizontal="center" vertical="top"/>
    </xf>
    <xf numFmtId="0" fontId="19" fillId="0" borderId="55" xfId="169" applyFont="1" applyFill="1" applyBorder="1" applyAlignment="1">
      <alignment vertical="top"/>
    </xf>
    <xf numFmtId="0" fontId="19" fillId="0" borderId="72" xfId="169" applyFont="1" applyFill="1" applyBorder="1" applyAlignment="1">
      <alignment vertical="top"/>
    </xf>
    <xf numFmtId="49" fontId="19" fillId="0" borderId="9" xfId="169" applyNumberFormat="1" applyFont="1" applyFill="1" applyBorder="1" applyAlignment="1">
      <alignment vertical="center"/>
    </xf>
    <xf numFmtId="49" fontId="19" fillId="0" borderId="30" xfId="169" quotePrefix="1" applyNumberFormat="1" applyFill="1" applyBorder="1" applyAlignment="1">
      <alignment vertical="center"/>
    </xf>
    <xf numFmtId="0" fontId="19" fillId="0" borderId="22" xfId="169" applyFont="1" applyFill="1" applyBorder="1" applyAlignment="1">
      <alignment vertical="top"/>
    </xf>
    <xf numFmtId="0" fontId="19" fillId="0" borderId="75" xfId="169" applyFont="1" applyFill="1" applyBorder="1" applyAlignment="1">
      <alignment vertical="top"/>
    </xf>
    <xf numFmtId="0" fontId="19" fillId="0" borderId="76" xfId="169" applyFont="1" applyFill="1" applyBorder="1" applyAlignment="1">
      <alignment vertical="top"/>
    </xf>
    <xf numFmtId="0" fontId="19" fillId="40" borderId="9" xfId="169" quotePrefix="1" applyNumberFormat="1" applyFill="1" applyBorder="1" applyAlignment="1">
      <alignment vertical="center"/>
    </xf>
    <xf numFmtId="0" fontId="19" fillId="0" borderId="100" xfId="169" applyFont="1" applyFill="1" applyBorder="1" applyAlignment="1">
      <alignment vertical="top" wrapText="1"/>
    </xf>
    <xf numFmtId="0" fontId="0" fillId="0" borderId="28" xfId="158" applyFont="1" applyFill="1" applyBorder="1" applyAlignment="1">
      <alignment horizontal="left" vertical="top" wrapText="1"/>
    </xf>
    <xf numFmtId="0" fontId="0" fillId="0" borderId="9" xfId="158" applyFont="1" applyFill="1" applyBorder="1" applyAlignment="1">
      <alignment horizontal="center" vertical="top"/>
    </xf>
    <xf numFmtId="0" fontId="0" fillId="0" borderId="9" xfId="158" applyFont="1" applyFill="1" applyBorder="1" applyAlignment="1">
      <alignment vertical="top"/>
    </xf>
    <xf numFmtId="0" fontId="0" fillId="0" borderId="28" xfId="158" applyFont="1" applyFill="1" applyBorder="1" applyAlignment="1">
      <alignment vertical="top" wrapText="1"/>
    </xf>
    <xf numFmtId="0" fontId="1" fillId="0" borderId="9" xfId="158" applyFont="1" applyFill="1" applyBorder="1" applyAlignment="1">
      <alignment horizontal="center" vertical="top" wrapText="1"/>
    </xf>
    <xf numFmtId="0" fontId="0" fillId="0" borderId="9" xfId="158" applyFont="1" applyFill="1" applyBorder="1" applyAlignment="1">
      <alignment vertical="top" wrapText="1"/>
    </xf>
    <xf numFmtId="49" fontId="0" fillId="0" borderId="9" xfId="158" applyNumberFormat="1" applyFont="1" applyFill="1" applyBorder="1" applyAlignment="1">
      <alignment horizontal="center" vertical="top"/>
    </xf>
    <xf numFmtId="0" fontId="0" fillId="0" borderId="9" xfId="158" applyFont="1" applyFill="1" applyBorder="1" applyAlignment="1">
      <alignment horizontal="center" vertical="top" wrapText="1"/>
    </xf>
    <xf numFmtId="0" fontId="0" fillId="0" borderId="54" xfId="158" applyFont="1" applyFill="1" applyBorder="1" applyAlignment="1">
      <alignment vertical="top"/>
    </xf>
    <xf numFmtId="0" fontId="0" fillId="0" borderId="29" xfId="158" applyFont="1" applyFill="1" applyBorder="1" applyAlignment="1">
      <alignment vertical="top"/>
    </xf>
    <xf numFmtId="0" fontId="0" fillId="0" borderId="51" xfId="158" applyFont="1" applyFill="1" applyBorder="1" applyAlignment="1">
      <alignment vertical="top"/>
    </xf>
    <xf numFmtId="0" fontId="0" fillId="0" borderId="55" xfId="158" applyFont="1" applyFill="1" applyBorder="1" applyAlignment="1">
      <alignment vertical="top"/>
    </xf>
    <xf numFmtId="0" fontId="0" fillId="0" borderId="72" xfId="158" applyFont="1" applyFill="1" applyBorder="1" applyAlignment="1">
      <alignment vertical="top"/>
    </xf>
    <xf numFmtId="0" fontId="19" fillId="0" borderId="51" xfId="169" applyFont="1" applyFill="1" applyBorder="1" applyAlignment="1">
      <alignment vertical="center"/>
    </xf>
    <xf numFmtId="0" fontId="19" fillId="0" borderId="102" xfId="169" applyFont="1" applyFill="1" applyBorder="1" applyAlignment="1">
      <alignment horizontal="center" vertical="top"/>
    </xf>
    <xf numFmtId="0" fontId="19" fillId="0" borderId="103" xfId="169" applyFont="1" applyFill="1" applyBorder="1" applyAlignment="1">
      <alignment horizontal="center" vertical="top"/>
    </xf>
    <xf numFmtId="49" fontId="19" fillId="41" borderId="30" xfId="169" applyNumberFormat="1" applyFont="1" applyFill="1" applyBorder="1" applyAlignment="1">
      <alignment vertical="center"/>
    </xf>
    <xf numFmtId="0" fontId="19" fillId="0" borderId="102" xfId="169" applyFont="1" applyFill="1" applyBorder="1" applyAlignment="1">
      <alignment vertical="top" shrinkToFit="1"/>
    </xf>
    <xf numFmtId="0" fontId="19" fillId="0" borderId="0" xfId="169" applyFont="1" applyFill="1" applyAlignment="1">
      <alignment vertical="top"/>
    </xf>
    <xf numFmtId="0" fontId="19" fillId="0" borderId="103" xfId="169" applyFont="1" applyFill="1" applyBorder="1" applyAlignment="1">
      <alignment vertical="top" wrapText="1"/>
    </xf>
    <xf numFmtId="0" fontId="5" fillId="0" borderId="103" xfId="169" applyFont="1" applyFill="1" applyBorder="1" applyAlignment="1">
      <alignment horizontal="center" vertical="top"/>
    </xf>
    <xf numFmtId="0" fontId="19" fillId="0" borderId="44" xfId="169" applyFont="1" applyFill="1" applyBorder="1" applyAlignment="1">
      <alignment vertical="top"/>
    </xf>
    <xf numFmtId="0" fontId="73" fillId="0" borderId="28" xfId="169" applyFont="1" applyFill="1" applyBorder="1" applyAlignment="1">
      <alignment vertical="top" wrapText="1"/>
    </xf>
    <xf numFmtId="0" fontId="19" fillId="0" borderId="104" xfId="169" applyFont="1" applyFill="1" applyBorder="1" applyAlignment="1">
      <alignment horizontal="left" vertical="top" wrapText="1"/>
    </xf>
    <xf numFmtId="0" fontId="19" fillId="36" borderId="51" xfId="169" applyFont="1" applyFill="1" applyBorder="1" applyAlignment="1">
      <alignment vertical="top"/>
    </xf>
    <xf numFmtId="0" fontId="19" fillId="36" borderId="100" xfId="169" applyFont="1" applyFill="1" applyBorder="1" applyAlignment="1">
      <alignment horizontal="center" vertical="top"/>
    </xf>
    <xf numFmtId="49" fontId="19" fillId="36" borderId="51" xfId="169" applyNumberFormat="1" applyFont="1" applyFill="1" applyBorder="1" applyAlignment="1">
      <alignment vertical="top"/>
    </xf>
    <xf numFmtId="0" fontId="19" fillId="36" borderId="51" xfId="169" applyFont="1" applyFill="1" applyBorder="1" applyAlignment="1">
      <alignment horizontal="center" vertical="top"/>
    </xf>
    <xf numFmtId="0" fontId="19" fillId="0" borderId="104" xfId="169" applyFont="1" applyFill="1" applyBorder="1" applyAlignment="1">
      <alignment vertical="top" wrapText="1"/>
    </xf>
    <xf numFmtId="0" fontId="19" fillId="0" borderId="100" xfId="169" applyFont="1" applyFill="1" applyBorder="1" applyAlignment="1">
      <alignment horizontal="center" vertical="top" wrapText="1"/>
    </xf>
    <xf numFmtId="49" fontId="19" fillId="0" borderId="100" xfId="169" applyNumberFormat="1" applyFont="1" applyFill="1" applyBorder="1" applyAlignment="1">
      <alignment horizontal="center" vertical="top"/>
    </xf>
    <xf numFmtId="0" fontId="19" fillId="39" borderId="44" xfId="169" applyNumberFormat="1" applyFill="1" applyBorder="1" applyAlignment="1">
      <alignment vertical="center"/>
    </xf>
    <xf numFmtId="0" fontId="19" fillId="22" borderId="104" xfId="169" applyNumberFormat="1" applyFill="1" applyBorder="1" applyAlignment="1">
      <alignment vertical="center"/>
    </xf>
    <xf numFmtId="0" fontId="19" fillId="22" borderId="100" xfId="169" applyNumberFormat="1" applyFill="1" applyBorder="1" applyAlignment="1">
      <alignment vertical="center"/>
    </xf>
    <xf numFmtId="49" fontId="19" fillId="0" borderId="105" xfId="169" applyNumberFormat="1" applyFont="1" applyFill="1" applyBorder="1" applyAlignment="1">
      <alignment vertical="center"/>
    </xf>
    <xf numFmtId="49" fontId="19" fillId="0" borderId="106" xfId="169" applyNumberFormat="1" applyFont="1" applyFill="1" applyBorder="1" applyAlignment="1">
      <alignment vertical="center"/>
    </xf>
    <xf numFmtId="0" fontId="19" fillId="0" borderId="107" xfId="169" applyFont="1" applyFill="1" applyBorder="1" applyAlignment="1">
      <alignment horizontal="center" vertical="top"/>
    </xf>
    <xf numFmtId="0" fontId="19" fillId="0" borderId="105" xfId="169" applyFont="1" applyFill="1" applyBorder="1" applyAlignment="1">
      <alignment horizontal="center" vertical="top"/>
    </xf>
    <xf numFmtId="0" fontId="19" fillId="0" borderId="105" xfId="169" applyFont="1" applyFill="1" applyBorder="1" applyAlignment="1">
      <alignment vertical="top"/>
    </xf>
    <xf numFmtId="0" fontId="19" fillId="0" borderId="106" xfId="169" applyFont="1" applyFill="1" applyBorder="1" applyAlignment="1">
      <alignment horizontal="center" vertical="top" shrinkToFit="1"/>
    </xf>
    <xf numFmtId="0" fontId="19" fillId="36" borderId="108" xfId="169" applyFont="1" applyFill="1" applyBorder="1" applyAlignment="1">
      <alignment vertical="top"/>
    </xf>
    <xf numFmtId="0" fontId="19" fillId="36" borderId="105" xfId="169" applyFont="1" applyFill="1" applyBorder="1" applyAlignment="1">
      <alignment horizontal="center" vertical="top"/>
    </xf>
    <xf numFmtId="49" fontId="19" fillId="36" borderId="108" xfId="169" applyNumberFormat="1" applyFont="1" applyFill="1" applyBorder="1" applyAlignment="1">
      <alignment vertical="top"/>
    </xf>
    <xf numFmtId="0" fontId="19" fillId="36" borderId="108" xfId="169" applyFont="1" applyFill="1" applyBorder="1" applyAlignment="1">
      <alignment horizontal="center" vertical="top"/>
    </xf>
    <xf numFmtId="0" fontId="19" fillId="0" borderId="107" xfId="169" applyFont="1" applyFill="1" applyBorder="1" applyAlignment="1">
      <alignment vertical="top" wrapText="1"/>
    </xf>
    <xf numFmtId="0" fontId="19" fillId="0" borderId="105" xfId="169" applyFont="1" applyFill="1" applyBorder="1" applyAlignment="1">
      <alignment horizontal="center" vertical="top" wrapText="1"/>
    </xf>
    <xf numFmtId="0" fontId="19" fillId="0" borderId="105" xfId="169" applyFont="1" applyFill="1" applyBorder="1" applyAlignment="1">
      <alignment vertical="top" wrapText="1"/>
    </xf>
    <xf numFmtId="49" fontId="19" fillId="0" borderId="105" xfId="169" applyNumberFormat="1" applyFont="1" applyFill="1" applyBorder="1" applyAlignment="1">
      <alignment horizontal="center" vertical="top"/>
    </xf>
    <xf numFmtId="0" fontId="19" fillId="0" borderId="109" xfId="169" applyFont="1" applyFill="1" applyBorder="1" applyAlignment="1">
      <alignment vertical="top"/>
    </xf>
    <xf numFmtId="0" fontId="19" fillId="39" borderId="110" xfId="169" applyNumberFormat="1" applyFill="1" applyBorder="1" applyAlignment="1">
      <alignment vertical="center"/>
    </xf>
    <xf numFmtId="0" fontId="19" fillId="22" borderId="111" xfId="169" applyNumberFormat="1" applyFill="1" applyBorder="1" applyAlignment="1">
      <alignment vertical="center"/>
    </xf>
    <xf numFmtId="0" fontId="19" fillId="22" borderId="112" xfId="169" applyNumberFormat="1" applyFill="1" applyBorder="1" applyAlignment="1">
      <alignment vertical="center"/>
    </xf>
    <xf numFmtId="49" fontId="19" fillId="0" borderId="112" xfId="169" applyNumberFormat="1" applyFont="1" applyFill="1" applyBorder="1" applyAlignment="1">
      <alignment vertical="center"/>
    </xf>
    <xf numFmtId="49" fontId="19" fillId="0" borderId="113" xfId="169" applyNumberFormat="1" applyFill="1" applyBorder="1" applyAlignment="1">
      <alignment vertical="center"/>
    </xf>
    <xf numFmtId="0" fontId="19" fillId="0" borderId="9" xfId="169" applyFont="1" applyFill="1" applyBorder="1" applyAlignment="1">
      <alignment vertical="center" wrapText="1"/>
    </xf>
    <xf numFmtId="0" fontId="19" fillId="0" borderId="54" xfId="169" applyFont="1" applyFill="1" applyBorder="1" applyAlignment="1">
      <alignment horizontal="center" vertical="top" shrinkToFit="1"/>
    </xf>
    <xf numFmtId="0" fontId="19" fillId="0" borderId="114" xfId="169" applyFont="1" applyFill="1" applyBorder="1" applyAlignment="1">
      <alignment vertical="center" wrapText="1"/>
    </xf>
    <xf numFmtId="0" fontId="19" fillId="0" borderId="102" xfId="169" applyFont="1" applyFill="1" applyBorder="1" applyAlignment="1">
      <alignment horizontal="center" vertical="center"/>
    </xf>
    <xf numFmtId="0" fontId="19" fillId="0" borderId="102" xfId="169" applyFont="1" applyFill="1" applyBorder="1" applyAlignment="1">
      <alignment vertical="center"/>
    </xf>
    <xf numFmtId="0" fontId="19" fillId="0" borderId="9" xfId="169" applyFont="1" applyFill="1" applyBorder="1" applyAlignment="1">
      <alignment vertical="center"/>
    </xf>
    <xf numFmtId="0" fontId="19" fillId="0" borderId="115" xfId="169" applyFont="1" applyFill="1" applyBorder="1" applyAlignment="1">
      <alignment vertical="center"/>
    </xf>
    <xf numFmtId="0" fontId="19" fillId="0" borderId="116" xfId="169" applyFont="1" applyFill="1" applyBorder="1" applyAlignment="1">
      <alignment vertical="center"/>
    </xf>
    <xf numFmtId="0" fontId="19" fillId="0" borderId="102" xfId="169" applyFont="1" applyFill="1" applyBorder="1" applyAlignment="1">
      <alignment vertical="center" wrapText="1"/>
    </xf>
    <xf numFmtId="0" fontId="19" fillId="0" borderId="112" xfId="169" applyFont="1" applyFill="1" applyBorder="1" applyAlignment="1">
      <alignment horizontal="center" vertical="top"/>
    </xf>
    <xf numFmtId="0" fontId="19" fillId="0" borderId="117" xfId="169" applyFont="1" applyFill="1" applyBorder="1" applyAlignment="1">
      <alignment vertical="top"/>
    </xf>
    <xf numFmtId="0" fontId="19" fillId="0" borderId="110" xfId="169" applyFont="1" applyFill="1" applyBorder="1" applyAlignment="1">
      <alignment vertical="top"/>
    </xf>
    <xf numFmtId="0" fontId="19" fillId="0" borderId="118" xfId="169" applyFont="1" applyFill="1" applyBorder="1" applyAlignment="1">
      <alignment vertical="top"/>
    </xf>
    <xf numFmtId="0" fontId="19" fillId="0" borderId="119" xfId="169" applyFont="1" applyFill="1" applyBorder="1" applyAlignment="1">
      <alignment vertical="top"/>
    </xf>
    <xf numFmtId="0" fontId="19" fillId="0" borderId="113" xfId="169" applyFont="1" applyFill="1" applyBorder="1" applyAlignment="1">
      <alignment horizontal="center" vertical="top" shrinkToFit="1"/>
    </xf>
    <xf numFmtId="49" fontId="19" fillId="0" borderId="9" xfId="169" applyNumberFormat="1" applyFill="1" applyBorder="1" applyAlignment="1">
      <alignment vertical="center"/>
    </xf>
    <xf numFmtId="49" fontId="19" fillId="22" borderId="9" xfId="169" quotePrefix="1" applyNumberFormat="1" applyFont="1" applyFill="1" applyBorder="1" applyAlignment="1">
      <alignment vertical="center"/>
    </xf>
    <xf numFmtId="0" fontId="19" fillId="0" borderId="28" xfId="169" applyFont="1" applyFill="1" applyBorder="1" applyAlignment="1">
      <alignment vertical="center" wrapText="1"/>
    </xf>
    <xf numFmtId="0" fontId="19" fillId="0" borderId="9" xfId="169" applyFont="1" applyFill="1" applyBorder="1" applyAlignment="1">
      <alignment horizontal="center" vertical="center"/>
    </xf>
    <xf numFmtId="0" fontId="19" fillId="0" borderId="30" xfId="169" applyFont="1" applyFill="1" applyBorder="1" applyAlignment="1">
      <alignment vertical="center"/>
    </xf>
    <xf numFmtId="0" fontId="19" fillId="0" borderId="103" xfId="169" applyFont="1" applyFill="1" applyBorder="1" applyAlignment="1">
      <alignment vertical="center"/>
    </xf>
    <xf numFmtId="0" fontId="19" fillId="0" borderId="102" xfId="169" applyFill="1" applyBorder="1" applyAlignment="1">
      <alignment vertical="center" wrapText="1"/>
    </xf>
    <xf numFmtId="0" fontId="19" fillId="0" borderId="102" xfId="169" applyFont="1" applyFill="1" applyBorder="1" applyAlignment="1">
      <alignment vertical="top"/>
    </xf>
    <xf numFmtId="0" fontId="19" fillId="0" borderId="22" xfId="169" applyFont="1" applyFill="1" applyBorder="1" applyAlignment="1">
      <alignment horizontal="center" vertical="top" shrinkToFit="1"/>
    </xf>
    <xf numFmtId="0" fontId="19" fillId="0" borderId="28" xfId="169" applyFont="1" applyFill="1" applyBorder="1" applyAlignment="1">
      <alignment vertical="center"/>
    </xf>
    <xf numFmtId="0" fontId="19" fillId="0" borderId="114" xfId="169" applyFont="1" applyFill="1" applyBorder="1" applyAlignment="1">
      <alignment vertical="center"/>
    </xf>
    <xf numFmtId="0" fontId="19" fillId="0" borderId="115" xfId="169" applyFont="1" applyFill="1" applyBorder="1" applyAlignment="1">
      <alignment horizontal="center" vertical="top" shrinkToFit="1"/>
    </xf>
    <xf numFmtId="0" fontId="19" fillId="0" borderId="102" xfId="169" applyFont="1" applyFill="1" applyBorder="1" applyAlignment="1">
      <alignment vertical="top" wrapText="1"/>
    </xf>
    <xf numFmtId="0" fontId="19" fillId="0" borderId="9" xfId="169" applyFill="1" applyBorder="1" applyAlignment="1">
      <alignment vertical="center" wrapText="1"/>
    </xf>
    <xf numFmtId="0" fontId="19" fillId="0" borderId="9" xfId="169" applyFill="1" applyBorder="1" applyAlignment="1">
      <alignment vertical="center"/>
    </xf>
    <xf numFmtId="49" fontId="19" fillId="22" borderId="9" xfId="169" applyNumberFormat="1" applyFill="1" applyBorder="1" applyAlignment="1">
      <alignment vertical="center"/>
    </xf>
    <xf numFmtId="0" fontId="19" fillId="38" borderId="9" xfId="169" applyNumberFormat="1" applyFill="1" applyBorder="1" applyAlignment="1">
      <alignment vertical="center"/>
    </xf>
    <xf numFmtId="49" fontId="19" fillId="38" borderId="9" xfId="169" quotePrefix="1" applyNumberFormat="1" applyFont="1" applyFill="1" applyBorder="1" applyAlignment="1">
      <alignment vertical="center"/>
    </xf>
    <xf numFmtId="49" fontId="19" fillId="22" borderId="9" xfId="169" applyNumberFormat="1" applyFont="1" applyFill="1" applyBorder="1" applyAlignment="1">
      <alignment vertical="center"/>
    </xf>
    <xf numFmtId="49" fontId="19" fillId="39" borderId="30" xfId="169" applyNumberFormat="1" applyFont="1" applyFill="1" applyBorder="1" applyAlignment="1">
      <alignment vertical="center"/>
    </xf>
    <xf numFmtId="0" fontId="19" fillId="0" borderId="30" xfId="169" applyFont="1" applyFill="1" applyBorder="1" applyAlignment="1">
      <alignment horizontal="center" vertical="center" shrinkToFit="1"/>
    </xf>
    <xf numFmtId="0" fontId="19" fillId="0" borderId="100" xfId="169" applyFont="1" applyFill="1" applyBorder="1" applyAlignment="1">
      <alignment vertical="center"/>
    </xf>
    <xf numFmtId="0" fontId="19" fillId="0" borderId="104" xfId="169" applyFont="1" applyFill="1" applyBorder="1" applyAlignment="1">
      <alignment vertical="center"/>
    </xf>
    <xf numFmtId="0" fontId="19" fillId="0" borderId="100" xfId="169" applyFont="1" applyFill="1" applyBorder="1" applyAlignment="1">
      <alignment horizontal="center" vertical="center"/>
    </xf>
    <xf numFmtId="0" fontId="19" fillId="0" borderId="101" xfId="169" applyFont="1" applyFill="1" applyBorder="1" applyAlignment="1">
      <alignment vertical="center"/>
    </xf>
    <xf numFmtId="0" fontId="19" fillId="0" borderId="43" xfId="169" applyFont="1" applyFill="1" applyBorder="1" applyAlignment="1">
      <alignment vertical="top"/>
    </xf>
    <xf numFmtId="0" fontId="19" fillId="0" borderId="0" xfId="169" applyFont="1" applyFill="1" applyBorder="1" applyAlignment="1">
      <alignment vertical="top"/>
    </xf>
    <xf numFmtId="0" fontId="19" fillId="0" borderId="101" xfId="169" applyFont="1" applyFill="1" applyBorder="1" applyAlignment="1">
      <alignment horizontal="center" vertical="center" shrinkToFit="1"/>
    </xf>
    <xf numFmtId="0" fontId="19" fillId="39" borderId="69" xfId="169" applyNumberFormat="1" applyFill="1" applyBorder="1" applyAlignment="1">
      <alignment vertical="center"/>
    </xf>
    <xf numFmtId="0" fontId="19" fillId="22" borderId="107" xfId="169" applyNumberFormat="1" applyFill="1" applyBorder="1" applyAlignment="1">
      <alignment vertical="center"/>
    </xf>
    <xf numFmtId="0" fontId="19" fillId="22" borderId="105" xfId="169" applyNumberFormat="1" applyFill="1" applyBorder="1" applyAlignment="1">
      <alignment vertical="center"/>
    </xf>
    <xf numFmtId="49" fontId="19" fillId="42" borderId="105" xfId="169" applyNumberFormat="1" applyFill="1" applyBorder="1" applyAlignment="1">
      <alignment vertical="center"/>
    </xf>
    <xf numFmtId="49" fontId="19" fillId="39" borderId="106" xfId="169" applyNumberFormat="1" applyFont="1" applyFill="1" applyBorder="1" applyAlignment="1">
      <alignment vertical="center"/>
    </xf>
    <xf numFmtId="0" fontId="19" fillId="0" borderId="105" xfId="169" applyFont="1" applyFill="1" applyBorder="1" applyAlignment="1">
      <alignment vertical="center"/>
    </xf>
    <xf numFmtId="0" fontId="19" fillId="0" borderId="107" xfId="169" applyFont="1" applyFill="1" applyBorder="1" applyAlignment="1">
      <alignment vertical="center"/>
    </xf>
    <xf numFmtId="0" fontId="19" fillId="0" borderId="105" xfId="169" applyFont="1" applyFill="1" applyBorder="1" applyAlignment="1">
      <alignment horizontal="center" vertical="center"/>
    </xf>
    <xf numFmtId="0" fontId="19" fillId="0" borderId="106" xfId="169" applyFont="1" applyFill="1" applyBorder="1" applyAlignment="1">
      <alignment vertical="center"/>
    </xf>
    <xf numFmtId="0" fontId="19" fillId="0" borderId="120" xfId="169" applyFont="1" applyFill="1" applyBorder="1" applyAlignment="1">
      <alignment vertical="top"/>
    </xf>
    <xf numFmtId="0" fontId="19" fillId="0" borderId="69" xfId="169" applyFont="1" applyFill="1" applyBorder="1" applyAlignment="1">
      <alignment vertical="top"/>
    </xf>
    <xf numFmtId="0" fontId="19" fillId="0" borderId="108" xfId="169" applyFont="1" applyFill="1" applyBorder="1" applyAlignment="1">
      <alignment vertical="top"/>
    </xf>
    <xf numFmtId="0" fontId="19" fillId="0" borderId="106" xfId="169" applyFont="1" applyFill="1" applyBorder="1" applyAlignment="1">
      <alignment horizontal="center" vertical="center" shrinkToFit="1"/>
    </xf>
    <xf numFmtId="0" fontId="19" fillId="35" borderId="75" xfId="169" quotePrefix="1" applyFill="1" applyBorder="1" applyAlignment="1">
      <alignment vertical="center"/>
    </xf>
    <xf numFmtId="0" fontId="19" fillId="35" borderId="114" xfId="169" applyFill="1" applyBorder="1" applyAlignment="1">
      <alignment vertical="center"/>
    </xf>
    <xf numFmtId="0" fontId="19" fillId="35" borderId="102" xfId="169" applyFill="1" applyBorder="1" applyAlignment="1">
      <alignment vertical="center"/>
    </xf>
    <xf numFmtId="0" fontId="19" fillId="35" borderId="112" xfId="169" applyFill="1" applyBorder="1" applyAlignment="1">
      <alignment vertical="center"/>
    </xf>
    <xf numFmtId="0" fontId="19" fillId="35" borderId="121" xfId="169" applyFill="1" applyBorder="1" applyAlignment="1">
      <alignment vertical="center"/>
    </xf>
    <xf numFmtId="0" fontId="19" fillId="43" borderId="122" xfId="169" applyFont="1" applyFill="1" applyBorder="1" applyAlignment="1">
      <alignment horizontal="center" vertical="center" wrapText="1"/>
    </xf>
    <xf numFmtId="0" fontId="19" fillId="43" borderId="79" xfId="169" applyFont="1" applyFill="1" applyBorder="1" applyAlignment="1">
      <alignment horizontal="center" vertical="center" wrapText="1"/>
    </xf>
    <xf numFmtId="0" fontId="19" fillId="43" borderId="118" xfId="169" applyFont="1" applyFill="1" applyBorder="1" applyAlignment="1">
      <alignment horizontal="center" vertical="center"/>
    </xf>
    <xf numFmtId="0" fontId="19" fillId="43" borderId="118" xfId="169" applyFont="1" applyFill="1" applyBorder="1" applyAlignment="1">
      <alignment horizontal="center" vertical="center" wrapText="1"/>
    </xf>
    <xf numFmtId="0" fontId="19" fillId="43" borderId="113" xfId="169" applyFont="1" applyFill="1" applyBorder="1" applyAlignment="1">
      <alignment horizontal="center" vertical="center" textRotation="255" shrinkToFit="1"/>
    </xf>
    <xf numFmtId="0" fontId="77" fillId="44" borderId="123" xfId="169" applyFont="1" applyFill="1" applyBorder="1" applyAlignment="1">
      <alignment horizontal="center" vertical="center"/>
    </xf>
    <xf numFmtId="0" fontId="77" fillId="44" borderId="112" xfId="169" applyFont="1" applyFill="1" applyBorder="1" applyAlignment="1">
      <alignment horizontal="center" vertical="center" wrapText="1"/>
    </xf>
    <xf numFmtId="0" fontId="77" fillId="44" borderId="112" xfId="169" applyFont="1" applyFill="1" applyBorder="1" applyAlignment="1">
      <alignment horizontal="center" vertical="center" textRotation="255" shrinkToFit="1"/>
    </xf>
    <xf numFmtId="0" fontId="77" fillId="44" borderId="112" xfId="169" applyFont="1" applyFill="1" applyBorder="1" applyAlignment="1">
      <alignment horizontal="center" vertical="center"/>
    </xf>
    <xf numFmtId="0" fontId="77" fillId="44" borderId="112" xfId="169" applyFont="1" applyFill="1" applyBorder="1" applyAlignment="1">
      <alignment horizontal="center" vertical="center" shrinkToFit="1"/>
    </xf>
    <xf numFmtId="0" fontId="77" fillId="44" borderId="113" xfId="169" applyFont="1" applyFill="1" applyBorder="1" applyAlignment="1">
      <alignment horizontal="center" vertical="center" textRotation="255" shrinkToFit="1"/>
    </xf>
    <xf numFmtId="0" fontId="19" fillId="41" borderId="118" xfId="169" applyFont="1" applyFill="1" applyBorder="1" applyAlignment="1">
      <alignment horizontal="center" vertical="center" wrapText="1"/>
    </xf>
    <xf numFmtId="0" fontId="19" fillId="41" borderId="118" xfId="169" applyFont="1" applyFill="1" applyBorder="1" applyAlignment="1">
      <alignment horizontal="center" vertical="center"/>
    </xf>
    <xf numFmtId="0" fontId="19" fillId="41" borderId="118" xfId="169" applyFont="1" applyFill="1" applyBorder="1" applyAlignment="1">
      <alignment horizontal="center" vertical="center" textRotation="255"/>
    </xf>
    <xf numFmtId="0" fontId="19" fillId="41" borderId="124" xfId="169" applyFont="1" applyFill="1" applyBorder="1" applyAlignment="1">
      <alignment horizontal="center" vertical="center" textRotation="255" shrinkToFit="1"/>
    </xf>
    <xf numFmtId="0" fontId="19" fillId="35" borderId="95" xfId="169" applyFont="1" applyFill="1" applyBorder="1" applyAlignment="1">
      <alignment horizontal="centerContinuous" vertical="center"/>
    </xf>
    <xf numFmtId="0" fontId="19" fillId="32" borderId="0" xfId="169" applyFill="1" applyAlignment="1">
      <alignment vertical="center"/>
    </xf>
    <xf numFmtId="0" fontId="19" fillId="40" borderId="0" xfId="169" applyFill="1" applyAlignment="1">
      <alignment vertical="center"/>
    </xf>
    <xf numFmtId="0" fontId="74" fillId="22" borderId="5" xfId="169" applyFont="1" applyFill="1" applyBorder="1" applyAlignment="1">
      <alignment vertical="center"/>
    </xf>
    <xf numFmtId="0" fontId="74" fillId="22" borderId="125" xfId="169" applyFont="1" applyFill="1" applyBorder="1" applyAlignment="1">
      <alignment vertical="center"/>
    </xf>
    <xf numFmtId="49" fontId="34" fillId="35" borderId="53" xfId="195" applyNumberFormat="1" applyFont="1" applyFill="1" applyBorder="1" applyAlignment="1">
      <alignment horizontal="center" vertical="center"/>
    </xf>
    <xf numFmtId="0" fontId="32" fillId="38" borderId="102" xfId="169" applyFont="1" applyFill="1" applyBorder="1" applyAlignment="1">
      <alignment vertical="top"/>
    </xf>
    <xf numFmtId="0" fontId="32" fillId="38" borderId="72" xfId="169" applyFont="1" applyFill="1" applyBorder="1" applyAlignment="1">
      <alignment vertical="top"/>
    </xf>
    <xf numFmtId="0" fontId="32" fillId="38" borderId="0" xfId="169" applyFont="1" applyFill="1" applyBorder="1" applyAlignment="1">
      <alignment horizontal="left" vertical="top"/>
    </xf>
    <xf numFmtId="49" fontId="4" fillId="0" borderId="30" xfId="169" applyNumberFormat="1" applyFont="1" applyFill="1" applyBorder="1" applyAlignment="1">
      <alignment vertical="center"/>
    </xf>
    <xf numFmtId="49" fontId="19" fillId="38" borderId="30" xfId="169" applyNumberFormat="1" applyFill="1" applyBorder="1" applyAlignment="1">
      <alignment vertical="center"/>
    </xf>
    <xf numFmtId="49" fontId="19" fillId="35" borderId="30" xfId="169" applyNumberFormat="1" applyFill="1" applyBorder="1" applyAlignment="1">
      <alignment vertical="center"/>
    </xf>
    <xf numFmtId="49" fontId="4" fillId="35" borderId="30" xfId="169" applyNumberFormat="1" applyFont="1" applyFill="1" applyBorder="1" applyAlignment="1">
      <alignment vertical="center"/>
    </xf>
    <xf numFmtId="0" fontId="75" fillId="0" borderId="0" xfId="0" applyFont="1">
      <alignment vertical="center"/>
    </xf>
    <xf numFmtId="0" fontId="78" fillId="0" borderId="0" xfId="0" applyFont="1">
      <alignment vertical="center"/>
    </xf>
    <xf numFmtId="49" fontId="34" fillId="31" borderId="45" xfId="195" applyNumberFormat="1" applyFont="1" applyFill="1" applyBorder="1" applyAlignment="1">
      <alignment horizontal="center" vertical="center"/>
    </xf>
    <xf numFmtId="49" fontId="34" fillId="31" borderId="42" xfId="195" applyNumberFormat="1" applyFont="1" applyFill="1" applyBorder="1" applyAlignment="1">
      <alignment horizontal="center" vertical="center" wrapText="1"/>
    </xf>
    <xf numFmtId="49" fontId="34" fillId="31" borderId="45" xfId="195" applyNumberFormat="1" applyFont="1" applyFill="1" applyBorder="1" applyAlignment="1">
      <alignment horizontal="center" vertical="top" wrapText="1"/>
    </xf>
    <xf numFmtId="49" fontId="34" fillId="31" borderId="46" xfId="195" applyNumberFormat="1" applyFont="1" applyFill="1" applyBorder="1" applyAlignment="1">
      <alignment horizontal="center" vertical="center"/>
    </xf>
    <xf numFmtId="49" fontId="33" fillId="31" borderId="126" xfId="195" applyNumberFormat="1" applyFont="1" applyFill="1" applyBorder="1" applyAlignment="1">
      <alignment vertical="center"/>
    </xf>
    <xf numFmtId="49" fontId="33" fillId="31" borderId="33" xfId="195" applyNumberFormat="1" applyFont="1" applyFill="1" applyBorder="1" applyAlignment="1">
      <alignment vertical="center"/>
    </xf>
    <xf numFmtId="49" fontId="33" fillId="31" borderId="127" xfId="195" applyNumberFormat="1" applyFont="1" applyFill="1" applyBorder="1" applyAlignment="1">
      <alignment vertical="center"/>
    </xf>
    <xf numFmtId="49" fontId="32" fillId="31" borderId="74" xfId="195" applyNumberFormat="1" applyFont="1" applyFill="1" applyBorder="1" applyAlignment="1">
      <alignment vertical="center"/>
    </xf>
    <xf numFmtId="49" fontId="32" fillId="31" borderId="6" xfId="195" applyNumberFormat="1" applyFont="1" applyFill="1" applyBorder="1" applyAlignment="1">
      <alignment vertical="center"/>
    </xf>
    <xf numFmtId="49" fontId="32" fillId="31" borderId="54" xfId="195" applyNumberFormat="1" applyFont="1" applyFill="1" applyBorder="1" applyAlignment="1">
      <alignment vertical="center"/>
    </xf>
    <xf numFmtId="49" fontId="34" fillId="23" borderId="69" xfId="195" applyNumberFormat="1" applyFont="1" applyFill="1" applyBorder="1" applyAlignment="1">
      <alignment horizontal="center" vertical="center"/>
    </xf>
    <xf numFmtId="49" fontId="34" fillId="23" borderId="120" xfId="195" applyNumberFormat="1" applyFont="1" applyFill="1" applyBorder="1" applyAlignment="1">
      <alignment horizontal="center" vertical="center"/>
    </xf>
    <xf numFmtId="0" fontId="19" fillId="41" borderId="123" xfId="169" applyFont="1" applyFill="1" applyBorder="1" applyAlignment="1">
      <alignment horizontal="center" vertical="center"/>
    </xf>
    <xf numFmtId="0" fontId="19" fillId="41" borderId="110" xfId="169" applyFont="1" applyFill="1" applyBorder="1" applyAlignment="1">
      <alignment horizontal="center" vertical="center"/>
    </xf>
    <xf numFmtId="0" fontId="19" fillId="41" borderId="117" xfId="169" applyFont="1" applyFill="1" applyBorder="1" applyAlignment="1">
      <alignment horizontal="center" vertical="center"/>
    </xf>
    <xf numFmtId="0" fontId="5" fillId="33" borderId="125" xfId="169" applyFont="1" applyFill="1" applyBorder="1" applyAlignment="1">
      <alignment vertical="center"/>
    </xf>
    <xf numFmtId="0" fontId="5" fillId="33" borderId="5" xfId="169" applyFont="1" applyFill="1" applyBorder="1" applyAlignment="1">
      <alignment vertical="center"/>
    </xf>
    <xf numFmtId="0" fontId="5" fillId="33" borderId="130" xfId="169" applyFont="1" applyFill="1" applyBorder="1" applyAlignment="1">
      <alignment vertical="center"/>
    </xf>
    <xf numFmtId="0" fontId="5" fillId="0" borderId="125" xfId="118" applyFont="1" applyBorder="1" applyAlignment="1" applyProtection="1">
      <alignment vertical="center"/>
    </xf>
    <xf numFmtId="0" fontId="5" fillId="0" borderId="5" xfId="169" applyFont="1" applyBorder="1" applyAlignment="1">
      <alignment vertical="center"/>
    </xf>
    <xf numFmtId="0" fontId="5" fillId="0" borderId="130" xfId="169" applyFont="1" applyBorder="1" applyAlignment="1">
      <alignment vertical="center"/>
    </xf>
    <xf numFmtId="0" fontId="79" fillId="41" borderId="98" xfId="169" applyFont="1" applyFill="1" applyBorder="1" applyAlignment="1">
      <alignment horizontal="center" vertical="center" shrinkToFit="1"/>
    </xf>
    <xf numFmtId="0" fontId="79" fillId="41" borderId="33" xfId="169" applyFont="1" applyFill="1" applyBorder="1" applyAlignment="1">
      <alignment horizontal="center" vertical="center" shrinkToFit="1"/>
    </xf>
    <xf numFmtId="0" fontId="79" fillId="41" borderId="128" xfId="169" applyFont="1" applyFill="1" applyBorder="1" applyAlignment="1">
      <alignment horizontal="center" vertical="center" shrinkToFit="1"/>
    </xf>
    <xf numFmtId="0" fontId="79" fillId="44" borderId="98" xfId="169" applyFont="1" applyFill="1" applyBorder="1" applyAlignment="1">
      <alignment horizontal="center" vertical="center"/>
    </xf>
    <xf numFmtId="0" fontId="79" fillId="44" borderId="33" xfId="169" applyFont="1" applyFill="1" applyBorder="1" applyAlignment="1">
      <alignment horizontal="center" vertical="center"/>
    </xf>
    <xf numFmtId="0" fontId="79" fillId="43" borderId="98" xfId="169" applyFont="1" applyFill="1" applyBorder="1" applyAlignment="1">
      <alignment horizontal="center" vertical="center" shrinkToFit="1"/>
    </xf>
    <xf numFmtId="0" fontId="79" fillId="43" borderId="33" xfId="169" applyFont="1" applyFill="1" applyBorder="1" applyAlignment="1">
      <alignment horizontal="center" vertical="center" shrinkToFit="1"/>
    </xf>
    <xf numFmtId="0" fontId="79" fillId="43" borderId="128" xfId="169" applyFont="1" applyFill="1" applyBorder="1" applyAlignment="1">
      <alignment horizontal="center" vertical="center" shrinkToFit="1"/>
    </xf>
    <xf numFmtId="0" fontId="5" fillId="22" borderId="0" xfId="169" applyFont="1" applyFill="1" applyAlignment="1">
      <alignment horizontal="left" vertical="center" shrinkToFit="1"/>
    </xf>
    <xf numFmtId="0" fontId="74" fillId="41" borderId="129" xfId="169" applyFont="1" applyFill="1" applyBorder="1" applyAlignment="1">
      <alignment horizontal="center" vertical="center"/>
    </xf>
    <xf numFmtId="49" fontId="74" fillId="22" borderId="125" xfId="169" applyNumberFormat="1" applyFont="1" applyFill="1" applyBorder="1" applyAlignment="1">
      <alignment vertical="center"/>
    </xf>
    <xf numFmtId="49" fontId="74" fillId="22" borderId="5" xfId="169" applyNumberFormat="1" applyFont="1" applyFill="1" applyBorder="1" applyAlignment="1">
      <alignment vertical="center"/>
    </xf>
    <xf numFmtId="49" fontId="74" fillId="22" borderId="130" xfId="169" applyNumberFormat="1" applyFont="1" applyFill="1" applyBorder="1" applyAlignment="1">
      <alignment vertical="center"/>
    </xf>
    <xf numFmtId="0" fontId="5" fillId="41" borderId="129" xfId="169" applyFont="1" applyFill="1" applyBorder="1" applyAlignment="1">
      <alignment vertical="center"/>
    </xf>
    <xf numFmtId="0" fontId="5" fillId="41" borderId="125" xfId="169" applyFont="1" applyFill="1" applyBorder="1" applyAlignment="1">
      <alignment vertical="center"/>
    </xf>
    <xf numFmtId="0" fontId="5" fillId="41" borderId="5" xfId="169" applyFont="1" applyFill="1" applyBorder="1" applyAlignment="1">
      <alignment vertical="center"/>
    </xf>
    <xf numFmtId="0" fontId="5" fillId="41" borderId="130" xfId="169" applyFont="1" applyFill="1" applyBorder="1" applyAlignment="1">
      <alignment vertical="center"/>
    </xf>
    <xf numFmtId="0" fontId="74" fillId="22" borderId="125" xfId="169" applyFont="1" applyFill="1" applyBorder="1" applyAlignment="1">
      <alignment vertical="center" shrinkToFit="1"/>
    </xf>
    <xf numFmtId="0" fontId="74" fillId="22" borderId="5" xfId="169" applyFont="1" applyFill="1" applyBorder="1" applyAlignment="1">
      <alignment vertical="center" shrinkToFit="1"/>
    </xf>
    <xf numFmtId="0" fontId="74" fillId="22" borderId="130" xfId="169" applyFont="1" applyFill="1" applyBorder="1" applyAlignment="1">
      <alignment vertical="center" shrinkToFit="1"/>
    </xf>
    <xf numFmtId="0" fontId="19" fillId="35" borderId="98" xfId="169" applyFill="1" applyBorder="1" applyAlignment="1">
      <alignment horizontal="center" vertical="center"/>
    </xf>
    <xf numFmtId="0" fontId="19" fillId="35" borderId="33" xfId="169" applyFill="1" applyBorder="1" applyAlignment="1">
      <alignment horizontal="center" vertical="center"/>
    </xf>
    <xf numFmtId="0" fontId="19" fillId="35" borderId="128" xfId="169" applyFill="1" applyBorder="1" applyAlignment="1">
      <alignment horizontal="center" vertical="center"/>
    </xf>
    <xf numFmtId="0" fontId="78" fillId="35" borderId="0" xfId="0" applyFont="1" applyFill="1">
      <alignment vertical="center"/>
    </xf>
    <xf numFmtId="0" fontId="75" fillId="35" borderId="0" xfId="0" applyFont="1" applyFill="1">
      <alignment vertical="center"/>
    </xf>
  </cellXfs>
  <cellStyles count="202">
    <cellStyle name="??????" xfId="1" xr:uid="{00000000-0005-0000-0000-000000000000}"/>
    <cellStyle name="??_???? ?? ??? (2)" xfId="2" xr:uid="{00000000-0005-0000-0000-000001000000}"/>
    <cellStyle name="?E°CE，°e1yAI" xfId="3" xr:uid="{00000000-0005-0000-0000-000002000000}"/>
    <cellStyle name="20% - Accent1" xfId="4" xr:uid="{00000000-0005-0000-0000-000003000000}"/>
    <cellStyle name="20% - Accent2" xfId="5" xr:uid="{00000000-0005-0000-0000-000004000000}"/>
    <cellStyle name="20% - Accent3" xfId="6" xr:uid="{00000000-0005-0000-0000-000005000000}"/>
    <cellStyle name="20% - Accent4" xfId="7" xr:uid="{00000000-0005-0000-0000-000006000000}"/>
    <cellStyle name="20% - Accent5" xfId="8" xr:uid="{00000000-0005-0000-0000-000007000000}"/>
    <cellStyle name="20% - Accent6" xfId="9" xr:uid="{00000000-0005-0000-0000-000008000000}"/>
    <cellStyle name="40% - Accent1" xfId="10" xr:uid="{00000000-0005-0000-0000-000009000000}"/>
    <cellStyle name="40% - Accent2" xfId="11" xr:uid="{00000000-0005-0000-0000-00000A000000}"/>
    <cellStyle name="40% - Accent3" xfId="12" xr:uid="{00000000-0005-0000-0000-00000B000000}"/>
    <cellStyle name="40% - Accent4" xfId="13" xr:uid="{00000000-0005-0000-0000-00000C000000}"/>
    <cellStyle name="40% - Accent5" xfId="14" xr:uid="{00000000-0005-0000-0000-00000D000000}"/>
    <cellStyle name="40% - Accent6" xfId="15" xr:uid="{00000000-0005-0000-0000-00000E000000}"/>
    <cellStyle name="60% - Accent1" xfId="16" xr:uid="{00000000-0005-0000-0000-00000F000000}"/>
    <cellStyle name="60% - Accent2" xfId="17" xr:uid="{00000000-0005-0000-0000-000010000000}"/>
    <cellStyle name="60% - Accent3" xfId="18" xr:uid="{00000000-0005-0000-0000-000011000000}"/>
    <cellStyle name="60% - Accent4" xfId="19" xr:uid="{00000000-0005-0000-0000-000012000000}"/>
    <cellStyle name="60% - Accent5" xfId="20" xr:uid="{00000000-0005-0000-0000-000013000000}"/>
    <cellStyle name="60% - Accent6" xfId="21" xr:uid="{00000000-0005-0000-0000-000014000000}"/>
    <cellStyle name="Accent1" xfId="22" xr:uid="{00000000-0005-0000-0000-000015000000}"/>
    <cellStyle name="Accent2" xfId="23" xr:uid="{00000000-0005-0000-0000-000016000000}"/>
    <cellStyle name="Accent3" xfId="24" xr:uid="{00000000-0005-0000-0000-000017000000}"/>
    <cellStyle name="Accent4" xfId="25" xr:uid="{00000000-0005-0000-0000-000018000000}"/>
    <cellStyle name="Accent5" xfId="26" xr:uid="{00000000-0005-0000-0000-000019000000}"/>
    <cellStyle name="Accent6" xfId="27" xr:uid="{00000000-0005-0000-0000-00001A000000}"/>
    <cellStyle name="AeE- [0]_Co´e0124" xfId="28" xr:uid="{00000000-0005-0000-0000-00001B000000}"/>
    <cellStyle name="AeE-_Co´e0124" xfId="29" xr:uid="{00000000-0005-0000-0000-00001C000000}"/>
    <cellStyle name="AT，¶ [0]_Co´e0124" xfId="30" xr:uid="{00000000-0005-0000-0000-00001D000000}"/>
    <cellStyle name="AT，¶_Co´e0124" xfId="31" xr:uid="{00000000-0005-0000-0000-00001E000000}"/>
    <cellStyle name="Bad" xfId="32" xr:uid="{00000000-0005-0000-0000-00001F000000}"/>
    <cellStyle name="BD標準" xfId="33" xr:uid="{00000000-0005-0000-0000-000020000000}"/>
    <cellStyle name="C\AO_Co´e0124" xfId="34" xr:uid="{00000000-0005-0000-0000-000021000000}"/>
    <cellStyle name="Calc Currency (0)" xfId="35" xr:uid="{00000000-0005-0000-0000-000022000000}"/>
    <cellStyle name="Calculation" xfId="36" xr:uid="{00000000-0005-0000-0000-000023000000}"/>
    <cellStyle name="category" xfId="37" xr:uid="{00000000-0005-0000-0000-000024000000}"/>
    <cellStyle name="Check Cell" xfId="38" xr:uid="{00000000-0005-0000-0000-000025000000}"/>
    <cellStyle name="Comma [0]_1995" xfId="39" xr:uid="{00000000-0005-0000-0000-000026000000}"/>
    <cellStyle name="Comma_1995" xfId="40" xr:uid="{00000000-0005-0000-0000-000027000000}"/>
    <cellStyle name="Comma0 - Modelo1" xfId="41" xr:uid="{00000000-0005-0000-0000-000028000000}"/>
    <cellStyle name="Comma0 - Style1" xfId="42" xr:uid="{00000000-0005-0000-0000-000029000000}"/>
    <cellStyle name="Comma1 - Modelo2" xfId="43" xr:uid="{00000000-0005-0000-0000-00002A000000}"/>
    <cellStyle name="Comma1 - Style2" xfId="44" xr:uid="{00000000-0005-0000-0000-00002B000000}"/>
    <cellStyle name="Currency [0]_1995" xfId="45" xr:uid="{00000000-0005-0000-0000-00002C000000}"/>
    <cellStyle name="Currency_1995" xfId="46" xr:uid="{00000000-0005-0000-0000-00002D000000}"/>
    <cellStyle name="Dia" xfId="47" xr:uid="{00000000-0005-0000-0000-00002E000000}"/>
    <cellStyle name="Encabez1" xfId="48" xr:uid="{00000000-0005-0000-0000-00002F000000}"/>
    <cellStyle name="Encabez2" xfId="49" xr:uid="{00000000-0005-0000-0000-000030000000}"/>
    <cellStyle name="entry" xfId="50" xr:uid="{00000000-0005-0000-0000-000031000000}"/>
    <cellStyle name="Explanatory Text" xfId="51" xr:uid="{00000000-0005-0000-0000-000032000000}"/>
    <cellStyle name="F2" xfId="52" xr:uid="{00000000-0005-0000-0000-000033000000}"/>
    <cellStyle name="F3" xfId="53" xr:uid="{00000000-0005-0000-0000-000034000000}"/>
    <cellStyle name="F4" xfId="54" xr:uid="{00000000-0005-0000-0000-000035000000}"/>
    <cellStyle name="F5" xfId="55" xr:uid="{00000000-0005-0000-0000-000036000000}"/>
    <cellStyle name="F6" xfId="56" xr:uid="{00000000-0005-0000-0000-000037000000}"/>
    <cellStyle name="F7" xfId="57" xr:uid="{00000000-0005-0000-0000-000038000000}"/>
    <cellStyle name="F8" xfId="58" xr:uid="{00000000-0005-0000-0000-000039000000}"/>
    <cellStyle name="Fijo" xfId="59" xr:uid="{00000000-0005-0000-0000-00003A000000}"/>
    <cellStyle name="Financiero" xfId="60" xr:uid="{00000000-0005-0000-0000-00003B000000}"/>
    <cellStyle name="Good" xfId="61" xr:uid="{00000000-0005-0000-0000-00003C000000}"/>
    <cellStyle name="Grey" xfId="62" xr:uid="{00000000-0005-0000-0000-00003D000000}"/>
    <cellStyle name="HEADER" xfId="63" xr:uid="{00000000-0005-0000-0000-00003E000000}"/>
    <cellStyle name="Header 1" xfId="64" xr:uid="{00000000-0005-0000-0000-00003F000000}"/>
    <cellStyle name="Header 2" xfId="65" xr:uid="{00000000-0005-0000-0000-000040000000}"/>
    <cellStyle name="Header Center" xfId="66" xr:uid="{00000000-0005-0000-0000-000041000000}"/>
    <cellStyle name="Header1" xfId="67" xr:uid="{00000000-0005-0000-0000-000042000000}"/>
    <cellStyle name="Header2" xfId="68" xr:uid="{00000000-0005-0000-0000-000043000000}"/>
    <cellStyle name="Heading 1" xfId="69" xr:uid="{00000000-0005-0000-0000-000044000000}"/>
    <cellStyle name="Heading 2" xfId="70" xr:uid="{00000000-0005-0000-0000-000045000000}"/>
    <cellStyle name="Heading 3" xfId="71" xr:uid="{00000000-0005-0000-0000-000046000000}"/>
    <cellStyle name="Heading 4" xfId="72" xr:uid="{00000000-0005-0000-0000-000047000000}"/>
    <cellStyle name="HP Logo" xfId="73" xr:uid="{00000000-0005-0000-0000-000048000000}"/>
    <cellStyle name="Hyperlink 2" xfId="74" xr:uid="{00000000-0005-0000-0000-000049000000}"/>
    <cellStyle name="IBM(401K)" xfId="75" xr:uid="{00000000-0005-0000-0000-00004A000000}"/>
    <cellStyle name="Input" xfId="76" xr:uid="{00000000-0005-0000-0000-00004B000000}"/>
    <cellStyle name="Input [yellow]" xfId="77" xr:uid="{00000000-0005-0000-0000-00004C000000}"/>
    <cellStyle name="J401K" xfId="78" xr:uid="{00000000-0005-0000-0000-00004D000000}"/>
    <cellStyle name="Linked Cell" xfId="79" xr:uid="{00000000-0005-0000-0000-00004E000000}"/>
    <cellStyle name="MFPStyle_Title" xfId="80" xr:uid="{00000000-0005-0000-0000-00004F000000}"/>
    <cellStyle name="Millares [0]_10 AVERIAS MASIVAS + ANT" xfId="81" xr:uid="{00000000-0005-0000-0000-000050000000}"/>
    <cellStyle name="Millares_10 AVERIAS MASIVAS + ANT" xfId="82" xr:uid="{00000000-0005-0000-0000-000051000000}"/>
    <cellStyle name="Model" xfId="83" xr:uid="{00000000-0005-0000-0000-000052000000}"/>
    <cellStyle name="Moneda [0]_10 AVERIAS MASIVAS + ANT" xfId="84" xr:uid="{00000000-0005-0000-0000-000053000000}"/>
    <cellStyle name="Moneda_10 AVERIAS MASIVAS + ANT" xfId="85" xr:uid="{00000000-0005-0000-0000-000054000000}"/>
    <cellStyle name="Monetario" xfId="86" xr:uid="{00000000-0005-0000-0000-000055000000}"/>
    <cellStyle name="Neutral" xfId="87" xr:uid="{00000000-0005-0000-0000-000056000000}"/>
    <cellStyle name="no dec" xfId="88" xr:uid="{00000000-0005-0000-0000-000057000000}"/>
    <cellStyle name="Normal - Style1" xfId="89" xr:uid="{00000000-0005-0000-0000-000058000000}"/>
    <cellStyle name="Normal 2" xfId="90" xr:uid="{00000000-0005-0000-0000-000059000000}"/>
    <cellStyle name="Normal_#10-Headcount" xfId="91" xr:uid="{00000000-0005-0000-0000-00005A000000}"/>
    <cellStyle name="Normale_2000S TPI TARIFF" xfId="92" xr:uid="{00000000-0005-0000-0000-00005B000000}"/>
    <cellStyle name="Note" xfId="93" xr:uid="{00000000-0005-0000-0000-00005C000000}"/>
    <cellStyle name="NUMERO" xfId="94" xr:uid="{00000000-0005-0000-0000-00005D000000}"/>
    <cellStyle name="Output" xfId="95" xr:uid="{00000000-0005-0000-0000-00005E000000}"/>
    <cellStyle name="Percent [2]" xfId="96" xr:uid="{00000000-0005-0000-0000-00005F000000}"/>
    <cellStyle name="Porcentaje" xfId="97" xr:uid="{00000000-0005-0000-0000-000060000000}"/>
    <cellStyle name="price" xfId="98" xr:uid="{00000000-0005-0000-0000-000061000000}"/>
    <cellStyle name="PSChar" xfId="99" xr:uid="{00000000-0005-0000-0000-000062000000}"/>
    <cellStyle name="PSHeading" xfId="100" xr:uid="{00000000-0005-0000-0000-000063000000}"/>
    <cellStyle name="revised" xfId="101" xr:uid="{00000000-0005-0000-0000-000064000000}"/>
    <cellStyle name="RM" xfId="102" xr:uid="{00000000-0005-0000-0000-000065000000}"/>
    <cellStyle name="section" xfId="103" xr:uid="{00000000-0005-0000-0000-000066000000}"/>
    <cellStyle name="SPOl" xfId="104" xr:uid="{00000000-0005-0000-0000-000067000000}"/>
    <cellStyle name="subhead" xfId="105" xr:uid="{00000000-0005-0000-0000-000068000000}"/>
    <cellStyle name="Table Entry" xfId="106" xr:uid="{00000000-0005-0000-0000-000069000000}"/>
    <cellStyle name="Table Heading" xfId="107" xr:uid="{00000000-0005-0000-0000-00006A000000}"/>
    <cellStyle name="Table Heading Center" xfId="108" xr:uid="{00000000-0005-0000-0000-00006B000000}"/>
    <cellStyle name="Table Medium" xfId="109" xr:uid="{00000000-0005-0000-0000-00006C000000}"/>
    <cellStyle name="Table Normal" xfId="110" xr:uid="{00000000-0005-0000-0000-00006D000000}"/>
    <cellStyle name="Table Small" xfId="111" xr:uid="{00000000-0005-0000-0000-00006E000000}"/>
    <cellStyle name="Table Small Bold" xfId="112" xr:uid="{00000000-0005-0000-0000-00006F000000}"/>
    <cellStyle name="Table Small Center" xfId="113" xr:uid="{00000000-0005-0000-0000-000070000000}"/>
    <cellStyle name="Table Title" xfId="114" xr:uid="{00000000-0005-0000-0000-000071000000}"/>
    <cellStyle name="Title" xfId="115" xr:uid="{00000000-0005-0000-0000-000072000000}"/>
    <cellStyle name="Total" xfId="116" xr:uid="{00000000-0005-0000-0000-000073000000}"/>
    <cellStyle name="Warning Text" xfId="117" xr:uid="{00000000-0005-0000-0000-000074000000}"/>
    <cellStyle name="ハイパーリンク" xfId="118" builtinId="8"/>
    <cellStyle name="ハイパーリンク 2" xfId="119" xr:uid="{00000000-0005-0000-0000-000076000000}"/>
    <cellStyle name="ハイパーリンク 2 2" xfId="120" xr:uid="{00000000-0005-0000-0000-000077000000}"/>
    <cellStyle name="ハイパーリンク 2 2 2" xfId="121" xr:uid="{00000000-0005-0000-0000-000078000000}"/>
    <cellStyle name="下点線" xfId="122" xr:uid="{00000000-0005-0000-0000-000079000000}"/>
    <cellStyle name="価格桁区切り" xfId="123" xr:uid="{00000000-0005-0000-0000-00007A000000}"/>
    <cellStyle name="貨物標準" xfId="124" xr:uid="{00000000-0005-0000-0000-00007B000000}"/>
    <cellStyle name="型番" xfId="125" xr:uid="{00000000-0005-0000-0000-00007C000000}"/>
    <cellStyle name="桁区切り [##.##]" xfId="126" xr:uid="{00000000-0005-0000-0000-00007D000000}"/>
    <cellStyle name="見出し" xfId="127" xr:uid="{00000000-0005-0000-0000-00007E000000}"/>
    <cellStyle name="見出し 1 2" xfId="128" xr:uid="{00000000-0005-0000-0000-00007F000000}"/>
    <cellStyle name="常规_【NWエリア検索】 住所探索画面-API" xfId="129" xr:uid="{00000000-0005-0000-0000-000080000000}"/>
    <cellStyle name="常规_仕掛中0805_FMCオンライン向けAPIパラメータ一覧" xfId="130" xr:uid="{00000000-0005-0000-0000-000081000000}"/>
    <cellStyle name="人月" xfId="131" xr:uid="{00000000-0005-0000-0000-000082000000}"/>
    <cellStyle name="数値" xfId="132" xr:uid="{00000000-0005-0000-0000-000083000000}"/>
    <cellStyle name="数値（桁区切り）" xfId="133" xr:uid="{00000000-0005-0000-0000-000084000000}"/>
    <cellStyle name="数値_4-2-00%28UQSVC%29" xfId="134" xr:uid="{00000000-0005-0000-0000-000085000000}"/>
    <cellStyle name="製品通知&quot;-&quot;" xfId="135" xr:uid="{00000000-0005-0000-0000-000086000000}"/>
    <cellStyle name="製品通知価格" xfId="136" xr:uid="{00000000-0005-0000-0000-000087000000}"/>
    <cellStyle name="製品通知日付" xfId="137" xr:uid="{00000000-0005-0000-0000-000088000000}"/>
    <cellStyle name="製品通知文字列" xfId="138" xr:uid="{00000000-0005-0000-0000-000089000000}"/>
    <cellStyle name="通貨 2" xfId="139" xr:uid="{00000000-0005-0000-0000-00008A000000}"/>
    <cellStyle name="日付" xfId="140" xr:uid="{00000000-0005-0000-0000-00008B000000}"/>
    <cellStyle name="年月日" xfId="141" xr:uid="{00000000-0005-0000-0000-00008C000000}"/>
    <cellStyle name="標・_HTL99S" xfId="142" xr:uid="{00000000-0005-0000-0000-00008D000000}"/>
    <cellStyle name="標準" xfId="0" builtinId="0"/>
    <cellStyle name="標準 10" xfId="143" xr:uid="{00000000-0005-0000-0000-00008F000000}"/>
    <cellStyle name="標準 11" xfId="144" xr:uid="{00000000-0005-0000-0000-000090000000}"/>
    <cellStyle name="標準 12" xfId="145" xr:uid="{00000000-0005-0000-0000-000091000000}"/>
    <cellStyle name="標準 13" xfId="146" xr:uid="{00000000-0005-0000-0000-000092000000}"/>
    <cellStyle name="標準 13 2" xfId="147" xr:uid="{00000000-0005-0000-0000-000093000000}"/>
    <cellStyle name="標準 14" xfId="148" xr:uid="{00000000-0005-0000-0000-000094000000}"/>
    <cellStyle name="標準 14 2" xfId="149" xr:uid="{00000000-0005-0000-0000-000095000000}"/>
    <cellStyle name="標準 15" xfId="150" xr:uid="{00000000-0005-0000-0000-000096000000}"/>
    <cellStyle name="標準 16" xfId="151" xr:uid="{00000000-0005-0000-0000-000097000000}"/>
    <cellStyle name="標準 17" xfId="152" xr:uid="{00000000-0005-0000-0000-000098000000}"/>
    <cellStyle name="標準 18" xfId="153" xr:uid="{00000000-0005-0000-0000-000099000000}"/>
    <cellStyle name="標準 19" xfId="154" xr:uid="{00000000-0005-0000-0000-00009A000000}"/>
    <cellStyle name="標準 2" xfId="155" xr:uid="{00000000-0005-0000-0000-00009B000000}"/>
    <cellStyle name="標準 2 2" xfId="156" xr:uid="{00000000-0005-0000-0000-00009C000000}"/>
    <cellStyle name="標準 2 3" xfId="157" xr:uid="{00000000-0005-0000-0000-00009D000000}"/>
    <cellStyle name="標準 2 3 2" xfId="158" xr:uid="{00000000-0005-0000-0000-00009E000000}"/>
    <cellStyle name="標準 20" xfId="159" xr:uid="{00000000-0005-0000-0000-00009F000000}"/>
    <cellStyle name="標準 21" xfId="160" xr:uid="{00000000-0005-0000-0000-0000A0000000}"/>
    <cellStyle name="標準 22" xfId="161" xr:uid="{00000000-0005-0000-0000-0000A1000000}"/>
    <cellStyle name="標準 23" xfId="162" xr:uid="{00000000-0005-0000-0000-0000A2000000}"/>
    <cellStyle name="標準 24" xfId="163" xr:uid="{00000000-0005-0000-0000-0000A3000000}"/>
    <cellStyle name="標準 25" xfId="164" xr:uid="{00000000-0005-0000-0000-0000A4000000}"/>
    <cellStyle name="標準 26" xfId="165" xr:uid="{00000000-0005-0000-0000-0000A5000000}"/>
    <cellStyle name="標準 27" xfId="166" xr:uid="{00000000-0005-0000-0000-0000A6000000}"/>
    <cellStyle name="標準 28" xfId="167" xr:uid="{00000000-0005-0000-0000-0000A7000000}"/>
    <cellStyle name="標準 29" xfId="168" xr:uid="{00000000-0005-0000-0000-0000A8000000}"/>
    <cellStyle name="標準 3" xfId="169" xr:uid="{00000000-0005-0000-0000-0000A9000000}"/>
    <cellStyle name="標準 3 2" xfId="170" xr:uid="{00000000-0005-0000-0000-0000AA000000}"/>
    <cellStyle name="標準 30" xfId="171" xr:uid="{00000000-0005-0000-0000-0000AB000000}"/>
    <cellStyle name="標準 31" xfId="172" xr:uid="{00000000-0005-0000-0000-0000AC000000}"/>
    <cellStyle name="標準 32" xfId="173" xr:uid="{00000000-0005-0000-0000-0000AD000000}"/>
    <cellStyle name="標準 33" xfId="174" xr:uid="{00000000-0005-0000-0000-0000AE000000}"/>
    <cellStyle name="標準 34" xfId="175" xr:uid="{00000000-0005-0000-0000-0000AF000000}"/>
    <cellStyle name="標準 35" xfId="176" xr:uid="{00000000-0005-0000-0000-0000B0000000}"/>
    <cellStyle name="標準 36" xfId="177" xr:uid="{00000000-0005-0000-0000-0000B1000000}"/>
    <cellStyle name="標準 37" xfId="178" xr:uid="{00000000-0005-0000-0000-0000B2000000}"/>
    <cellStyle name="標準 38" xfId="179" xr:uid="{00000000-0005-0000-0000-0000B3000000}"/>
    <cellStyle name="標準 39" xfId="180" xr:uid="{00000000-0005-0000-0000-0000B4000000}"/>
    <cellStyle name="標準 4" xfId="181" xr:uid="{00000000-0005-0000-0000-0000B5000000}"/>
    <cellStyle name="標準 4 2" xfId="182" xr:uid="{00000000-0005-0000-0000-0000B6000000}"/>
    <cellStyle name="標準 40" xfId="183" xr:uid="{00000000-0005-0000-0000-0000B7000000}"/>
    <cellStyle name="標準 41" xfId="184" xr:uid="{00000000-0005-0000-0000-0000B8000000}"/>
    <cellStyle name="標準 42" xfId="185" xr:uid="{00000000-0005-0000-0000-0000B9000000}"/>
    <cellStyle name="標準 43" xfId="186" xr:uid="{00000000-0005-0000-0000-0000BA000000}"/>
    <cellStyle name="標準 5" xfId="187" xr:uid="{00000000-0005-0000-0000-0000BB000000}"/>
    <cellStyle name="標準 5 2" xfId="188" xr:uid="{00000000-0005-0000-0000-0000BC000000}"/>
    <cellStyle name="標準 6" xfId="189" xr:uid="{00000000-0005-0000-0000-0000BD000000}"/>
    <cellStyle name="標準 6 2" xfId="190" xr:uid="{00000000-0005-0000-0000-0000BE000000}"/>
    <cellStyle name="標準 7" xfId="191" xr:uid="{00000000-0005-0000-0000-0000BF000000}"/>
    <cellStyle name="標準 8" xfId="192" xr:uid="{00000000-0005-0000-0000-0000C0000000}"/>
    <cellStyle name="標準 9" xfId="193" xr:uid="{00000000-0005-0000-0000-0000C1000000}"/>
    <cellStyle name="標準 9 2" xfId="194" xr:uid="{00000000-0005-0000-0000-0000C2000000}"/>
    <cellStyle name="標準_結合試験項目書【ｵﾝﾗｲﾝ】(au契約者" xfId="195" xr:uid="{00000000-0005-0000-0000-0000C3000000}"/>
    <cellStyle name="表題" xfId="196" xr:uid="{00000000-0005-0000-0000-0000C4000000}"/>
    <cellStyle name="文字列" xfId="197" xr:uid="{00000000-0005-0000-0000-0000C5000000}"/>
    <cellStyle name="未定義" xfId="198" xr:uid="{00000000-0005-0000-0000-0000C6000000}"/>
    <cellStyle name="網かけ" xfId="199" xr:uid="{00000000-0005-0000-0000-0000C7000000}"/>
    <cellStyle name="網掛け" xfId="200" xr:uid="{00000000-0005-0000-0000-0000C8000000}"/>
    <cellStyle name="樘準_購－表紙 (2)_1_型－PRINT_ＳＩ型番 (2)_構成明細  (原調込み） (2)" xfId="201" xr:uid="{00000000-0005-0000-0000-0000C9000000}"/>
  </cellStyles>
  <dxfs count="4599">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externalLink" Target="externalLinks/externalLink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5.xml"/><Relationship Id="rId58" Type="http://schemas.openxmlformats.org/officeDocument/2006/relationships/externalLink" Target="externalLinks/externalLink10.xml"/><Relationship Id="rId66"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externalLink" Target="externalLinks/externalLink9.xml"/><Relationship Id="rId61" Type="http://schemas.openxmlformats.org/officeDocument/2006/relationships/externalLink" Target="externalLinks/externalLink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4.xml"/><Relationship Id="rId60" Type="http://schemas.openxmlformats.org/officeDocument/2006/relationships/externalLink" Target="externalLinks/externalLink12.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8.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externalLink" Target="externalLinks/externalLink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1.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6.xml"/><Relationship Id="rId62" Type="http://schemas.openxmlformats.org/officeDocument/2006/relationships/externalLink" Target="externalLinks/externalLink14.xml"/><Relationship Id="rId7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9524</xdr:colOff>
      <xdr:row>30</xdr:row>
      <xdr:rowOff>19049</xdr:rowOff>
    </xdr:from>
    <xdr:to>
      <xdr:col>16</xdr:col>
      <xdr:colOff>0</xdr:colOff>
      <xdr:row>144</xdr:row>
      <xdr:rowOff>123826</xdr:rowOff>
    </xdr:to>
    <xdr:sp macro="" textlink="">
      <xdr:nvSpPr>
        <xdr:cNvPr id="2077" name="Text Box 29">
          <a:extLst>
            <a:ext uri="{FF2B5EF4-FFF2-40B4-BE49-F238E27FC236}">
              <a16:creationId xmlns:a16="http://schemas.microsoft.com/office/drawing/2014/main" id="{00000000-0008-0000-2D00-00001D080000}"/>
            </a:ext>
          </a:extLst>
        </xdr:cNvPr>
        <xdr:cNvSpPr txBox="1">
          <a:spLocks noChangeArrowheads="1"/>
        </xdr:cNvSpPr>
      </xdr:nvSpPr>
      <xdr:spPr bwMode="auto">
        <a:xfrm>
          <a:off x="695324" y="4648199"/>
          <a:ext cx="10277476" cy="19659601"/>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ctr" rtl="0">
            <a:lnSpc>
              <a:spcPts val="1900"/>
            </a:lnSpc>
            <a:defRPr sz="1000"/>
          </a:pPr>
          <a:endParaRPr lang="en-US" altLang="ja-JP" sz="1600" b="1" i="0" u="none" strike="noStrike" baseline="0">
            <a:solidFill>
              <a:srgbClr val="000000"/>
            </a:solidFill>
            <a:latin typeface="+mj-ea"/>
            <a:ea typeface="+mj-ea"/>
          </a:endParaRPr>
        </a:p>
        <a:p>
          <a:pPr algn="ctr" rtl="0">
            <a:lnSpc>
              <a:spcPts val="1900"/>
            </a:lnSpc>
            <a:defRPr sz="1000"/>
          </a:pPr>
          <a:r>
            <a:rPr lang="ja-JP" altLang="en-US" sz="1600" b="1" i="0" u="none" strike="noStrike" baseline="0">
              <a:solidFill>
                <a:srgbClr val="000000"/>
              </a:solidFill>
              <a:latin typeface="+mj-ea"/>
              <a:ea typeface="+mj-ea"/>
            </a:rPr>
            <a:t>利用手順</a:t>
          </a:r>
          <a:br>
            <a:rPr lang="en-US" altLang="ja-JP" sz="1100" b="1" i="0" u="none" strike="noStrike" baseline="0">
              <a:solidFill>
                <a:srgbClr val="000000"/>
              </a:solidFill>
              <a:latin typeface="+mj-ea"/>
              <a:ea typeface="+mj-ea"/>
            </a:rPr>
          </a:br>
          <a:endParaRPr lang="en-US" altLang="ja-JP" sz="1600" b="1" i="0" u="none" strike="noStrike" baseline="0">
            <a:solidFill>
              <a:srgbClr val="000000"/>
            </a:solidFill>
            <a:latin typeface="+mj-ea"/>
            <a:ea typeface="+mj-ea"/>
          </a:endParaRPr>
        </a:p>
        <a:p>
          <a:pPr algn="l" rtl="0">
            <a:lnSpc>
              <a:spcPts val="1300"/>
            </a:lnSpc>
            <a:defRPr sz="1000"/>
          </a:pPr>
          <a:r>
            <a:rPr lang="en-US" altLang="ja-JP" sz="1100" b="1" i="0" u="none" strike="noStrike" baseline="0">
              <a:solidFill>
                <a:srgbClr val="000000"/>
              </a:solidFill>
              <a:latin typeface="+mj-ea"/>
              <a:ea typeface="+mj-ea"/>
            </a:rPr>
            <a:t>1</a:t>
          </a:r>
          <a:r>
            <a:rPr lang="ja-JP" altLang="en-US" sz="1100" b="1" i="0" u="none" strike="noStrike" baseline="0">
              <a:solidFill>
                <a:srgbClr val="000000"/>
              </a:solidFill>
              <a:latin typeface="+mj-ea"/>
              <a:ea typeface="+mj-ea"/>
            </a:rPr>
            <a:t>、</a:t>
          </a:r>
          <a:r>
            <a:rPr lang="en-US" altLang="ja-JP" sz="1100" b="1" i="0" u="none" strike="noStrike" baseline="0">
              <a:solidFill>
                <a:srgbClr val="000000"/>
              </a:solidFill>
              <a:latin typeface="+mj-ea"/>
              <a:ea typeface="+mj-ea"/>
            </a:rPr>
            <a:t>APIIF</a:t>
          </a:r>
          <a:r>
            <a:rPr lang="ja-JP" altLang="en-US" sz="1100" b="1" i="0" u="none" strike="noStrike" baseline="0">
              <a:solidFill>
                <a:srgbClr val="000000"/>
              </a:solidFill>
              <a:latin typeface="+mj-ea"/>
              <a:ea typeface="+mj-ea"/>
            </a:rPr>
            <a:t>仕様書の項目定義シートをこのツールにコピーする。</a:t>
          </a:r>
          <a:endParaRPr lang="en-US" altLang="ja-JP" sz="1100" b="1" i="0" u="none" strike="noStrike" baseline="0">
            <a:solidFill>
              <a:srgbClr val="000000"/>
            </a:solidFill>
            <a:latin typeface="+mj-ea"/>
            <a:ea typeface="+mj-ea"/>
          </a:endParaRPr>
        </a:p>
        <a:p>
          <a:pPr algn="l" rtl="0">
            <a:lnSpc>
              <a:spcPts val="1300"/>
            </a:lnSpc>
            <a:defRPr sz="1000"/>
          </a:pP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シート名：</a:t>
          </a:r>
          <a:r>
            <a:rPr lang="en-US" altLang="ja-JP" sz="1100" b="0" i="0" u="none" strike="noStrike" baseline="0">
              <a:solidFill>
                <a:srgbClr val="000000"/>
              </a:solidFill>
              <a:latin typeface="+mj-ea"/>
              <a:ea typeface="+mj-ea"/>
            </a:rPr>
            <a:t>API-ID</a:t>
          </a:r>
          <a:r>
            <a:rPr lang="ja-JP" altLang="en-US" sz="1100" b="0" i="0" u="none" strike="noStrike" baseline="0">
              <a:solidFill>
                <a:srgbClr val="000000"/>
              </a:solidFill>
              <a:latin typeface="+mj-ea"/>
              <a:ea typeface="+mj-ea"/>
            </a:rPr>
            <a:t>（例えば、</a:t>
          </a:r>
          <a:r>
            <a:rPr lang="en-US" altLang="ja-JP" sz="1100" b="0" i="0" u="none" strike="noStrike" baseline="0">
              <a:solidFill>
                <a:srgbClr val="000000"/>
              </a:solidFill>
              <a:latin typeface="+mj-ea"/>
              <a:ea typeface="+mj-ea"/>
            </a:rPr>
            <a:t>B006</a:t>
          </a:r>
          <a:r>
            <a:rPr lang="ja-JP" altLang="en-US" sz="1100" b="0" i="0" u="none" strike="noStrike" baseline="0">
              <a:solidFill>
                <a:srgbClr val="000000"/>
              </a:solidFill>
              <a:latin typeface="+mj-ea"/>
              <a:ea typeface="+mj-ea"/>
            </a:rPr>
            <a:t>）</a:t>
          </a:r>
          <a:endParaRPr lang="en-US" altLang="ja-JP" sz="1100" b="0" i="0" u="none" strike="noStrike" baseline="0">
            <a:solidFill>
              <a:srgbClr val="000000"/>
            </a:solidFill>
            <a:latin typeface="+mj-ea"/>
            <a:ea typeface="+mj-ea"/>
          </a:endParaRPr>
        </a:p>
        <a:p>
          <a:pPr algn="l" rtl="0">
            <a:lnSpc>
              <a:spcPts val="1300"/>
            </a:lnSpc>
            <a:defRPr sz="1000"/>
          </a:pPr>
          <a:endParaRPr lang="en-US" altLang="ja-JP" sz="1100" b="0" i="0" u="none" strike="noStrike" baseline="0">
            <a:solidFill>
              <a:srgbClr val="000000"/>
            </a:solidFill>
            <a:latin typeface="+mj-ea"/>
            <a:ea typeface="+mj-ea"/>
          </a:endParaRPr>
        </a:p>
        <a:p>
          <a:pPr algn="l" rtl="0">
            <a:lnSpc>
              <a:spcPts val="1200"/>
            </a:lnSpc>
            <a:defRPr sz="1000"/>
          </a:pPr>
          <a:r>
            <a:rPr lang="ja-JP" altLang="en-US" sz="1100" b="1" i="0" u="none" strike="noStrike" baseline="0">
              <a:solidFill>
                <a:srgbClr val="000000"/>
              </a:solidFill>
              <a:latin typeface="+mj-ea"/>
              <a:ea typeface="+mj-ea"/>
            </a:rPr>
            <a:t>２．各項目を設定する</a:t>
          </a:r>
          <a:br>
            <a:rPr lang="en-US" altLang="ja-JP" sz="1100" b="0" i="0" u="none" strike="noStrike" baseline="0">
              <a:solidFill>
                <a:srgbClr val="000000"/>
              </a:solidFill>
              <a:latin typeface="+mj-ea"/>
              <a:ea typeface="+mj-ea"/>
            </a:rPr>
          </a:br>
          <a:r>
            <a:rPr lang="ja-JP" altLang="en-US" sz="1100" b="0" i="0" u="none" strike="noStrike" baseline="0">
              <a:solidFill>
                <a:srgbClr val="000000"/>
              </a:solidFill>
              <a:latin typeface="+mj-ea"/>
              <a:ea typeface="+mj-ea"/>
            </a:rPr>
            <a:t>　　</a:t>
          </a:r>
          <a:r>
            <a:rPr lang="ja-JP" altLang="en-US" sz="1100" b="1" i="0" u="none" strike="noStrike" baseline="0">
              <a:solidFill>
                <a:srgbClr val="000000"/>
              </a:solidFill>
              <a:latin typeface="+mj-ea"/>
              <a:ea typeface="+mj-ea"/>
            </a:rPr>
            <a:t>①　</a:t>
          </a:r>
          <a:r>
            <a:rPr lang="en-US" altLang="ja-JP" sz="1100" b="1" i="0">
              <a:latin typeface="+mj-ea"/>
              <a:ea typeface="+mj-ea"/>
              <a:cs typeface="+mn-cs"/>
            </a:rPr>
            <a:t>APISheetName</a:t>
          </a:r>
          <a:r>
            <a:rPr lang="ja-JP" altLang="en-US" sz="1100" b="1" i="0">
              <a:latin typeface="+mj-ea"/>
              <a:ea typeface="+mj-ea"/>
              <a:cs typeface="+mn-cs"/>
            </a:rPr>
            <a:t>　</a:t>
          </a:r>
          <a:endParaRPr lang="en-US" altLang="ja-JP" sz="1100" b="1" i="0">
            <a:latin typeface="+mj-ea"/>
            <a:ea typeface="+mj-ea"/>
            <a:cs typeface="+mn-cs"/>
          </a:endParaRPr>
        </a:p>
        <a:p>
          <a:pPr algn="l" rtl="0">
            <a:lnSpc>
              <a:spcPts val="1300"/>
            </a:lnSpc>
            <a:defRPr sz="1000"/>
          </a:pPr>
          <a:r>
            <a:rPr lang="ja-JP" altLang="en-US" sz="1100" b="0" i="0">
              <a:latin typeface="+mj-ea"/>
              <a:ea typeface="+mj-ea"/>
              <a:cs typeface="+mn-cs"/>
            </a:rPr>
            <a:t>　　　　</a:t>
          </a:r>
          <a:r>
            <a:rPr lang="ja-JP" altLang="ja-JP" sz="1100" b="0" i="0">
              <a:latin typeface="+mj-ea"/>
              <a:ea typeface="+mj-ea"/>
              <a:cs typeface="+mn-cs"/>
            </a:rPr>
            <a:t>対象シート名</a:t>
          </a:r>
          <a:r>
            <a:rPr lang="ja-JP" altLang="en-US" sz="1100" b="0" i="0">
              <a:latin typeface="+mj-ea"/>
              <a:ea typeface="+mj-ea"/>
              <a:cs typeface="+mn-cs"/>
            </a:rPr>
            <a:t>（</a:t>
          </a:r>
          <a:r>
            <a:rPr lang="ja-JP" altLang="ja-JP" sz="1100" b="0" i="0">
              <a:latin typeface="+mj-ea"/>
              <a:ea typeface="+mj-ea"/>
              <a:cs typeface="+mn-cs"/>
            </a:rPr>
            <a:t>必須</a:t>
          </a:r>
          <a:r>
            <a:rPr lang="ja-JP" altLang="en-US" sz="1100" b="0" i="0">
              <a:latin typeface="+mj-ea"/>
              <a:ea typeface="+mj-ea"/>
              <a:cs typeface="+mn-cs"/>
            </a:rPr>
            <a:t>）　</a:t>
          </a:r>
          <a:endParaRPr lang="en-US" altLang="ja-JP" sz="1100" b="0" i="0">
            <a:latin typeface="+mj-ea"/>
            <a:ea typeface="+mj-ea"/>
            <a:cs typeface="+mn-cs"/>
          </a:endParaRPr>
        </a:p>
        <a:p>
          <a:pPr algn="l" rtl="0">
            <a:lnSpc>
              <a:spcPts val="1200"/>
            </a:lnSpc>
            <a:defRPr sz="1000"/>
          </a:pPr>
          <a:r>
            <a:rPr lang="ja-JP" altLang="en-US" sz="1100" b="0" i="0" u="none" strike="noStrike" baseline="0">
              <a:solidFill>
                <a:srgbClr val="000000"/>
              </a:solidFill>
              <a:latin typeface="+mj-ea"/>
              <a:ea typeface="+mj-ea"/>
              <a:cs typeface="+mn-cs"/>
            </a:rPr>
            <a:t>　　　　■</a:t>
          </a:r>
          <a:r>
            <a:rPr lang="ja-JP" altLang="ja-JP" sz="1100" b="0" i="0" baseline="0">
              <a:latin typeface="+mj-ea"/>
              <a:ea typeface="+mj-ea"/>
              <a:cs typeface="+mn-cs"/>
            </a:rPr>
            <a:t>例えば、</a:t>
          </a:r>
          <a:r>
            <a:rPr lang="en-US" altLang="ja-JP" sz="1100" b="0" i="0" baseline="0">
              <a:latin typeface="+mj-ea"/>
              <a:ea typeface="+mj-ea"/>
              <a:cs typeface="+mn-cs"/>
            </a:rPr>
            <a:t>B006</a:t>
          </a:r>
        </a:p>
        <a:p>
          <a:pPr algn="l" rtl="0">
            <a:lnSpc>
              <a:spcPts val="1300"/>
            </a:lnSpc>
            <a:defRPr sz="1000"/>
          </a:pPr>
          <a:endParaRPr lang="en-US" altLang="ja-JP" sz="1100" b="0" i="0" baseline="0">
            <a:latin typeface="+mj-ea"/>
            <a:ea typeface="+mj-ea"/>
            <a:cs typeface="+mn-cs"/>
          </a:endParaRPr>
        </a:p>
        <a:p>
          <a:pPr algn="l" rtl="0">
            <a:lnSpc>
              <a:spcPts val="1200"/>
            </a:lnSpc>
            <a:defRPr sz="1000"/>
          </a:pPr>
          <a:r>
            <a:rPr lang="ja-JP" altLang="en-US" sz="1100" b="1" i="0" u="none" strike="noStrike" baseline="0">
              <a:solidFill>
                <a:srgbClr val="000000"/>
              </a:solidFill>
              <a:latin typeface="+mj-ea"/>
              <a:ea typeface="+mj-ea"/>
              <a:cs typeface="+mn-cs"/>
            </a:rPr>
            <a:t>　　②　</a:t>
          </a:r>
          <a:r>
            <a:rPr lang="en-US" altLang="ja-JP" sz="1100" b="1" i="0" u="none" strike="noStrike">
              <a:latin typeface="+mj-ea"/>
              <a:ea typeface="+mj-ea"/>
              <a:cs typeface="+mn-cs"/>
            </a:rPr>
            <a:t>CaseNo</a:t>
          </a:r>
        </a:p>
        <a:p>
          <a:pPr algn="l" rtl="0">
            <a:lnSpc>
              <a:spcPts val="1300"/>
            </a:lnSpc>
            <a:defRPr sz="1000"/>
          </a:pPr>
          <a:r>
            <a:rPr lang="ja-JP" altLang="en-US" sz="1100" b="0" i="0" u="none" strike="noStrike">
              <a:latin typeface="+mj-ea"/>
              <a:ea typeface="+mj-ea"/>
              <a:cs typeface="+mn-cs"/>
            </a:rPr>
            <a:t>　　　　</a:t>
          </a:r>
          <a:r>
            <a:rPr lang="ja-JP" altLang="ja-JP" sz="1100" b="0" i="0">
              <a:latin typeface="+mj-ea"/>
              <a:ea typeface="+mj-ea"/>
              <a:cs typeface="+mn-cs"/>
            </a:rPr>
            <a:t>対象ケース名（非必須）　</a:t>
          </a:r>
          <a:endParaRPr lang="en-US" altLang="ja-JP" sz="1100" b="0" i="0" u="none" strike="noStrike">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u="none" strike="noStrike">
              <a:latin typeface="+mj-ea"/>
              <a:ea typeface="+mj-ea"/>
              <a:cs typeface="+mn-cs"/>
            </a:rPr>
            <a:t>　　　　</a:t>
          </a:r>
          <a:r>
            <a:rPr lang="ja-JP" altLang="ja-JP" sz="1100" b="0" i="0" baseline="0">
              <a:latin typeface="+mj-ea"/>
              <a:ea typeface="+mj-ea"/>
              <a:cs typeface="+mn-cs"/>
            </a:rPr>
            <a:t>■例えば、</a:t>
          </a:r>
          <a:r>
            <a:rPr lang="en-US" altLang="ja-JP" sz="1100" b="0" i="0">
              <a:latin typeface="+mj-ea"/>
              <a:ea typeface="+mj-ea"/>
              <a:cs typeface="+mn-cs"/>
            </a:rPr>
            <a:t>ID0001</a:t>
          </a:r>
          <a:r>
            <a:rPr lang="ja-JP" altLang="en-US" sz="1100" b="0" i="0">
              <a:latin typeface="+mj-ea"/>
              <a:ea typeface="+mj-ea"/>
              <a:cs typeface="+mn-cs"/>
            </a:rPr>
            <a:t>（テストケースの７行目の</a:t>
          </a:r>
          <a:r>
            <a:rPr lang="en-US" altLang="ja-JP" sz="1100" b="0" i="0">
              <a:latin typeface="+mj-ea"/>
              <a:ea typeface="+mj-ea"/>
              <a:cs typeface="+mn-cs"/>
            </a:rPr>
            <a:t>ID</a:t>
          </a:r>
          <a:r>
            <a:rPr lang="ja-JP" altLang="en-US" sz="1100" b="0" i="0">
              <a:latin typeface="+mj-ea"/>
              <a:ea typeface="+mj-ea"/>
              <a:cs typeface="+mn-cs"/>
            </a:rPr>
            <a:t>番号、</a:t>
          </a:r>
          <a:r>
            <a:rPr lang="en-US" altLang="ja-JP" sz="1100" b="0" i="0">
              <a:latin typeface="+mj-ea"/>
              <a:ea typeface="+mj-ea"/>
              <a:cs typeface="+mn-cs"/>
            </a:rPr>
            <a:t>IDXXXX</a:t>
          </a:r>
          <a:r>
            <a:rPr lang="ja-JP" altLang="en-US" sz="1100" b="0" i="0">
              <a:latin typeface="+mj-ea"/>
              <a:ea typeface="+mj-ea"/>
              <a:cs typeface="+mn-cs"/>
            </a:rPr>
            <a:t>形式）</a:t>
          </a:r>
          <a:endParaRPr lang="en-US" altLang="ja-JP" sz="1100" b="0" i="0">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a:latin typeface="+mj-ea"/>
              <a:ea typeface="+mj-ea"/>
              <a:cs typeface="+mn-cs"/>
            </a:rPr>
            <a:t>　　　　</a:t>
          </a:r>
          <a:r>
            <a:rPr lang="en-US" altLang="ja-JP" sz="1100" b="0" i="0">
              <a:latin typeface="+mj-ea"/>
              <a:ea typeface="+mj-ea"/>
              <a:cs typeface="+mn-cs"/>
            </a:rPr>
            <a:t>※</a:t>
          </a:r>
          <a:r>
            <a:rPr lang="ja-JP" altLang="en-US" sz="1100" b="0" i="0">
              <a:solidFill>
                <a:schemeClr val="tx1"/>
              </a:solidFill>
              <a:latin typeface="+mj-ea"/>
              <a:ea typeface="+mj-ea"/>
              <a:cs typeface="+mn-cs"/>
            </a:rPr>
            <a:t>③の</a:t>
          </a:r>
          <a:r>
            <a:rPr lang="en-US" altLang="ja-JP" sz="1100" b="1" i="0">
              <a:solidFill>
                <a:schemeClr val="tx1"/>
              </a:solidFill>
              <a:latin typeface="+mj-ea"/>
              <a:ea typeface="+mj-ea"/>
              <a:cs typeface="+mn-cs"/>
            </a:rPr>
            <a:t>CaseStartCol</a:t>
          </a:r>
          <a:r>
            <a:rPr lang="ja-JP" altLang="ja-JP" sz="1100" b="0" i="0">
              <a:solidFill>
                <a:schemeClr val="tx1"/>
              </a:solidFill>
              <a:latin typeface="+mj-ea"/>
              <a:ea typeface="+mj-ea"/>
              <a:cs typeface="+mn-cs"/>
            </a:rPr>
            <a:t>以降</a:t>
          </a:r>
          <a:r>
            <a:rPr lang="ja-JP" altLang="en-US" sz="1100" b="0" i="0">
              <a:solidFill>
                <a:schemeClr val="tx1"/>
              </a:solidFill>
              <a:latin typeface="+mj-ea"/>
              <a:ea typeface="+mj-ea"/>
              <a:cs typeface="+mn-cs"/>
            </a:rPr>
            <a:t>の列で</a:t>
          </a:r>
          <a:r>
            <a:rPr lang="ja-JP" altLang="ja-JP" sz="1100" b="0" i="0">
              <a:latin typeface="+mj-ea"/>
              <a:ea typeface="+mj-ea"/>
              <a:cs typeface="+mn-cs"/>
            </a:rPr>
            <a:t>設定</a:t>
          </a:r>
          <a:r>
            <a:rPr lang="ja-JP" altLang="en-US" sz="1100" b="0" i="0">
              <a:latin typeface="+mj-ea"/>
              <a:ea typeface="+mj-ea"/>
              <a:cs typeface="+mn-cs"/>
            </a:rPr>
            <a:t>する</a:t>
          </a:r>
          <a:r>
            <a:rPr lang="ja-JP" altLang="ja-JP" sz="1100" b="0" i="0">
              <a:latin typeface="+mj-ea"/>
              <a:ea typeface="+mj-ea"/>
              <a:cs typeface="+mn-cs"/>
            </a:rPr>
            <a:t>ケース</a:t>
          </a:r>
          <a:r>
            <a:rPr lang="ja-JP" altLang="en-US" sz="1100" b="0" i="0">
              <a:latin typeface="+mj-ea"/>
              <a:ea typeface="+mj-ea"/>
              <a:cs typeface="+mn-cs"/>
            </a:rPr>
            <a:t>の</a:t>
          </a:r>
          <a:r>
            <a:rPr lang="ja-JP" altLang="ja-JP" sz="1100" b="0" i="0">
              <a:latin typeface="+mj-ea"/>
              <a:ea typeface="+mj-ea"/>
              <a:cs typeface="+mn-cs"/>
            </a:rPr>
            <a:t>名</a:t>
          </a:r>
          <a:r>
            <a:rPr lang="ja-JP" altLang="en-US" sz="1100" b="0" i="0">
              <a:latin typeface="+mj-ea"/>
              <a:ea typeface="+mj-ea"/>
              <a:cs typeface="+mn-cs"/>
            </a:rPr>
            <a:t>を指定する</a:t>
          </a:r>
          <a:r>
            <a:rPr lang="ja-JP" altLang="ja-JP" sz="1100" b="0" i="0">
              <a:solidFill>
                <a:srgbClr val="FF0000"/>
              </a:solidFill>
              <a:latin typeface="+mj-ea"/>
              <a:ea typeface="+mj-ea"/>
              <a:cs typeface="+mn-cs"/>
            </a:rPr>
            <a:t>。</a:t>
          </a:r>
          <a:endParaRPr lang="en-US" altLang="ja-JP" sz="1100" b="0" i="0">
            <a:solidFill>
              <a:srgbClr val="FF0000"/>
            </a:solidFill>
            <a:latin typeface="+mj-ea"/>
            <a:ea typeface="+mj-ea"/>
            <a:cs typeface="+mn-cs"/>
          </a:endParaRPr>
        </a:p>
        <a:p>
          <a:pPr marL="0" marR="0" indent="0" algn="l" defTabSz="914400" rtl="0" eaLnBrk="1" fontAlgn="auto" latinLnBrk="0" hangingPunct="1">
            <a:lnSpc>
              <a:spcPts val="1300"/>
            </a:lnSpc>
            <a:spcBef>
              <a:spcPts val="0"/>
            </a:spcBef>
            <a:spcAft>
              <a:spcPts val="0"/>
            </a:spcAft>
            <a:buClrTx/>
            <a:buSzTx/>
            <a:buFontTx/>
            <a:buNone/>
            <a:tabLst/>
            <a:defRPr sz="1000"/>
          </a:pPr>
          <a:r>
            <a:rPr lang="ja-JP" altLang="en-US" sz="1100" b="0" i="0">
              <a:latin typeface="+mj-ea"/>
              <a:ea typeface="+mj-ea"/>
              <a:cs typeface="+mn-cs"/>
            </a:rPr>
            <a:t>　　　　　</a:t>
          </a:r>
          <a:r>
            <a:rPr lang="ja-JP" altLang="ja-JP" sz="1100" b="0" i="0">
              <a:latin typeface="+mj-ea"/>
              <a:ea typeface="+mj-ea"/>
              <a:cs typeface="+mn-cs"/>
            </a:rPr>
            <a:t>複数のケースは入力不可</a:t>
          </a:r>
          <a:endParaRPr lang="en-US" altLang="ja-JP" sz="1100" b="0" i="0">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baseline="0">
              <a:latin typeface="+mj-ea"/>
              <a:ea typeface="+mj-ea"/>
              <a:cs typeface="+mn-cs"/>
            </a:rPr>
            <a:t>　　　　　未設定の場合、ケース全体を対象となる。　</a:t>
          </a:r>
          <a:endParaRPr lang="en-US" altLang="ja-JP" sz="1100" b="0" i="0" baseline="0">
            <a:latin typeface="+mj-ea"/>
            <a:ea typeface="+mj-ea"/>
            <a:cs typeface="+mn-cs"/>
          </a:endParaRPr>
        </a:p>
        <a:p>
          <a:pPr marL="0" marR="0" indent="0" algn="l" defTabSz="914400" rtl="0" eaLnBrk="1" fontAlgn="auto" latinLnBrk="0" hangingPunct="1">
            <a:lnSpc>
              <a:spcPts val="1300"/>
            </a:lnSpc>
            <a:spcBef>
              <a:spcPts val="0"/>
            </a:spcBef>
            <a:spcAft>
              <a:spcPts val="0"/>
            </a:spcAft>
            <a:buClrTx/>
            <a:buSzTx/>
            <a:buFontTx/>
            <a:buNone/>
            <a:tabLst/>
            <a:defRPr sz="1000"/>
          </a:pPr>
          <a:endParaRPr lang="en-US" altLang="ja-JP" sz="1100" b="0" i="0" u="none" strike="noStrike">
            <a:latin typeface="+mj-ea"/>
            <a:ea typeface="+mj-ea"/>
            <a:cs typeface="+mn-cs"/>
          </a:endParaRPr>
        </a:p>
        <a:p>
          <a:pPr algn="l" rtl="0">
            <a:lnSpc>
              <a:spcPts val="1200"/>
            </a:lnSpc>
            <a:defRPr sz="1000"/>
          </a:pPr>
          <a:r>
            <a:rPr lang="ja-JP" altLang="en-US" sz="1100" b="1" i="0" u="none" strike="noStrike">
              <a:latin typeface="+mj-ea"/>
              <a:ea typeface="+mj-ea"/>
              <a:cs typeface="+mn-cs"/>
            </a:rPr>
            <a:t>　　③　</a:t>
          </a:r>
          <a:r>
            <a:rPr lang="en-US" altLang="ja-JP" sz="1100" b="1" i="0" u="none" strike="noStrike">
              <a:latin typeface="+mj-ea"/>
              <a:ea typeface="+mj-ea"/>
              <a:cs typeface="+mn-cs"/>
            </a:rPr>
            <a:t>CaseStartCol</a:t>
          </a:r>
          <a:endParaRPr lang="en-US" altLang="ja-JP" sz="1100" b="0" i="0" u="none" strike="noStrike">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ja-JP" altLang="ja-JP" sz="1100" b="0" i="0">
              <a:latin typeface="+mj-ea"/>
              <a:ea typeface="+mj-ea"/>
              <a:cs typeface="+mn-cs"/>
            </a:rPr>
            <a:t>テストデータ</a:t>
          </a:r>
          <a:r>
            <a:rPr lang="ja-JP" altLang="en-US" sz="1100" b="0" i="0">
              <a:latin typeface="+mj-ea"/>
              <a:ea typeface="+mj-ea"/>
              <a:cs typeface="+mn-cs"/>
            </a:rPr>
            <a:t>が</a:t>
          </a:r>
          <a:r>
            <a:rPr lang="ja-JP" altLang="en-US" sz="1100" b="0" i="0" u="none" strike="noStrike">
              <a:latin typeface="+mj-ea"/>
              <a:ea typeface="+mj-ea"/>
              <a:cs typeface="+mn-cs"/>
            </a:rPr>
            <a:t>どの列から設定するの</a:t>
          </a:r>
          <a:r>
            <a:rPr lang="ja-JP" altLang="en-US" sz="1100" b="0" i="0">
              <a:latin typeface="+mj-ea"/>
              <a:ea typeface="+mj-ea"/>
              <a:cs typeface="+mn-cs"/>
            </a:rPr>
            <a:t>を表す。</a:t>
          </a:r>
          <a:r>
            <a:rPr lang="ja-JP" altLang="ja-JP" sz="1100" b="0" i="0">
              <a:latin typeface="+mj-ea"/>
              <a:ea typeface="+mj-ea"/>
              <a:cs typeface="+mn-cs"/>
            </a:rPr>
            <a:t>（必須）</a:t>
          </a:r>
          <a:endParaRPr lang="en-US" altLang="ja-JP" sz="1100" b="0" i="0" u="none" strike="noStrike">
            <a:latin typeface="+mj-ea"/>
            <a:ea typeface="+mj-ea"/>
            <a:cs typeface="+mn-cs"/>
          </a:endParaRPr>
        </a:p>
        <a:p>
          <a:pPr algn="l" rtl="0">
            <a:lnSpc>
              <a:spcPts val="1300"/>
            </a:lnSpc>
            <a:defRPr sz="1000"/>
          </a:pPr>
          <a:r>
            <a:rPr lang="ja-JP" altLang="en-US" sz="1100" b="0" i="0" baseline="0">
              <a:latin typeface="+mj-ea"/>
              <a:ea typeface="+mj-ea"/>
              <a:cs typeface="+mn-cs"/>
            </a:rPr>
            <a:t>　　　　</a:t>
          </a:r>
          <a:r>
            <a:rPr lang="ja-JP" altLang="ja-JP" sz="1100" b="0" i="0" baseline="0">
              <a:latin typeface="+mj-ea"/>
              <a:ea typeface="+mj-ea"/>
              <a:cs typeface="+mn-cs"/>
            </a:rPr>
            <a:t>■例えば、</a:t>
          </a:r>
          <a:r>
            <a:rPr lang="en-US" altLang="ja-JP" sz="1100" b="0" i="0" u="none" strike="noStrike">
              <a:latin typeface="+mj-ea"/>
              <a:ea typeface="+mj-ea"/>
              <a:cs typeface="+mn-cs"/>
            </a:rPr>
            <a:t>CaseNo</a:t>
          </a:r>
          <a:r>
            <a:rPr lang="ja-JP" altLang="en-US" sz="1100" b="0" i="0" u="none" strike="noStrike">
              <a:latin typeface="+mj-ea"/>
              <a:ea typeface="+mj-ea"/>
              <a:cs typeface="+mn-cs"/>
            </a:rPr>
            <a:t>：</a:t>
          </a:r>
          <a:r>
            <a:rPr lang="en-US" altLang="ja-JP" sz="1100" b="0" i="0" u="none" strike="noStrike">
              <a:latin typeface="+mj-ea"/>
              <a:ea typeface="+mj-ea"/>
              <a:cs typeface="+mn-cs"/>
            </a:rPr>
            <a:t>ID0003</a:t>
          </a:r>
          <a:r>
            <a:rPr lang="ja-JP" altLang="en-US" sz="1100" b="0" i="0" u="none" strike="noStrike">
              <a:latin typeface="+mj-ea"/>
              <a:ea typeface="+mj-ea"/>
              <a:cs typeface="+mn-cs"/>
            </a:rPr>
            <a:t>、</a:t>
          </a:r>
          <a:r>
            <a:rPr lang="en-US" altLang="ja-JP" sz="1100" b="0" i="0" u="none" strike="noStrike">
              <a:latin typeface="+mj-ea"/>
              <a:ea typeface="+mj-ea"/>
              <a:cs typeface="+mn-cs"/>
            </a:rPr>
            <a:t>CaseStartCol</a:t>
          </a:r>
          <a:r>
            <a:rPr lang="ja-JP" altLang="en-US" sz="1100" b="0" i="0" u="none" strike="noStrike">
              <a:latin typeface="+mj-ea"/>
              <a:ea typeface="+mj-ea"/>
              <a:cs typeface="+mn-cs"/>
            </a:rPr>
            <a:t>：</a:t>
          </a:r>
          <a:r>
            <a:rPr lang="en-US" altLang="ja-JP" sz="1100" b="0" i="0" u="none" strike="noStrike">
              <a:latin typeface="+mj-ea"/>
              <a:ea typeface="+mj-ea"/>
              <a:cs typeface="+mn-cs"/>
            </a:rPr>
            <a:t>AD</a:t>
          </a:r>
        </a:p>
        <a:p>
          <a:pPr algn="l" rtl="0">
            <a:lnSpc>
              <a:spcPts val="1200"/>
            </a:lnSpc>
            <a:defRPr sz="1000"/>
          </a:pPr>
          <a:r>
            <a:rPr lang="ja-JP" altLang="en-US" sz="1100" b="0" i="0" u="none" strike="noStrike">
              <a:latin typeface="+mj-ea"/>
              <a:ea typeface="+mj-ea"/>
              <a:cs typeface="+mn-cs"/>
            </a:rPr>
            <a:t>　　　　　　　　　　意味：列</a:t>
          </a:r>
          <a:r>
            <a:rPr lang="en-US" altLang="ja-JP" sz="1100" b="0" i="0" u="none" strike="noStrike">
              <a:latin typeface="+mj-ea"/>
              <a:ea typeface="+mj-ea"/>
              <a:cs typeface="+mn-cs"/>
            </a:rPr>
            <a:t>AD</a:t>
          </a:r>
          <a:r>
            <a:rPr lang="ja-JP" altLang="en-US" sz="1100" b="0" i="0" u="none" strike="noStrike">
              <a:latin typeface="+mj-ea"/>
              <a:ea typeface="+mj-ea"/>
              <a:cs typeface="+mn-cs"/>
            </a:rPr>
            <a:t>から</a:t>
          </a:r>
          <a:r>
            <a:rPr lang="en-US" altLang="ja-JP" sz="1100" b="0" i="0" u="none" strike="noStrike">
              <a:latin typeface="+mj-ea"/>
              <a:ea typeface="+mj-ea"/>
              <a:cs typeface="+mn-cs"/>
            </a:rPr>
            <a:t>CaseNo</a:t>
          </a:r>
          <a:r>
            <a:rPr lang="ja-JP" altLang="en-US" sz="1100" b="0" i="0" u="none" strike="noStrike">
              <a:latin typeface="+mj-ea"/>
              <a:ea typeface="+mj-ea"/>
              <a:cs typeface="+mn-cs"/>
            </a:rPr>
            <a:t>を探し，</a:t>
          </a:r>
          <a:r>
            <a:rPr lang="en-US" altLang="ja-JP" sz="1100" b="0" i="0" u="none" strike="noStrike">
              <a:latin typeface="+mj-ea"/>
              <a:ea typeface="+mj-ea"/>
              <a:cs typeface="+mn-cs"/>
            </a:rPr>
            <a:t>ID0003</a:t>
          </a:r>
          <a:r>
            <a:rPr lang="ja-JP" altLang="en-US" sz="1100" b="0" i="0" u="none" strike="noStrike">
              <a:latin typeface="+mj-ea"/>
              <a:ea typeface="+mj-ea"/>
              <a:cs typeface="+mn-cs"/>
            </a:rPr>
            <a:t>のデータを生成する。</a:t>
          </a:r>
          <a:endParaRPr lang="en-US" altLang="ja-JP" sz="1100" b="0" i="0" u="none" strike="noStrike">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u="none" strike="noStrike">
              <a:latin typeface="+mj-ea"/>
              <a:ea typeface="+mj-ea"/>
              <a:cs typeface="+mn-cs"/>
            </a:rPr>
            <a:t>　　　　</a:t>
          </a:r>
          <a:r>
            <a:rPr lang="en-US" altLang="ja-JP" sz="1100" b="0" i="0">
              <a:latin typeface="+mj-ea"/>
              <a:ea typeface="+mj-ea"/>
              <a:cs typeface="+mn-cs"/>
            </a:rPr>
            <a:t>※</a:t>
          </a:r>
          <a:r>
            <a:rPr lang="ja-JP" altLang="en-US" sz="1100" b="0" i="0">
              <a:latin typeface="+mj-ea"/>
              <a:ea typeface="+mj-ea"/>
              <a:cs typeface="+mn-cs"/>
            </a:rPr>
            <a:t>一般的に、</a:t>
          </a:r>
          <a:r>
            <a:rPr lang="en-US" altLang="ja-JP" sz="1100" b="0" i="0">
              <a:latin typeface="+mj-ea"/>
              <a:ea typeface="+mj-ea"/>
              <a:cs typeface="+mn-cs"/>
            </a:rPr>
            <a:t>AD</a:t>
          </a:r>
          <a:r>
            <a:rPr lang="ja-JP" altLang="en-US" sz="1100" b="0" i="0">
              <a:latin typeface="+mj-ea"/>
              <a:ea typeface="+mj-ea"/>
              <a:cs typeface="+mn-cs"/>
            </a:rPr>
            <a:t>以降の列を設定する。</a:t>
          </a:r>
          <a:endParaRPr lang="en-US" altLang="ja-JP" sz="1100" b="0" i="0">
            <a:latin typeface="+mj-ea"/>
            <a:ea typeface="+mj-ea"/>
            <a:cs typeface="+mn-cs"/>
          </a:endParaRPr>
        </a:p>
        <a:p>
          <a:pPr algn="l" rtl="0">
            <a:lnSpc>
              <a:spcPts val="1300"/>
            </a:lnSpc>
            <a:defRPr sz="1000"/>
          </a:pPr>
          <a:endParaRPr lang="en-US" altLang="ja-JP" sz="1100" b="0" i="0" u="none" strike="noStrike">
            <a:latin typeface="+mj-ea"/>
            <a:ea typeface="+mj-ea"/>
            <a:cs typeface="+mn-cs"/>
          </a:endParaRPr>
        </a:p>
        <a:p>
          <a:pPr algn="l" rtl="0">
            <a:lnSpc>
              <a:spcPts val="1200"/>
            </a:lnSpc>
            <a:defRPr sz="1000"/>
          </a:pPr>
          <a:r>
            <a:rPr lang="ja-JP" altLang="en-US" sz="1100" b="1" i="0" u="none" strike="noStrike">
              <a:latin typeface="+mj-ea"/>
              <a:ea typeface="+mj-ea"/>
              <a:cs typeface="+mn-cs"/>
            </a:rPr>
            <a:t>　　④　</a:t>
          </a:r>
          <a:r>
            <a:rPr lang="en-US" altLang="ja-JP" sz="1100" b="1" i="0" u="none" strike="noStrike">
              <a:latin typeface="+mj-ea"/>
              <a:ea typeface="+mj-ea"/>
              <a:cs typeface="+mn-cs"/>
            </a:rPr>
            <a:t>Request file path</a:t>
          </a:r>
          <a:endParaRPr lang="en-US" altLang="ja-JP" sz="1100" b="0" i="0" u="none" strike="noStrike">
            <a:latin typeface="+mj-ea"/>
            <a:ea typeface="+mj-ea"/>
            <a:cs typeface="+mn-cs"/>
          </a:endParaRPr>
        </a:p>
        <a:p>
          <a:pPr algn="l" rtl="0">
            <a:lnSpc>
              <a:spcPts val="1300"/>
            </a:lnSpc>
            <a:defRPr sz="1000"/>
          </a:pPr>
          <a:r>
            <a:rPr lang="ja-JP" altLang="en-US" sz="1100" b="0" i="0" u="none" strike="noStrike">
              <a:latin typeface="+mj-ea"/>
              <a:ea typeface="+mj-ea"/>
              <a:cs typeface="+mn-cs"/>
            </a:rPr>
            <a:t>　　　　生成した要求電文・</a:t>
          </a:r>
          <a:r>
            <a:rPr lang="en-US" altLang="ja-JP" sz="1100" b="0" i="0" u="none" strike="noStrike">
              <a:latin typeface="+mj-ea"/>
              <a:ea typeface="+mj-ea"/>
              <a:cs typeface="+mn-cs"/>
            </a:rPr>
            <a:t>XML</a:t>
          </a:r>
          <a:r>
            <a:rPr lang="ja-JP" altLang="en-US" sz="1100" b="0" i="0">
              <a:latin typeface="+mj-ea"/>
              <a:ea typeface="+mj-ea"/>
              <a:cs typeface="+mn-cs"/>
            </a:rPr>
            <a:t>ファイルの</a:t>
          </a:r>
          <a:r>
            <a:rPr lang="ja-JP" altLang="en-US" sz="1100" b="0" i="0" u="none" strike="noStrike">
              <a:latin typeface="+mj-ea"/>
              <a:ea typeface="+mj-ea"/>
              <a:cs typeface="+mn-cs"/>
            </a:rPr>
            <a:t>格納場所。</a:t>
          </a:r>
          <a:r>
            <a:rPr lang="ja-JP" altLang="ja-JP" sz="1100" b="0" i="0">
              <a:latin typeface="+mj-ea"/>
              <a:ea typeface="+mj-ea"/>
              <a:cs typeface="+mn-cs"/>
            </a:rPr>
            <a:t>（非必須）　</a:t>
          </a:r>
          <a:endParaRPr lang="en-US" altLang="ja-JP" sz="1100" b="0" i="0">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en-US" altLang="ja-JP" sz="1100" b="0" i="0">
              <a:latin typeface="+mj-ea"/>
              <a:ea typeface="+mj-ea"/>
              <a:cs typeface="+mn-cs"/>
            </a:rPr>
            <a:t>※</a:t>
          </a:r>
          <a:r>
            <a:rPr lang="ja-JP" altLang="ja-JP" sz="1100" b="0" i="0" baseline="0">
              <a:latin typeface="+mj-ea"/>
              <a:ea typeface="+mj-ea"/>
              <a:cs typeface="+mn-cs"/>
            </a:rPr>
            <a:t>未設定の場合、</a:t>
          </a:r>
          <a:r>
            <a:rPr lang="ja-JP" altLang="en-US" sz="1100" b="0" i="0" baseline="0">
              <a:latin typeface="+mj-ea"/>
              <a:ea typeface="+mj-ea"/>
              <a:cs typeface="+mn-cs"/>
            </a:rPr>
            <a:t>このツールの</a:t>
          </a:r>
          <a:r>
            <a:rPr lang="ja-JP" altLang="ja-JP" sz="1100" b="0" i="0">
              <a:latin typeface="+mj-ea"/>
              <a:ea typeface="+mj-ea"/>
              <a:cs typeface="+mn-cs"/>
            </a:rPr>
            <a:t>格納場所</a:t>
          </a:r>
          <a:r>
            <a:rPr lang="ja-JP" altLang="en-US" sz="1100" b="0" i="0">
              <a:latin typeface="+mj-ea"/>
              <a:ea typeface="+mj-ea"/>
              <a:cs typeface="+mn-cs"/>
            </a:rPr>
            <a:t>と同じ。</a:t>
          </a:r>
          <a:endParaRPr lang="en-US" altLang="ja-JP" sz="1100" b="0" i="0">
            <a:latin typeface="+mj-ea"/>
            <a:ea typeface="+mj-ea"/>
            <a:cs typeface="+mn-cs"/>
          </a:endParaRPr>
        </a:p>
        <a:p>
          <a:pPr algn="l" rtl="0">
            <a:lnSpc>
              <a:spcPts val="1200"/>
            </a:lnSpc>
            <a:defRPr sz="1000"/>
          </a:pPr>
          <a:endParaRPr lang="en-US" altLang="ja-JP" sz="1100" b="0" i="0" u="none" strike="noStrike">
            <a:latin typeface="+mj-ea"/>
            <a:ea typeface="+mj-ea"/>
            <a:cs typeface="+mn-cs"/>
          </a:endParaRPr>
        </a:p>
        <a:p>
          <a:pPr algn="l" rtl="0">
            <a:lnSpc>
              <a:spcPts val="1300"/>
            </a:lnSpc>
            <a:defRPr sz="1000"/>
          </a:pPr>
          <a:r>
            <a:rPr lang="ja-JP" altLang="en-US" sz="1100" b="1" i="0" u="none" strike="noStrike">
              <a:latin typeface="+mj-ea"/>
              <a:ea typeface="+mj-ea"/>
              <a:cs typeface="+mn-cs"/>
            </a:rPr>
            <a:t>　　⑤　</a:t>
          </a:r>
          <a:r>
            <a:rPr lang="en-US" altLang="ja-JP" sz="1100" b="1" i="0" u="none" strike="noStrike">
              <a:latin typeface="+mj-ea"/>
              <a:ea typeface="+mj-ea"/>
              <a:cs typeface="+mn-cs"/>
            </a:rPr>
            <a:t>Response file path</a:t>
          </a:r>
          <a:endParaRPr lang="en-US" altLang="ja-JP" sz="1100" b="0" i="0" u="none" strike="noStrike">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ja-JP" altLang="ja-JP" sz="1100" b="0" i="0">
              <a:latin typeface="+mj-ea"/>
              <a:ea typeface="+mj-ea"/>
              <a:cs typeface="+mn-cs"/>
            </a:rPr>
            <a:t>解析</a:t>
          </a:r>
          <a:r>
            <a:rPr lang="ja-JP" altLang="en-US" sz="1100" b="0" i="0">
              <a:latin typeface="+mj-ea"/>
              <a:ea typeface="+mj-ea"/>
              <a:cs typeface="+mn-cs"/>
            </a:rPr>
            <a:t>したい</a:t>
          </a:r>
          <a:r>
            <a:rPr lang="ja-JP" altLang="en-US" sz="1100" b="0" i="0" u="none" strike="noStrike">
              <a:latin typeface="+mj-ea"/>
              <a:ea typeface="+mj-ea"/>
              <a:cs typeface="+mn-cs"/>
            </a:rPr>
            <a:t>応答</a:t>
          </a:r>
          <a:r>
            <a:rPr lang="ja-JP" altLang="ja-JP" sz="1100" b="0" i="0">
              <a:latin typeface="+mj-ea"/>
              <a:ea typeface="+mj-ea"/>
              <a:cs typeface="+mn-cs"/>
            </a:rPr>
            <a:t>電文</a:t>
          </a:r>
          <a:r>
            <a:rPr lang="ja-JP" altLang="en-US" sz="1100" b="0" i="0">
              <a:latin typeface="+mj-ea"/>
              <a:ea typeface="+mj-ea"/>
              <a:cs typeface="+mn-cs"/>
            </a:rPr>
            <a:t>の</a:t>
          </a:r>
          <a:r>
            <a:rPr lang="ja-JP" altLang="ja-JP" sz="1100" b="0" i="0">
              <a:latin typeface="+mj-ea"/>
              <a:ea typeface="+mj-ea"/>
              <a:cs typeface="+mn-cs"/>
            </a:rPr>
            <a:t>格納場所（</a:t>
          </a:r>
          <a:r>
            <a:rPr lang="en-US" sz="1000" b="0" i="0">
              <a:solidFill>
                <a:srgbClr val="FF0000"/>
              </a:solidFill>
              <a:latin typeface="+mn-lt"/>
              <a:ea typeface="+mn-ea"/>
              <a:cs typeface="+mn-cs"/>
            </a:rPr>
            <a:t>ResponseStream</a:t>
          </a:r>
          <a:r>
            <a:rPr lang="ja-JP" altLang="en-US" sz="1000" b="0" i="0">
              <a:solidFill>
                <a:srgbClr val="FF0000"/>
              </a:solidFill>
              <a:latin typeface="+mn-lt"/>
              <a:ea typeface="+mn-ea"/>
              <a:cs typeface="+mn-cs"/>
            </a:rPr>
            <a:t>は未入力時</a:t>
          </a:r>
          <a:r>
            <a:rPr lang="ja-JP" altLang="ja-JP" sz="1100" b="0" i="0">
              <a:solidFill>
                <a:srgbClr val="FF0000"/>
              </a:solidFill>
              <a:latin typeface="+mj-ea"/>
              <a:ea typeface="+mj-ea"/>
              <a:cs typeface="+mn-cs"/>
            </a:rPr>
            <a:t>必須</a:t>
          </a:r>
          <a:r>
            <a:rPr lang="ja-JP" altLang="ja-JP" sz="1100" b="0" i="0">
              <a:latin typeface="+mj-ea"/>
              <a:ea typeface="+mj-ea"/>
              <a:cs typeface="+mn-cs"/>
            </a:rPr>
            <a:t>）　</a:t>
          </a:r>
          <a:endParaRPr lang="en-US" altLang="ja-JP" sz="1100" b="0" i="0">
            <a:latin typeface="+mj-ea"/>
            <a:ea typeface="+mj-ea"/>
            <a:cs typeface="+mn-cs"/>
          </a:endParaRPr>
        </a:p>
        <a:p>
          <a:pPr marL="0" marR="0" indent="0" algn="l" defTabSz="914400" rtl="0" eaLnBrk="1" fontAlgn="auto" latinLnBrk="0" hangingPunct="1">
            <a:lnSpc>
              <a:spcPts val="1300"/>
            </a:lnSpc>
            <a:spcBef>
              <a:spcPts val="0"/>
            </a:spcBef>
            <a:spcAft>
              <a:spcPts val="0"/>
            </a:spcAft>
            <a:buClrTx/>
            <a:buSzTx/>
            <a:buFontTx/>
            <a:buNone/>
            <a:tabLst/>
            <a:defRPr sz="1000"/>
          </a:pPr>
          <a:r>
            <a:rPr lang="ja-JP" altLang="ja-JP" sz="1100" b="0" i="0">
              <a:latin typeface="+mj-ea"/>
              <a:ea typeface="+mj-ea"/>
              <a:cs typeface="+mn-cs"/>
            </a:rPr>
            <a:t>　　　　</a:t>
          </a:r>
          <a:endParaRPr lang="en-US" altLang="ja-JP" sz="1100" b="0" i="0">
            <a:latin typeface="+mj-ea"/>
            <a:ea typeface="+mj-ea"/>
            <a:cs typeface="+mn-cs"/>
          </a:endParaRPr>
        </a:p>
        <a:p>
          <a:pPr algn="l" rtl="0">
            <a:lnSpc>
              <a:spcPts val="1200"/>
            </a:lnSpc>
            <a:defRPr sz="1000"/>
          </a:pPr>
          <a:r>
            <a:rPr lang="ja-JP" altLang="en-US" sz="1100" b="1" i="0" u="none" strike="noStrike">
              <a:latin typeface="+mj-ea"/>
              <a:ea typeface="+mj-ea"/>
              <a:cs typeface="+mn-cs"/>
            </a:rPr>
            <a:t>　　⑥　</a:t>
          </a:r>
          <a:r>
            <a:rPr lang="en-US" altLang="ja-JP" sz="1100" b="1" i="0" u="none" strike="noStrike">
              <a:latin typeface="+mj-ea"/>
              <a:ea typeface="+mj-ea"/>
              <a:cs typeface="+mn-cs"/>
            </a:rPr>
            <a:t>ResponseStream</a:t>
          </a:r>
          <a:endParaRPr lang="en-US" altLang="ja-JP" sz="1100" b="0" i="0" u="none" strike="noStrike">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ja-JP" altLang="ja-JP" sz="1100" b="0" i="0">
              <a:latin typeface="+mj-ea"/>
              <a:ea typeface="+mj-ea"/>
              <a:cs typeface="+mn-cs"/>
            </a:rPr>
            <a:t>解析したい応答電文</a:t>
          </a:r>
          <a:r>
            <a:rPr lang="ja-JP" altLang="en-US" sz="1100" b="0" i="0">
              <a:latin typeface="+mj-ea"/>
              <a:ea typeface="+mj-ea"/>
              <a:cs typeface="+mn-cs"/>
            </a:rPr>
            <a:t>そのものである。</a:t>
          </a:r>
          <a:r>
            <a:rPr lang="ja-JP" altLang="ja-JP" sz="1100" b="0" i="0">
              <a:latin typeface="+mj-ea"/>
              <a:ea typeface="+mj-ea"/>
              <a:cs typeface="+mn-cs"/>
            </a:rPr>
            <a:t>（非必須）　</a:t>
          </a:r>
          <a:endParaRPr lang="en-US" altLang="ja-JP" sz="1100" b="0">
            <a:latin typeface="+mj-ea"/>
            <a:ea typeface="+mj-ea"/>
          </a:endParaRPr>
        </a:p>
        <a:p>
          <a:pPr algn="l" rtl="0">
            <a:lnSpc>
              <a:spcPts val="1300"/>
            </a:lnSpc>
            <a:defRPr sz="1000"/>
          </a:pPr>
          <a:r>
            <a:rPr lang="ja-JP" altLang="en-US" sz="1100" b="0" i="0" u="none" strike="noStrike">
              <a:latin typeface="+mj-ea"/>
              <a:ea typeface="+mj-ea"/>
              <a:cs typeface="+mn-cs"/>
            </a:rPr>
            <a:t>　　　　</a:t>
          </a:r>
          <a:r>
            <a:rPr lang="en-US" altLang="ja-JP" sz="1100" b="0" i="0" u="none" strike="noStrike">
              <a:latin typeface="+mj-ea"/>
              <a:ea typeface="+mj-ea"/>
              <a:cs typeface="+mn-cs"/>
            </a:rPr>
            <a:t>※</a:t>
          </a:r>
          <a:r>
            <a:rPr lang="ja-JP" altLang="en-US" sz="1100" b="0" i="0" u="none" strike="noStrike">
              <a:latin typeface="+mj-ea"/>
              <a:ea typeface="+mj-ea"/>
              <a:cs typeface="+mn-cs"/>
            </a:rPr>
            <a:t>⑤、⑥同時入力</a:t>
          </a:r>
          <a:r>
            <a:rPr lang="ja-JP" altLang="en-US" sz="1100" b="0" i="0" u="none" strike="noStrike">
              <a:solidFill>
                <a:srgbClr val="FF0000"/>
              </a:solidFill>
              <a:latin typeface="+mj-ea"/>
              <a:ea typeface="+mj-ea"/>
              <a:cs typeface="+mn-cs"/>
            </a:rPr>
            <a:t>したら、⑥は無効になる</a:t>
          </a:r>
          <a:r>
            <a:rPr lang="ja-JP" altLang="en-US" sz="1100" b="0" i="0" u="none" strike="noStrike">
              <a:latin typeface="+mj-ea"/>
              <a:ea typeface="+mj-ea"/>
              <a:cs typeface="+mn-cs"/>
            </a:rPr>
            <a:t>。</a:t>
          </a:r>
          <a:r>
            <a:rPr lang="ja-JP" altLang="en-US" sz="1100" b="0">
              <a:latin typeface="+mj-ea"/>
              <a:ea typeface="+mj-ea"/>
            </a:rPr>
            <a:t> </a:t>
          </a:r>
          <a:endParaRPr lang="en-US" altLang="ja-JP" sz="1100" b="0">
            <a:latin typeface="+mj-ea"/>
            <a:ea typeface="+mj-ea"/>
          </a:endParaRPr>
        </a:p>
        <a:p>
          <a:pPr algn="l" rtl="0">
            <a:lnSpc>
              <a:spcPts val="1200"/>
            </a:lnSpc>
            <a:defRPr sz="1000"/>
          </a:pPr>
          <a:endParaRPr lang="en-US" altLang="ja-JP" sz="1100" b="0" i="0" u="none" strike="noStrike" baseline="0">
            <a:solidFill>
              <a:srgbClr val="000000"/>
            </a:solidFill>
            <a:latin typeface="+mj-ea"/>
            <a:ea typeface="+mj-ea"/>
          </a:endParaRPr>
        </a:p>
        <a:p>
          <a:pPr algn="l" rtl="0">
            <a:lnSpc>
              <a:spcPts val="1200"/>
            </a:lnSpc>
            <a:defRPr sz="1000"/>
          </a:pPr>
          <a:r>
            <a:rPr lang="ja-JP" altLang="en-US" sz="1100" b="1" i="0" u="none" strike="noStrike" baseline="0">
              <a:solidFill>
                <a:srgbClr val="000000"/>
              </a:solidFill>
              <a:latin typeface="+mj-ea"/>
              <a:ea typeface="+mj-ea"/>
            </a:rPr>
            <a:t>３．下記の場合に応じて、各ボタンを押下する。</a:t>
          </a:r>
          <a:endParaRPr lang="en-US" altLang="ja-JP" sz="1100" b="1" i="0" u="none" strike="noStrike" baseline="0">
            <a:solidFill>
              <a:srgbClr val="000000"/>
            </a:solidFill>
            <a:latin typeface="+mj-ea"/>
            <a:ea typeface="+mj-ea"/>
          </a:endParaRPr>
        </a:p>
        <a:p>
          <a:pPr algn="l" rtl="0">
            <a:lnSpc>
              <a:spcPts val="1300"/>
            </a:lnSpc>
            <a:defRPr sz="1000"/>
          </a:pPr>
          <a:r>
            <a:rPr lang="ja-JP" altLang="en-US" sz="1100" b="1" i="0" u="none" strike="noStrike" baseline="0">
              <a:solidFill>
                <a:srgbClr val="000000"/>
              </a:solidFill>
              <a:latin typeface="+mj-ea"/>
              <a:ea typeface="+mj-ea"/>
            </a:rPr>
            <a:t>　　①要求電文を生成するなら　　⇒　　「</a:t>
          </a:r>
          <a:r>
            <a:rPr lang="en-US" altLang="ja-JP" sz="1100" b="1" i="0" u="none" strike="noStrike" baseline="0">
              <a:solidFill>
                <a:srgbClr val="000000"/>
              </a:solidFill>
              <a:latin typeface="+mj-ea"/>
              <a:ea typeface="+mj-ea"/>
            </a:rPr>
            <a:t>Generate-IN</a:t>
          </a:r>
          <a:r>
            <a:rPr lang="ja-JP" altLang="ja-JP" sz="1100" b="1" i="0" baseline="0">
              <a:latin typeface="+mj-ea"/>
              <a:ea typeface="+mj-ea"/>
              <a:cs typeface="+mn-cs"/>
            </a:rPr>
            <a:t>」ボタン</a:t>
          </a:r>
          <a:endParaRPr lang="en-US" altLang="ja-JP" sz="1100" b="1" i="0" baseline="0">
            <a:latin typeface="+mj-ea"/>
            <a:ea typeface="+mj-ea"/>
            <a:cs typeface="+mn-cs"/>
          </a:endParaRPr>
        </a:p>
        <a:p>
          <a:pPr algn="l" rtl="0">
            <a:lnSpc>
              <a:spcPts val="1200"/>
            </a:lnSpc>
            <a:defRPr sz="1000"/>
          </a:pPr>
          <a:r>
            <a:rPr lang="ja-JP" altLang="en-US" sz="1100" b="1" i="0" u="none" strike="noStrike" baseline="0">
              <a:solidFill>
                <a:srgbClr val="000000"/>
              </a:solidFill>
              <a:latin typeface="+mj-ea"/>
              <a:ea typeface="+mj-ea"/>
              <a:cs typeface="+mn-cs"/>
            </a:rPr>
            <a:t>　　　</a:t>
          </a: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(1)</a:t>
          </a:r>
          <a:r>
            <a:rPr lang="ja-JP" altLang="en-US" sz="1100" b="0" i="0" u="none" strike="noStrike" baseline="0">
              <a:solidFill>
                <a:srgbClr val="000000"/>
              </a:solidFill>
              <a:latin typeface="+mj-ea"/>
              <a:ea typeface="+mj-ea"/>
            </a:rPr>
            <a:t>　一件生成</a:t>
          </a:r>
          <a:r>
            <a:rPr lang="ja-JP" altLang="ja-JP" sz="1100" b="0" i="0" baseline="0">
              <a:latin typeface="+mj-ea"/>
              <a:ea typeface="+mj-ea"/>
              <a:cs typeface="+mn-cs"/>
            </a:rPr>
            <a:t>（</a:t>
          </a:r>
          <a:r>
            <a:rPr lang="en-US" altLang="ja-JP" sz="1100" b="0" i="0" baseline="0">
              <a:latin typeface="+mj-ea"/>
              <a:ea typeface="+mj-ea"/>
              <a:cs typeface="+mn-cs"/>
            </a:rPr>
            <a:t>CaseNo</a:t>
          </a:r>
          <a:r>
            <a:rPr lang="ja-JP" altLang="en-US" sz="1100" b="0" i="0" baseline="0">
              <a:latin typeface="+mj-ea"/>
              <a:ea typeface="+mj-ea"/>
              <a:cs typeface="+mn-cs"/>
            </a:rPr>
            <a:t>を</a:t>
          </a:r>
          <a:r>
            <a:rPr lang="ja-JP" altLang="ja-JP" sz="1100" b="0" i="0" baseline="0">
              <a:latin typeface="+mj-ea"/>
              <a:ea typeface="+mj-ea"/>
              <a:cs typeface="+mn-cs"/>
            </a:rPr>
            <a:t>設定</a:t>
          </a:r>
          <a:r>
            <a:rPr lang="ja-JP" altLang="en-US" sz="1100" b="0" i="0" baseline="0">
              <a:latin typeface="+mj-ea"/>
              <a:ea typeface="+mj-ea"/>
              <a:cs typeface="+mn-cs"/>
            </a:rPr>
            <a:t>する</a:t>
          </a:r>
          <a:r>
            <a:rPr lang="ja-JP" altLang="ja-JP" sz="1100" b="0" i="0" baseline="0">
              <a:latin typeface="+mj-ea"/>
              <a:ea typeface="+mj-ea"/>
              <a:cs typeface="+mn-cs"/>
            </a:rPr>
            <a:t>）</a:t>
          </a:r>
          <a:r>
            <a:rPr lang="ja-JP" altLang="en-US" sz="1100" b="0" i="0" u="none" strike="noStrike" baseline="0">
              <a:solidFill>
                <a:srgbClr val="000000"/>
              </a:solidFill>
              <a:latin typeface="+mj-ea"/>
              <a:ea typeface="+mj-ea"/>
            </a:rPr>
            <a:t>									</a:t>
          </a:r>
        </a:p>
        <a:p>
          <a:pPr algn="l" rtl="0">
            <a:lnSpc>
              <a:spcPts val="1300"/>
            </a:lnSpc>
            <a:defRPr sz="1000"/>
          </a:pPr>
          <a:r>
            <a:rPr lang="ja-JP" altLang="en-US" sz="1100" b="0" i="0" u="none" strike="noStrike" baseline="0">
              <a:solidFill>
                <a:srgbClr val="000000"/>
              </a:solidFill>
              <a:latin typeface="+mj-ea"/>
              <a:ea typeface="+mj-ea"/>
            </a:rPr>
            <a:t>　　　　　　　例：</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項目設定</a:t>
          </a:r>
          <a:r>
            <a:rPr lang="en-US" altLang="ja-JP" sz="1100" b="0" i="0" baseline="0">
              <a:latin typeface="+mj-ea"/>
              <a:ea typeface="+mj-ea"/>
              <a:cs typeface="+mn-cs"/>
            </a:rPr>
            <a:t>】</a:t>
          </a:r>
        </a:p>
        <a:p>
          <a:pPr algn="l" rtl="0">
            <a:lnSpc>
              <a:spcPts val="1200"/>
            </a:lnSpc>
            <a:defRPr sz="1000"/>
          </a:pPr>
          <a:r>
            <a:rPr lang="ja-JP" altLang="en-US" sz="1100" b="0" i="0" u="none" strike="noStrike" baseline="0">
              <a:solidFill>
                <a:srgbClr val="000000"/>
              </a:solidFill>
              <a:latin typeface="+mj-ea"/>
              <a:ea typeface="+mj-ea"/>
              <a:cs typeface="+mn-cs"/>
            </a:rPr>
            <a:t>　　　　　　　　　　・</a:t>
          </a:r>
          <a:r>
            <a:rPr lang="en-US" altLang="ja-JP" sz="1100" b="0" i="0" u="none" strike="noStrike" baseline="0">
              <a:solidFill>
                <a:srgbClr val="000000"/>
              </a:solidFill>
              <a:latin typeface="+mj-ea"/>
              <a:ea typeface="+mj-ea"/>
            </a:rPr>
            <a:t>APISheetName</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B006 </a:t>
          </a:r>
        </a:p>
        <a:p>
          <a:pPr algn="l" rtl="0">
            <a:lnSpc>
              <a:spcPts val="1200"/>
            </a:lnSpc>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CaseNo</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ID0003 </a:t>
          </a:r>
        </a:p>
        <a:p>
          <a:pPr algn="l" rtl="0">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CaseStartCol</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AD  </a:t>
          </a:r>
        </a:p>
        <a:p>
          <a:pPr algn="l" rtl="0">
            <a:lnSpc>
              <a:spcPts val="1200"/>
            </a:lnSpc>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Request file path</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C:\sample</a:t>
          </a:r>
        </a:p>
        <a:p>
          <a:pPr algn="l" rtl="0">
            <a:lnSpc>
              <a:spcPts val="1300"/>
            </a:lnSpc>
            <a:defRPr sz="1000"/>
          </a:pPr>
          <a:r>
            <a:rPr lang="ja-JP" altLang="en-US" sz="1100" b="0" i="0" u="none" strike="noStrike" baseline="0">
              <a:solidFill>
                <a:srgbClr val="000000"/>
              </a:solidFill>
              <a:latin typeface="+mj-ea"/>
              <a:ea typeface="+mj-ea"/>
            </a:rPr>
            <a:t>　　　　　　　　　</a:t>
          </a:r>
          <a:r>
            <a:rPr lang="en-US" altLang="ja-JP" sz="1100" b="0" i="0" baseline="0">
              <a:latin typeface="+mj-ea"/>
              <a:ea typeface="+mj-ea"/>
              <a:cs typeface="+mn-cs"/>
            </a:rPr>
            <a:t>【</a:t>
          </a:r>
          <a:r>
            <a:rPr lang="ja-JP" altLang="en-US" sz="1100" b="0" i="0" baseline="0">
              <a:latin typeface="+mj-ea"/>
              <a:ea typeface="+mj-ea"/>
              <a:cs typeface="+mn-cs"/>
            </a:rPr>
            <a:t>実行結果</a:t>
          </a:r>
          <a:r>
            <a:rPr lang="en-US" altLang="ja-JP" sz="1100" b="0" i="0" baseline="0">
              <a:latin typeface="+mj-ea"/>
              <a:ea typeface="+mj-ea"/>
              <a:cs typeface="+mn-cs"/>
            </a:rPr>
            <a:t>】</a:t>
          </a:r>
          <a:endParaRPr lang="en-US" altLang="ja-JP" sz="1100" b="0" i="0" u="none" strike="noStrike" baseline="0">
            <a:solidFill>
              <a:srgbClr val="000000"/>
            </a:solidFill>
            <a:latin typeface="+mj-ea"/>
            <a:ea typeface="+mj-ea"/>
          </a:endParaRPr>
        </a:p>
        <a:p>
          <a:pPr algn="l" rtl="0">
            <a:lnSpc>
              <a:spcPts val="1200"/>
            </a:lnSpc>
            <a:defRPr sz="1000"/>
          </a:pPr>
          <a:r>
            <a:rPr lang="ja-JP" altLang="en-US" sz="1100" b="0" i="0" u="none" strike="noStrike" baseline="0">
              <a:solidFill>
                <a:srgbClr val="000000"/>
              </a:solidFill>
              <a:latin typeface="+mj-ea"/>
              <a:ea typeface="+mj-ea"/>
            </a:rPr>
            <a:t>　　　　　　　　　　・</a:t>
          </a:r>
          <a:r>
            <a:rPr lang="en-US" altLang="ja-JP" sz="1100" b="0" i="0" baseline="0">
              <a:latin typeface="+mj-ea"/>
              <a:ea typeface="+mj-ea"/>
              <a:cs typeface="+mn-cs"/>
            </a:rPr>
            <a:t>C:\sample</a:t>
          </a:r>
          <a:r>
            <a:rPr lang="ja-JP" altLang="en-US" sz="1100" b="0" i="0" baseline="0">
              <a:latin typeface="+mj-ea"/>
              <a:ea typeface="+mj-ea"/>
              <a:cs typeface="+mn-cs"/>
            </a:rPr>
            <a:t>配下に要求電文</a:t>
          </a:r>
          <a:r>
            <a:rPr lang="ja-JP" altLang="ja-JP" sz="1100" b="0" i="0" baseline="0">
              <a:latin typeface="+mj-ea"/>
              <a:ea typeface="+mj-ea"/>
              <a:cs typeface="+mn-cs"/>
            </a:rPr>
            <a:t>ファイル</a:t>
          </a:r>
          <a:r>
            <a:rPr lang="ja-JP" altLang="en-US" sz="1100" b="0" i="0" baseline="0">
              <a:latin typeface="+mj-ea"/>
              <a:ea typeface="+mj-ea"/>
              <a:cs typeface="+mn-cs"/>
            </a:rPr>
            <a:t>の</a:t>
          </a:r>
          <a:r>
            <a:rPr lang="en-US" altLang="ja-JP" sz="1100" b="0" i="0" u="none" strike="noStrike" baseline="0">
              <a:solidFill>
                <a:srgbClr val="000000"/>
              </a:solidFill>
              <a:latin typeface="+mj-ea"/>
              <a:ea typeface="+mj-ea"/>
            </a:rPr>
            <a:t>B006_in_ID0003.txt</a:t>
          </a:r>
          <a:r>
            <a:rPr lang="ja-JP" altLang="en-US" sz="1100" b="0" i="0" u="none" strike="noStrike" baseline="0">
              <a:solidFill>
                <a:srgbClr val="000000"/>
              </a:solidFill>
              <a:latin typeface="+mj-ea"/>
              <a:ea typeface="+mj-ea"/>
            </a:rPr>
            <a:t>を生成する。				</a:t>
          </a:r>
        </a:p>
        <a:p>
          <a:pPr algn="l" rtl="0">
            <a:lnSpc>
              <a:spcPts val="1200"/>
            </a:lnSpc>
            <a:defRPr sz="1000"/>
          </a:pPr>
          <a:r>
            <a:rPr lang="ja-JP" altLang="en-US" sz="1100" b="0" i="0" u="none" strike="noStrike" baseline="0">
              <a:solidFill>
                <a:srgbClr val="000000"/>
              </a:solidFill>
              <a:latin typeface="+mj-ea"/>
              <a:ea typeface="+mj-ea"/>
            </a:rPr>
            <a:t>							</a:t>
          </a:r>
        </a:p>
        <a:p>
          <a:pPr algn="l" rtl="0">
            <a:defRPr sz="1000"/>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a:t>
          </a:r>
          <a:r>
            <a:rPr lang="ja-JP" altLang="en-US" sz="1100" b="0" i="0" u="none" strike="noStrike" baseline="0">
              <a:solidFill>
                <a:srgbClr val="000000"/>
              </a:solidFill>
              <a:latin typeface="+mj-ea"/>
              <a:ea typeface="+mj-ea"/>
            </a:rPr>
            <a:t>一括生成（</a:t>
          </a:r>
          <a:r>
            <a:rPr lang="en-US" altLang="ja-JP" sz="1100" b="0" i="0" u="none" strike="noStrike" baseline="0">
              <a:solidFill>
                <a:srgbClr val="000000"/>
              </a:solidFill>
              <a:latin typeface="+mj-ea"/>
              <a:ea typeface="+mj-ea"/>
            </a:rPr>
            <a:t>CaseNo</a:t>
          </a:r>
          <a:r>
            <a:rPr lang="ja-JP" altLang="en-US" sz="1100" b="0" i="0" u="none" strike="noStrike" baseline="0">
              <a:solidFill>
                <a:srgbClr val="000000"/>
              </a:solidFill>
              <a:latin typeface="+mj-ea"/>
              <a:ea typeface="+mj-ea"/>
            </a:rPr>
            <a:t>設定しない）</a:t>
          </a:r>
          <a:endParaRPr lang="en-US" altLang="ja-JP" sz="1100" b="0" i="0" u="none" strike="noStrike" baseline="0">
            <a:solidFill>
              <a:srgbClr val="000000"/>
            </a:solidFill>
            <a:latin typeface="+mj-ea"/>
            <a:ea typeface="+mj-ea"/>
          </a:endParaRPr>
        </a:p>
        <a:p>
          <a:pPr rtl="0">
            <a:lnSpc>
              <a:spcPts val="12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endParaRPr>
        </a:p>
        <a:p>
          <a:pPr rtl="0"/>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ja-JP" altLang="en-US" sz="1100" b="0" i="0" baseline="0">
              <a:latin typeface="+mj-ea"/>
              <a:ea typeface="+mj-ea"/>
              <a:cs typeface="+mn-cs"/>
            </a:rPr>
            <a:t>（空白）</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endParaRPr>
        </a:p>
        <a:p>
          <a:pPr rtl="0">
            <a:lnSpc>
              <a:spcPts val="1300"/>
            </a:lnSpc>
          </a:pPr>
          <a:r>
            <a:rPr lang="ja-JP" altLang="ja-JP" sz="1100" b="0" i="0" baseline="0">
              <a:latin typeface="+mj-ea"/>
              <a:ea typeface="+mj-ea"/>
              <a:cs typeface="+mn-cs"/>
            </a:rPr>
            <a:t>　　　　　　　　　　・</a:t>
          </a:r>
          <a:r>
            <a:rPr lang="en-US" altLang="ja-JP" sz="1100" b="0" i="0" baseline="0">
              <a:latin typeface="+mj-ea"/>
              <a:ea typeface="+mj-ea"/>
              <a:cs typeface="+mn-cs"/>
            </a:rPr>
            <a:t>Request file path</a:t>
          </a:r>
          <a:r>
            <a:rPr lang="ja-JP" altLang="ja-JP" sz="1100" b="0" i="0" baseline="0">
              <a:latin typeface="+mj-ea"/>
              <a:ea typeface="+mj-ea"/>
              <a:cs typeface="+mn-cs"/>
            </a:rPr>
            <a:t>：</a:t>
          </a:r>
          <a:r>
            <a:rPr lang="en-US" altLang="ja-JP" sz="1100" b="0" i="0" baseline="0">
              <a:latin typeface="+mj-ea"/>
              <a:ea typeface="+mj-ea"/>
              <a:cs typeface="+mn-cs"/>
            </a:rPr>
            <a:t>C:\sample</a:t>
          </a:r>
          <a:endParaRPr lang="ja-JP" altLang="ja-JP" sz="1100">
            <a:latin typeface="+mj-ea"/>
            <a:ea typeface="+mj-ea"/>
          </a:endParaRPr>
        </a:p>
        <a:p>
          <a:pPr rtl="0" fontAlgn="base">
            <a:lnSpc>
              <a:spcPts val="12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p>
        <a:p>
          <a:pPr>
            <a:lnSpc>
              <a:spcPts val="1200"/>
            </a:lnSpc>
          </a:pPr>
          <a:r>
            <a:rPr lang="ja-JP" altLang="ja-JP" sz="1100" b="0" i="0" baseline="0">
              <a:latin typeface="+mj-ea"/>
              <a:ea typeface="+mj-ea"/>
              <a:cs typeface="+mn-cs"/>
            </a:rPr>
            <a:t>　　　　　　　　　　・</a:t>
          </a:r>
          <a:r>
            <a:rPr lang="en-US" altLang="ja-JP" sz="1100" b="0" i="0" baseline="0">
              <a:latin typeface="+mj-ea"/>
              <a:ea typeface="+mj-ea"/>
              <a:cs typeface="+mn-cs"/>
            </a:rPr>
            <a:t>C:\sample</a:t>
          </a:r>
          <a:r>
            <a:rPr lang="ja-JP" altLang="ja-JP" sz="1100" b="0" i="0" baseline="0">
              <a:latin typeface="+mj-ea"/>
              <a:ea typeface="+mj-ea"/>
              <a:cs typeface="+mn-cs"/>
            </a:rPr>
            <a:t>配下に要求電文ファイル</a:t>
          </a:r>
          <a:r>
            <a:rPr lang="ja-JP" altLang="en-US" sz="1100" b="0" i="0" baseline="0">
              <a:latin typeface="+mj-ea"/>
              <a:ea typeface="+mj-ea"/>
              <a:cs typeface="+mn-cs"/>
            </a:rPr>
            <a:t>全体（</a:t>
          </a:r>
          <a:r>
            <a:rPr lang="en-US" altLang="ja-JP" sz="1100" b="0" i="0" baseline="0">
              <a:latin typeface="+mj-ea"/>
              <a:ea typeface="+mj-ea"/>
              <a:cs typeface="+mn-cs"/>
            </a:rPr>
            <a:t>B006_in_ID0001.txt</a:t>
          </a:r>
          <a:r>
            <a:rPr lang="ja-JP" altLang="ja-JP" sz="1100" b="0" i="0" baseline="0">
              <a:latin typeface="+mj-ea"/>
              <a:ea typeface="+mj-ea"/>
              <a:cs typeface="+mn-cs"/>
            </a:rPr>
            <a:t>，</a:t>
          </a:r>
          <a:r>
            <a:rPr lang="en-US" altLang="ja-JP" sz="1100" b="0" i="0" baseline="0">
              <a:latin typeface="+mj-ea"/>
              <a:ea typeface="+mj-ea"/>
              <a:cs typeface="+mn-cs"/>
            </a:rPr>
            <a:t>B006_in_ID0002.txt</a:t>
          </a:r>
          <a:r>
            <a:rPr lang="ja-JP" altLang="ja-JP" sz="1100" b="0" i="0" baseline="0">
              <a:latin typeface="+mj-ea"/>
              <a:ea typeface="+mj-ea"/>
              <a:cs typeface="+mn-cs"/>
            </a:rPr>
            <a:t>，</a:t>
          </a:r>
          <a:r>
            <a:rPr lang="en-US" altLang="ja-JP" sz="1100" b="0" i="0" baseline="0">
              <a:latin typeface="+mj-ea"/>
              <a:ea typeface="+mj-ea"/>
              <a:cs typeface="+mn-cs"/>
            </a:rPr>
            <a:t>B006_in_ID0003.txt</a:t>
          </a:r>
          <a:r>
            <a:rPr lang="ja-JP" altLang="ja-JP" sz="1100" b="0" i="0" baseline="0">
              <a:latin typeface="+mj-ea"/>
              <a:ea typeface="+mj-ea"/>
              <a:cs typeface="+mn-cs"/>
            </a:rPr>
            <a:t>など</a:t>
          </a:r>
          <a:r>
            <a:rPr lang="ja-JP" altLang="en-US" sz="1100" b="0" i="0" baseline="0">
              <a:latin typeface="+mj-ea"/>
              <a:ea typeface="+mj-ea"/>
              <a:cs typeface="+mn-cs"/>
            </a:rPr>
            <a:t>）</a:t>
          </a:r>
          <a:r>
            <a:rPr lang="ja-JP" altLang="ja-JP" sz="1100" b="0" i="0" baseline="0">
              <a:latin typeface="+mj-ea"/>
              <a:ea typeface="+mj-ea"/>
              <a:cs typeface="+mn-cs"/>
            </a:rPr>
            <a:t>を生成する。</a:t>
          </a:r>
          <a:r>
            <a:rPr lang="ja-JP" altLang="en-US" sz="1100" b="0" i="0" u="none" strike="noStrike" baseline="0">
              <a:solidFill>
                <a:srgbClr val="000000"/>
              </a:solidFill>
              <a:latin typeface="+mj-ea"/>
              <a:ea typeface="+mj-ea"/>
            </a:rPr>
            <a:t>			</a:t>
          </a: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②応答内容を解析</a:t>
          </a:r>
          <a:r>
            <a:rPr lang="ja-JP" altLang="ja-JP" sz="1100" b="1" i="0" baseline="0">
              <a:latin typeface="+mj-ea"/>
              <a:ea typeface="+mj-ea"/>
              <a:cs typeface="+mn-cs"/>
            </a:rPr>
            <a:t>するなら　　⇒　　「</a:t>
          </a:r>
          <a:r>
            <a:rPr lang="en-US" altLang="ja-JP" sz="1100" b="1" i="0" baseline="0">
              <a:latin typeface="+mj-ea"/>
              <a:ea typeface="+mj-ea"/>
              <a:cs typeface="+mn-cs"/>
            </a:rPr>
            <a:t>Analyze-OUT</a:t>
          </a:r>
          <a:r>
            <a:rPr lang="ja-JP" altLang="ja-JP" sz="1100" b="1" i="0" baseline="0">
              <a:latin typeface="+mj-ea"/>
              <a:ea typeface="+mj-ea"/>
              <a:cs typeface="+mn-cs"/>
            </a:rPr>
            <a:t>」</a:t>
          </a:r>
          <a:r>
            <a:rPr lang="ja-JP" altLang="en-US" sz="1100" b="1" i="0" baseline="0">
              <a:latin typeface="+mj-ea"/>
              <a:ea typeface="+mj-ea"/>
              <a:cs typeface="+mn-cs"/>
            </a:rPr>
            <a:t>、「</a:t>
          </a:r>
          <a:r>
            <a:rPr lang="en-US" altLang="ja-JP" sz="1100" b="1" i="0" baseline="0">
              <a:latin typeface="+mj-ea"/>
              <a:ea typeface="+mj-ea"/>
              <a:cs typeface="+mn-cs"/>
            </a:rPr>
            <a:t>Analyze-OUTXML</a:t>
          </a:r>
          <a:r>
            <a:rPr lang="ja-JP" altLang="en-US" sz="1100" b="1" i="0" baseline="0">
              <a:latin typeface="+mj-ea"/>
              <a:ea typeface="+mj-ea"/>
              <a:cs typeface="+mn-cs"/>
            </a:rPr>
            <a:t>」</a:t>
          </a:r>
          <a:r>
            <a:rPr lang="ja-JP" altLang="ja-JP" sz="1100" b="1" i="0" baseline="0">
              <a:latin typeface="+mj-ea"/>
              <a:ea typeface="+mj-ea"/>
              <a:cs typeface="+mn-cs"/>
            </a:rPr>
            <a:t>ボタン</a:t>
          </a:r>
          <a:endParaRPr lang="en-US" altLang="ja-JP" sz="1100" b="1" i="0" baseline="0">
            <a:latin typeface="+mj-ea"/>
            <a:ea typeface="+mj-ea"/>
            <a:cs typeface="+mn-cs"/>
          </a:endParaRPr>
        </a:p>
        <a:p>
          <a:pPr algn="l" rtl="0">
            <a:lnSpc>
              <a:spcPts val="1200"/>
            </a:lnSpc>
            <a:defRPr sz="1000"/>
          </a:pPr>
          <a:r>
            <a:rPr lang="ja-JP" altLang="en-US" sz="1100" b="0" i="0" u="none" strike="noStrike" baseline="0">
              <a:solidFill>
                <a:srgbClr val="000000"/>
              </a:solidFill>
              <a:latin typeface="+mj-ea"/>
              <a:ea typeface="+mj-ea"/>
              <a:cs typeface="+mn-cs"/>
            </a:rPr>
            <a:t>　　　　</a:t>
          </a:r>
          <a:r>
            <a:rPr lang="en-US" altLang="ja-JP" sz="1100" b="0" i="0" u="none" strike="noStrike" baseline="0">
              <a:solidFill>
                <a:srgbClr val="000000"/>
              </a:solidFill>
              <a:latin typeface="+mj-ea"/>
              <a:ea typeface="+mj-ea"/>
              <a:cs typeface="+mn-cs"/>
            </a:rPr>
            <a:t>※</a:t>
          </a:r>
          <a:r>
            <a:rPr lang="ja-JP" altLang="ja-JP" sz="1100" b="0" i="0" baseline="0">
              <a:latin typeface="+mj-ea"/>
              <a:ea typeface="+mj-ea"/>
              <a:cs typeface="+mn-cs"/>
            </a:rPr>
            <a:t>解析結果を指定した</a:t>
          </a:r>
          <a:r>
            <a:rPr lang="en-US" altLang="ja-JP" sz="1100" b="0" i="0" baseline="0">
              <a:latin typeface="+mj-ea"/>
              <a:ea typeface="+mj-ea"/>
              <a:cs typeface="+mn-cs"/>
            </a:rPr>
            <a:t>【APISheetName】</a:t>
          </a:r>
          <a:r>
            <a:rPr lang="ja-JP" altLang="ja-JP" sz="1100" b="0" i="0" baseline="0">
              <a:latin typeface="+mj-ea"/>
              <a:ea typeface="+mj-ea"/>
              <a:cs typeface="+mn-cs"/>
            </a:rPr>
            <a:t>に保存する</a:t>
          </a:r>
          <a:r>
            <a:rPr lang="ja-JP" altLang="en-US" sz="1100" b="0" i="0" baseline="0">
              <a:latin typeface="+mj-ea"/>
              <a:ea typeface="+mj-ea"/>
              <a:cs typeface="+mn-cs"/>
            </a:rPr>
            <a:t>。</a:t>
          </a:r>
          <a:endParaRPr lang="en-US" altLang="ja-JP" sz="1100" b="0" i="0" baseline="0">
            <a:latin typeface="+mj-ea"/>
            <a:ea typeface="+mj-ea"/>
            <a:cs typeface="+mn-cs"/>
          </a:endParaRPr>
        </a:p>
        <a:p>
          <a:pPr rtl="0"/>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(1)</a:t>
          </a:r>
          <a:r>
            <a:rPr lang="ja-JP" altLang="ja-JP" sz="1100" b="0" i="0" baseline="0">
              <a:latin typeface="+mj-ea"/>
              <a:ea typeface="+mj-ea"/>
              <a:cs typeface="+mn-cs"/>
            </a:rPr>
            <a:t>　一件生成（</a:t>
          </a:r>
          <a:r>
            <a:rPr lang="en-US" altLang="ja-JP" sz="1100" b="0" i="0" baseline="0">
              <a:latin typeface="+mj-ea"/>
              <a:ea typeface="+mj-ea"/>
              <a:cs typeface="+mn-cs"/>
            </a:rPr>
            <a:t>CaseNo</a:t>
          </a:r>
          <a:r>
            <a:rPr lang="ja-JP" altLang="ja-JP" sz="1100" b="0" i="0" baseline="0">
              <a:latin typeface="+mj-ea"/>
              <a:ea typeface="+mj-ea"/>
              <a:cs typeface="+mn-cs"/>
            </a:rPr>
            <a:t>を設定する）							</a:t>
          </a:r>
          <a:endParaRPr lang="ja-JP" altLang="ja-JP" sz="1100">
            <a:latin typeface="+mj-ea"/>
            <a:ea typeface="+mj-ea"/>
          </a:endParaRPr>
        </a:p>
        <a:p>
          <a:pPr rtl="0">
            <a:lnSpc>
              <a:spcPts val="1200"/>
            </a:lnSpc>
          </a:pPr>
          <a:r>
            <a:rPr lang="ja-JP" altLang="ja-JP" sz="1100" b="0" i="0" baseline="0">
              <a:latin typeface="+mj-ea"/>
              <a:ea typeface="+mj-ea"/>
              <a:cs typeface="+mn-cs"/>
            </a:rPr>
            <a:t>　　　　　　　例</a:t>
          </a:r>
          <a:r>
            <a:rPr lang="ja-JP" altLang="en-US" sz="1100" b="0" i="0" baseline="0">
              <a:latin typeface="+mj-ea"/>
              <a:ea typeface="+mj-ea"/>
              <a:cs typeface="+mn-cs"/>
            </a:rPr>
            <a:t>１</a:t>
          </a:r>
          <a:r>
            <a:rPr lang="ja-JP" altLang="ja-JP" sz="1100" b="0" i="0" baseline="0">
              <a:latin typeface="+mj-ea"/>
              <a:ea typeface="+mj-ea"/>
              <a:cs typeface="+mn-cs"/>
            </a:rPr>
            <a:t>：</a:t>
          </a:r>
          <a:r>
            <a:rPr lang="ja-JP" altLang="en-US" sz="1100" b="0" i="0" baseline="0">
              <a:latin typeface="+mj-ea"/>
              <a:ea typeface="+mj-ea"/>
              <a:cs typeface="+mn-cs"/>
            </a:rPr>
            <a:t>ファイルから読込みのパターン</a:t>
          </a:r>
          <a:endParaRPr lang="en-US" altLang="ja-JP" sz="1100" b="0" i="0" baseline="0">
            <a:latin typeface="+mj-ea"/>
            <a:ea typeface="+mj-ea"/>
            <a:cs typeface="+mn-cs"/>
          </a:endParaRPr>
        </a:p>
        <a:p>
          <a:pPr rtl="0">
            <a:lnSpc>
              <a:spcPts val="1200"/>
            </a:lnSpc>
          </a:pPr>
          <a:r>
            <a:rPr lang="ja-JP" altLang="en-US"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endParaRPr>
        </a:p>
        <a:p>
          <a:pPr rtl="0"/>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endParaRPr>
        </a:p>
        <a:p>
          <a:pPr rtl="0"/>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en-US" altLang="ja-JP" sz="1100" b="0" i="0" baseline="0">
              <a:latin typeface="+mj-ea"/>
              <a:ea typeface="+mj-ea"/>
              <a:cs typeface="+mn-cs"/>
            </a:rPr>
            <a:t>C:\sample\B006_out_ID0003.txt</a:t>
          </a: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ResponseStream</a:t>
          </a:r>
          <a:r>
            <a:rPr lang="ja-JP" altLang="en-US" sz="1100" b="0" i="0" baseline="0">
              <a:latin typeface="+mj-ea"/>
              <a:ea typeface="+mj-ea"/>
              <a:cs typeface="+mn-cs"/>
            </a:rPr>
            <a:t>：（空白）</a:t>
          </a:r>
          <a:endParaRPr lang="ja-JP" altLang="ja-JP" sz="1100">
            <a:latin typeface="+mj-ea"/>
            <a:ea typeface="+mj-ea"/>
          </a:endParaRPr>
        </a:p>
        <a:p>
          <a:pPr rtl="0" fontAlgn="base">
            <a:lnSpc>
              <a:spcPts val="13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C:\sample\B006_out_ID0003.txt</a:t>
          </a:r>
          <a:r>
            <a:rPr lang="ja-JP" altLang="en-US" sz="1100" b="0" i="0" baseline="0">
              <a:latin typeface="+mj-ea"/>
              <a:ea typeface="+mj-ea"/>
              <a:cs typeface="+mn-cs"/>
            </a:rPr>
            <a:t>にある</a:t>
          </a:r>
          <a:r>
            <a:rPr lang="ja-JP" altLang="ja-JP" sz="1100" b="0" i="0" baseline="0">
              <a:latin typeface="+mj-ea"/>
              <a:ea typeface="+mj-ea"/>
              <a:cs typeface="+mn-cs"/>
            </a:rPr>
            <a:t>応答電文</a:t>
          </a:r>
          <a:r>
            <a:rPr lang="ja-JP" altLang="en-US" sz="1100" b="0" i="0" baseline="0">
              <a:latin typeface="+mj-ea"/>
              <a:ea typeface="+mj-ea"/>
              <a:cs typeface="+mn-cs"/>
            </a:rPr>
            <a:t>を読込み、</a:t>
          </a:r>
          <a:r>
            <a:rPr lang="ja-JP" altLang="ja-JP" sz="1100" b="0" i="0" baseline="0">
              <a:latin typeface="+mj-ea"/>
              <a:ea typeface="+mj-ea"/>
              <a:cs typeface="+mn-cs"/>
            </a:rPr>
            <a:t>解析</a:t>
          </a:r>
          <a:r>
            <a:rPr lang="ja-JP" altLang="en-US" sz="1100" b="0" i="0" baseline="0">
              <a:latin typeface="+mj-ea"/>
              <a:ea typeface="+mj-ea"/>
              <a:cs typeface="+mn-cs"/>
            </a:rPr>
            <a:t>した</a:t>
          </a:r>
          <a:r>
            <a:rPr lang="ja-JP" altLang="ja-JP" sz="1100" b="0" i="0" baseline="0">
              <a:latin typeface="+mj-ea"/>
              <a:ea typeface="+mj-ea"/>
              <a:cs typeface="+mn-cs"/>
            </a:rPr>
            <a:t>結果</a:t>
          </a:r>
          <a:r>
            <a:rPr lang="ja-JP" altLang="en-US" sz="1100" b="0" i="0" baseline="0">
              <a:latin typeface="+mj-ea"/>
              <a:ea typeface="+mj-ea"/>
              <a:cs typeface="+mn-cs"/>
            </a:rPr>
            <a:t>を</a:t>
          </a:r>
          <a:r>
            <a:rPr lang="ja-JP" altLang="ja-JP" sz="1100" b="0" i="0" baseline="0">
              <a:latin typeface="+mj-ea"/>
              <a:ea typeface="+mj-ea"/>
              <a:cs typeface="+mn-cs"/>
            </a:rPr>
            <a:t>シート</a:t>
          </a:r>
          <a:r>
            <a:rPr lang="en-US" altLang="ja-JP" sz="1100" b="0" i="0" baseline="0">
              <a:latin typeface="+mj-ea"/>
              <a:ea typeface="+mj-ea"/>
              <a:cs typeface="+mn-cs"/>
            </a:rPr>
            <a:t>B006</a:t>
          </a:r>
          <a:r>
            <a:rPr lang="ja-JP" altLang="en-US" sz="1100" b="0" i="0" baseline="0">
              <a:latin typeface="+mj-ea"/>
              <a:ea typeface="+mj-ea"/>
              <a:cs typeface="+mn-cs"/>
            </a:rPr>
            <a:t>の</a:t>
          </a:r>
          <a:r>
            <a:rPr lang="en-US" altLang="ja-JP" sz="1100" b="0" i="0" baseline="0">
              <a:latin typeface="+mj-ea"/>
              <a:ea typeface="+mj-ea"/>
              <a:cs typeface="+mn-cs"/>
            </a:rPr>
            <a:t>ID0003</a:t>
          </a:r>
          <a:r>
            <a:rPr lang="ja-JP" altLang="en-US" sz="1100" b="0" i="0" baseline="0">
              <a:latin typeface="+mj-ea"/>
              <a:ea typeface="+mj-ea"/>
              <a:cs typeface="+mn-cs"/>
            </a:rPr>
            <a:t>に相応する</a:t>
          </a:r>
          <a:r>
            <a:rPr lang="ja-JP" altLang="ja-JP" sz="1100" b="0" i="0" baseline="0">
              <a:latin typeface="+mj-ea"/>
              <a:ea typeface="+mj-ea"/>
              <a:cs typeface="+mn-cs"/>
            </a:rPr>
            <a:t>列に</a:t>
          </a:r>
          <a:r>
            <a:rPr lang="ja-JP" altLang="en-US" sz="1100" b="0" i="0" baseline="0">
              <a:latin typeface="+mj-ea"/>
              <a:ea typeface="+mj-ea"/>
              <a:cs typeface="+mn-cs"/>
            </a:rPr>
            <a:t>反映する</a:t>
          </a:r>
          <a:r>
            <a:rPr lang="ja-JP" altLang="ja-JP" sz="1100" b="0" i="0" baseline="0">
              <a:latin typeface="+mj-ea"/>
              <a:ea typeface="+mj-ea"/>
              <a:cs typeface="+mn-cs"/>
            </a:rPr>
            <a:t>。</a:t>
          </a:r>
          <a:endParaRPr lang="en-US" altLang="ja-JP" sz="1100" b="0" i="0" baseline="0">
            <a:latin typeface="+mj-ea"/>
            <a:ea typeface="+mj-ea"/>
            <a:cs typeface="+mn-cs"/>
          </a:endParaRPr>
        </a:p>
        <a:p>
          <a:pPr rtl="0">
            <a:lnSpc>
              <a:spcPts val="1200"/>
            </a:lnSpc>
          </a:pPr>
          <a:r>
            <a:rPr lang="ja-JP" altLang="ja-JP" sz="1100" b="0" i="0" baseline="0">
              <a:latin typeface="+mj-ea"/>
              <a:ea typeface="+mj-ea"/>
              <a:cs typeface="+mn-cs"/>
            </a:rPr>
            <a:t>　　　　　　　例</a:t>
          </a:r>
          <a:r>
            <a:rPr lang="ja-JP" altLang="en-US" sz="1100" b="0" i="0" baseline="0">
              <a:latin typeface="+mj-ea"/>
              <a:ea typeface="+mj-ea"/>
              <a:cs typeface="+mn-cs"/>
            </a:rPr>
            <a:t>２</a:t>
          </a:r>
          <a:r>
            <a:rPr lang="ja-JP" altLang="ja-JP" sz="1100" b="0" i="0" baseline="0">
              <a:latin typeface="+mj-ea"/>
              <a:ea typeface="+mj-ea"/>
              <a:cs typeface="+mn-cs"/>
            </a:rPr>
            <a:t>：</a:t>
          </a:r>
          <a:r>
            <a:rPr lang="ja-JP" altLang="en-US" sz="1100" b="0" i="0" baseline="0">
              <a:latin typeface="+mj-ea"/>
              <a:ea typeface="+mj-ea"/>
              <a:cs typeface="+mn-cs"/>
            </a:rPr>
            <a:t>直接解析</a:t>
          </a:r>
          <a:r>
            <a:rPr lang="ja-JP" altLang="ja-JP" sz="1100" b="0" i="0" baseline="0">
              <a:latin typeface="+mj-ea"/>
              <a:ea typeface="+mj-ea"/>
              <a:cs typeface="+mn-cs"/>
            </a:rPr>
            <a:t>のパターン</a:t>
          </a:r>
          <a:endParaRPr lang="en-US" altLang="ja-JP" sz="1100" b="0" i="0" baseline="0">
            <a:latin typeface="+mj-ea"/>
            <a:ea typeface="+mj-ea"/>
            <a:cs typeface="+mn-cs"/>
          </a:endParaRPr>
        </a:p>
        <a:p>
          <a:pPr rtl="0"/>
          <a:r>
            <a:rPr lang="ja-JP" altLang="en-US"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ja-JP" altLang="en-US" sz="1100" b="0" i="0" baseline="0">
              <a:latin typeface="+mj-ea"/>
              <a:ea typeface="+mj-ea"/>
              <a:cs typeface="+mn-cs"/>
            </a:rPr>
            <a:t>（空白）</a:t>
          </a:r>
          <a:endParaRPr lang="en-US" altLang="ja-JP" sz="1100" b="0" i="0" baseline="0">
            <a:latin typeface="+mj-ea"/>
            <a:ea typeface="+mj-ea"/>
            <a:cs typeface="+mn-cs"/>
          </a:endParaRPr>
        </a:p>
        <a:p>
          <a:pPr rtl="0">
            <a:lnSpc>
              <a:spcPts val="1300"/>
            </a:lnSpc>
          </a:pPr>
          <a:r>
            <a:rPr lang="ja-JP" altLang="en-US" sz="1100" b="0" i="0" baseline="0">
              <a:latin typeface="+mj-ea"/>
              <a:ea typeface="+mj-ea"/>
              <a:cs typeface="+mn-cs"/>
            </a:rPr>
            <a:t>　　　　　　　　　　</a:t>
          </a:r>
          <a:r>
            <a:rPr lang="ja-JP" altLang="ja-JP" sz="1100" b="0" i="0" baseline="0">
              <a:latin typeface="+mj-ea"/>
              <a:ea typeface="+mj-ea"/>
              <a:cs typeface="+mn-cs"/>
            </a:rPr>
            <a:t>・</a:t>
          </a:r>
          <a:r>
            <a:rPr lang="en-US" altLang="ja-JP" sz="1100" b="0" i="0" baseline="0">
              <a:latin typeface="+mj-ea"/>
              <a:ea typeface="+mj-ea"/>
              <a:cs typeface="+mn-cs"/>
            </a:rPr>
            <a:t>ResponseStream</a:t>
          </a:r>
          <a:r>
            <a:rPr lang="ja-JP" altLang="en-US" sz="1100" b="0" i="0" baseline="0">
              <a:latin typeface="+mj-ea"/>
              <a:ea typeface="+mj-ea"/>
              <a:cs typeface="+mn-cs"/>
            </a:rPr>
            <a:t>：</a:t>
          </a:r>
          <a:r>
            <a:rPr lang="ja-JP" altLang="ja-JP" sz="1100" b="0" i="0" baseline="0">
              <a:latin typeface="+mj-ea"/>
              <a:ea typeface="+mj-ea"/>
              <a:cs typeface="+mn-cs"/>
            </a:rPr>
            <a:t>応答</a:t>
          </a:r>
          <a:r>
            <a:rPr lang="ja-JP" altLang="en-US" sz="1100" b="0" i="0" baseline="0">
              <a:latin typeface="+mj-ea"/>
              <a:ea typeface="+mj-ea"/>
              <a:cs typeface="+mn-cs"/>
            </a:rPr>
            <a:t>電文</a:t>
          </a:r>
          <a:r>
            <a:rPr lang="ja-JP" altLang="ja-JP" sz="1100" b="0" i="0" baseline="0">
              <a:latin typeface="+mj-ea"/>
              <a:ea typeface="+mj-ea"/>
              <a:cs typeface="+mn-cs"/>
            </a:rPr>
            <a:t>そのもの</a:t>
          </a:r>
          <a:endParaRPr lang="ja-JP" altLang="ja-JP" sz="1100">
            <a:latin typeface="+mj-ea"/>
            <a:ea typeface="+mj-ea"/>
            <a:cs typeface="+mn-cs"/>
          </a:endParaRPr>
        </a:p>
        <a:p>
          <a:pPr rtl="0" fontAlgn="base">
            <a:lnSpc>
              <a:spcPts val="12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rtl="0" fontAlgn="base">
            <a:lnSpc>
              <a:spcPts val="1200"/>
            </a:lnSpc>
          </a:pPr>
          <a:r>
            <a:rPr lang="ja-JP" altLang="ja-JP" sz="1100" b="0" i="0" baseline="0">
              <a:latin typeface="+mj-ea"/>
              <a:ea typeface="+mj-ea"/>
              <a:cs typeface="+mn-cs"/>
            </a:rPr>
            <a:t>　　　　　　　　　　・応答電文を解析した結果を、シート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ID0003</a:t>
          </a:r>
          <a:r>
            <a:rPr lang="ja-JP" altLang="ja-JP" sz="1100" b="0" i="0" baseline="0">
              <a:latin typeface="+mj-ea"/>
              <a:ea typeface="+mj-ea"/>
              <a:cs typeface="+mn-cs"/>
            </a:rPr>
            <a:t>が存在する列に反映する。				</a:t>
          </a:r>
          <a:endParaRPr lang="ja-JP" altLang="ja-JP" sz="1100">
            <a:latin typeface="+mj-ea"/>
            <a:ea typeface="+mj-ea"/>
          </a:endParaRPr>
        </a:p>
        <a:p>
          <a:pPr rtl="0"/>
          <a:r>
            <a:rPr lang="ja-JP" altLang="ja-JP" sz="1100" b="0" i="0" baseline="0">
              <a:latin typeface="+mj-ea"/>
              <a:ea typeface="+mj-ea"/>
              <a:cs typeface="+mn-cs"/>
            </a:rPr>
            <a:t>							</a:t>
          </a:r>
          <a:endParaRPr lang="ja-JP" altLang="ja-JP" sz="1100">
            <a:latin typeface="+mj-ea"/>
            <a:ea typeface="+mj-ea"/>
          </a:endParaRPr>
        </a:p>
        <a:p>
          <a:pPr rtl="0" fontAlgn="base">
            <a:lnSpc>
              <a:spcPts val="1200"/>
            </a:lnSpc>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一括生成（</a:t>
          </a:r>
          <a:r>
            <a:rPr lang="en-US" altLang="ja-JP" sz="1100" b="0" i="0" baseline="0">
              <a:latin typeface="+mj-ea"/>
              <a:ea typeface="+mj-ea"/>
              <a:cs typeface="+mn-cs"/>
            </a:rPr>
            <a:t>CaseNo</a:t>
          </a:r>
          <a:r>
            <a:rPr lang="ja-JP" altLang="ja-JP" sz="1100" b="0" i="0" baseline="0">
              <a:latin typeface="+mj-ea"/>
              <a:ea typeface="+mj-ea"/>
              <a:cs typeface="+mn-cs"/>
            </a:rPr>
            <a:t>設定しない）</a:t>
          </a:r>
          <a:endParaRPr lang="en-US" altLang="ja-JP" sz="1100" b="0" i="0" baseline="0">
            <a:latin typeface="+mj-ea"/>
            <a:ea typeface="+mj-ea"/>
            <a:cs typeface="+mn-cs"/>
          </a:endParaRPr>
        </a:p>
        <a:p>
          <a:pPr rtl="0"/>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：（空白）</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en-US" altLang="ja-JP" sz="1100" b="0" i="0" baseline="0">
              <a:latin typeface="+mj-ea"/>
              <a:ea typeface="+mj-ea"/>
              <a:cs typeface="+mn-cs"/>
            </a:rPr>
            <a:t>C:\sample</a:t>
          </a:r>
          <a:endParaRPr lang="ja-JP" altLang="ja-JP" sz="1100">
            <a:latin typeface="+mj-ea"/>
            <a:ea typeface="+mj-ea"/>
            <a:cs typeface="+mn-cs"/>
          </a:endParaRPr>
        </a:p>
        <a:p>
          <a:pPr rtl="0" fontAlgn="base">
            <a:lnSpc>
              <a:spcPts val="13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a:lnSpc>
              <a:spcPts val="1100"/>
            </a:lnSpc>
          </a:pPr>
          <a:r>
            <a:rPr lang="ja-JP" altLang="ja-JP" sz="1100" b="0" i="0" baseline="0">
              <a:solidFill>
                <a:srgbClr val="FF0000"/>
              </a:solidFill>
              <a:latin typeface="+mj-ea"/>
              <a:ea typeface="+mj-ea"/>
              <a:cs typeface="+mn-cs"/>
            </a:rPr>
            <a:t>　　　　　　　　　</a:t>
          </a:r>
          <a:r>
            <a:rPr lang="ja-JP" altLang="ja-JP" sz="1100" b="0" i="0" baseline="0">
              <a:solidFill>
                <a:sysClr val="windowText" lastClr="000000"/>
              </a:solidFill>
              <a:latin typeface="+mj-ea"/>
              <a:ea typeface="+mj-ea"/>
              <a:cs typeface="+mn-cs"/>
            </a:rPr>
            <a:t>　・</a:t>
          </a:r>
          <a:r>
            <a:rPr lang="en-US" altLang="ja-JP" sz="1100" b="0" i="0" baseline="0">
              <a:solidFill>
                <a:sysClr val="windowText" lastClr="000000"/>
              </a:solidFill>
              <a:latin typeface="+mj-ea"/>
              <a:ea typeface="+mj-ea"/>
              <a:cs typeface="+mn-cs"/>
            </a:rPr>
            <a:t>C:\sample</a:t>
          </a:r>
          <a:r>
            <a:rPr lang="ja-JP" altLang="en-US" sz="1100" b="0" i="0" baseline="0">
              <a:solidFill>
                <a:sysClr val="windowText" lastClr="000000"/>
              </a:solidFill>
              <a:latin typeface="+mj-ea"/>
              <a:ea typeface="+mj-ea"/>
              <a:cs typeface="+mn-cs"/>
            </a:rPr>
            <a:t>配下すべての</a:t>
          </a:r>
          <a:r>
            <a:rPr lang="en-US" altLang="ja-JP" sz="1100" b="0" i="0" baseline="0">
              <a:solidFill>
                <a:sysClr val="windowText" lastClr="000000"/>
              </a:solidFill>
              <a:latin typeface="+mj-ea"/>
              <a:ea typeface="+mj-ea"/>
              <a:cs typeface="+mn-cs"/>
            </a:rPr>
            <a:t>B006_out_IDXXXX.txt</a:t>
          </a:r>
          <a:r>
            <a:rPr lang="ja-JP" altLang="en-US" sz="1100" b="0" i="0" baseline="0">
              <a:solidFill>
                <a:sysClr val="windowText" lastClr="000000"/>
              </a:solidFill>
              <a:latin typeface="+mj-ea"/>
              <a:ea typeface="+mj-ea"/>
              <a:cs typeface="+mn-cs"/>
            </a:rPr>
            <a:t>形式のファイルを読込み、</a:t>
          </a:r>
          <a:r>
            <a:rPr lang="ja-JP" altLang="ja-JP" sz="1100" b="0" i="0" baseline="0">
              <a:solidFill>
                <a:sysClr val="windowText" lastClr="000000"/>
              </a:solidFill>
              <a:latin typeface="+mj-ea"/>
              <a:ea typeface="+mj-ea"/>
              <a:cs typeface="+mn-cs"/>
            </a:rPr>
            <a:t>解析した結果それぞれをシート</a:t>
          </a:r>
          <a:r>
            <a:rPr lang="en-US" altLang="ja-JP" sz="1100" b="0" i="0" baseline="0">
              <a:solidFill>
                <a:sysClr val="windowText" lastClr="000000"/>
              </a:solidFill>
              <a:latin typeface="+mj-ea"/>
              <a:ea typeface="+mj-ea"/>
              <a:cs typeface="+mn-cs"/>
            </a:rPr>
            <a:t>B006</a:t>
          </a:r>
          <a:r>
            <a:rPr lang="ja-JP" altLang="ja-JP" sz="1100" b="0" i="0" baseline="0">
              <a:solidFill>
                <a:sysClr val="windowText" lastClr="000000"/>
              </a:solidFill>
              <a:latin typeface="+mj-ea"/>
              <a:ea typeface="+mj-ea"/>
              <a:cs typeface="+mn-cs"/>
            </a:rPr>
            <a:t>の</a:t>
          </a:r>
          <a:r>
            <a:rPr lang="en-US" altLang="ja-JP" sz="1100" b="0" i="0" baseline="0">
              <a:solidFill>
                <a:sysClr val="windowText" lastClr="000000"/>
              </a:solidFill>
              <a:latin typeface="+mj-ea"/>
              <a:ea typeface="+mj-ea"/>
              <a:cs typeface="+mn-cs"/>
            </a:rPr>
            <a:t>IDXXXX</a:t>
          </a:r>
          <a:r>
            <a:rPr lang="ja-JP" altLang="en-US" sz="1100" b="0" i="0" baseline="0">
              <a:solidFill>
                <a:sysClr val="windowText" lastClr="000000"/>
              </a:solidFill>
              <a:latin typeface="+mj-ea"/>
              <a:ea typeface="+mj-ea"/>
              <a:cs typeface="+mn-cs"/>
            </a:rPr>
            <a:t>に相応する</a:t>
          </a:r>
          <a:r>
            <a:rPr lang="ja-JP" altLang="ja-JP" sz="1100" b="0" i="0" baseline="0">
              <a:solidFill>
                <a:sysClr val="windowText" lastClr="000000"/>
              </a:solidFill>
              <a:latin typeface="+mj-ea"/>
              <a:ea typeface="+mj-ea"/>
              <a:cs typeface="+mn-cs"/>
            </a:rPr>
            <a:t>列に反映する。</a:t>
          </a:r>
          <a:endParaRPr lang="en-US" altLang="ja-JP" sz="1100" b="1" i="0" u="none" strike="noStrike" baseline="0">
            <a:solidFill>
              <a:srgbClr val="000000"/>
            </a:solidFill>
            <a:latin typeface="+mj-ea"/>
            <a:ea typeface="+mj-ea"/>
          </a:endParaRPr>
        </a:p>
        <a:p>
          <a:pPr algn="l" rtl="0">
            <a:lnSpc>
              <a:spcPts val="1200"/>
            </a:lnSpc>
            <a:defRPr sz="1000"/>
          </a:pP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③</a:t>
          </a:r>
          <a:r>
            <a:rPr lang="ja-JP" altLang="ja-JP" sz="1100" b="1" i="0">
              <a:latin typeface="+mj-ea"/>
              <a:ea typeface="+mj-ea"/>
              <a:cs typeface="+mn-cs"/>
            </a:rPr>
            <a:t>テストデータ</a:t>
          </a:r>
          <a:r>
            <a:rPr lang="ja-JP" altLang="en-US" sz="1100" b="1" i="0">
              <a:latin typeface="+mj-ea"/>
              <a:ea typeface="+mj-ea"/>
              <a:cs typeface="+mn-cs"/>
            </a:rPr>
            <a:t>を削除するなら</a:t>
          </a:r>
          <a:r>
            <a:rPr lang="ja-JP" altLang="ja-JP" sz="1100" b="1" i="0" baseline="0">
              <a:latin typeface="+mj-ea"/>
              <a:ea typeface="+mj-ea"/>
              <a:cs typeface="+mn-cs"/>
            </a:rPr>
            <a:t>　　⇒　　「</a:t>
          </a:r>
          <a:r>
            <a:rPr lang="en-US" altLang="ja-JP" sz="1100" b="1" i="0" baseline="0">
              <a:latin typeface="+mj-ea"/>
              <a:ea typeface="+mj-ea"/>
              <a:cs typeface="+mn-cs"/>
            </a:rPr>
            <a:t>ClearResult</a:t>
          </a:r>
          <a:r>
            <a:rPr lang="ja-JP" altLang="ja-JP" sz="1100" b="1" i="0" baseline="0">
              <a:latin typeface="+mj-ea"/>
              <a:ea typeface="+mj-ea"/>
              <a:cs typeface="+mn-cs"/>
            </a:rPr>
            <a:t>」ボタン</a:t>
          </a:r>
          <a:endParaRPr lang="en-US" altLang="ja-JP" sz="1100" b="1" i="0" baseline="0">
            <a:latin typeface="+mj-ea"/>
            <a:ea typeface="+mj-ea"/>
            <a:cs typeface="+mn-cs"/>
          </a:endParaRPr>
        </a:p>
        <a:p>
          <a:pPr rtl="0">
            <a:lnSpc>
              <a:spcPts val="1100"/>
            </a:lnSpc>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(1)</a:t>
          </a:r>
          <a:r>
            <a:rPr lang="ja-JP" altLang="ja-JP" sz="1100" b="0" i="0" baseline="0">
              <a:latin typeface="+mj-ea"/>
              <a:ea typeface="+mj-ea"/>
              <a:cs typeface="+mn-cs"/>
            </a:rPr>
            <a:t>　一件</a:t>
          </a:r>
          <a:r>
            <a:rPr lang="ja-JP" altLang="en-US" sz="1100" b="0" i="0" baseline="0">
              <a:latin typeface="+mj-ea"/>
              <a:ea typeface="+mj-ea"/>
              <a:cs typeface="+mn-cs"/>
            </a:rPr>
            <a:t>削除</a:t>
          </a:r>
          <a:r>
            <a:rPr lang="ja-JP" altLang="ja-JP" sz="1100" b="0" i="0" baseline="0">
              <a:latin typeface="+mj-ea"/>
              <a:ea typeface="+mj-ea"/>
              <a:cs typeface="+mn-cs"/>
            </a:rPr>
            <a:t>（</a:t>
          </a:r>
          <a:r>
            <a:rPr lang="en-US" altLang="ja-JP" sz="1100" b="0" i="0" baseline="0">
              <a:latin typeface="+mj-ea"/>
              <a:ea typeface="+mj-ea"/>
              <a:cs typeface="+mn-cs"/>
            </a:rPr>
            <a:t>CaseNo</a:t>
          </a:r>
          <a:r>
            <a:rPr lang="ja-JP" altLang="ja-JP" sz="1100" b="0" i="0" baseline="0">
              <a:latin typeface="+mj-ea"/>
              <a:ea typeface="+mj-ea"/>
              <a:cs typeface="+mn-cs"/>
            </a:rPr>
            <a:t>を設定する）									</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rtl="0" fontAlgn="base">
            <a:lnSpc>
              <a:spcPts val="1200"/>
            </a:lnSpc>
          </a:pPr>
          <a:r>
            <a:rPr lang="ja-JP" altLang="ja-JP" sz="1100" b="0" i="0" baseline="0">
              <a:latin typeface="+mj-ea"/>
              <a:ea typeface="+mj-ea"/>
              <a:cs typeface="+mn-cs"/>
            </a:rPr>
            <a:t>　　　　　　　　　　・シート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ID0003</a:t>
          </a:r>
          <a:r>
            <a:rPr lang="ja-JP" altLang="ja-JP" sz="1100" b="0" i="0" baseline="0">
              <a:latin typeface="+mj-ea"/>
              <a:ea typeface="+mj-ea"/>
              <a:cs typeface="+mn-cs"/>
            </a:rPr>
            <a:t>に相応する</a:t>
          </a:r>
          <a:r>
            <a:rPr lang="ja-JP" altLang="en-US" sz="1100" b="0" i="0" baseline="0">
              <a:latin typeface="+mj-ea"/>
              <a:ea typeface="+mj-ea"/>
              <a:cs typeface="+mn-cs"/>
            </a:rPr>
            <a:t>列のデータを削除する</a:t>
          </a:r>
          <a:r>
            <a:rPr lang="ja-JP" altLang="ja-JP" sz="1100" b="0" i="0" baseline="0">
              <a:latin typeface="+mj-ea"/>
              <a:ea typeface="+mj-ea"/>
              <a:cs typeface="+mn-cs"/>
            </a:rPr>
            <a:t>。</a:t>
          </a:r>
          <a:endParaRPr lang="en-US" altLang="ja-JP" sz="1100" b="0" i="0" baseline="0">
            <a:latin typeface="+mj-ea"/>
            <a:ea typeface="+mj-ea"/>
            <a:cs typeface="+mn-cs"/>
          </a:endParaRPr>
        </a:p>
        <a:p>
          <a:pPr rtl="0"/>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a:t>
          </a:r>
          <a:r>
            <a:rPr lang="ja-JP" altLang="en-US" sz="1100" b="0" i="0" baseline="0">
              <a:latin typeface="+mj-ea"/>
              <a:ea typeface="+mj-ea"/>
              <a:cs typeface="+mn-cs"/>
            </a:rPr>
            <a:t>一括</a:t>
          </a:r>
          <a:r>
            <a:rPr lang="ja-JP" altLang="ja-JP" sz="1100" b="0" i="0" baseline="0">
              <a:latin typeface="+mj-ea"/>
              <a:ea typeface="+mj-ea"/>
              <a:cs typeface="+mn-cs"/>
            </a:rPr>
            <a:t>削除（</a:t>
          </a:r>
          <a:r>
            <a:rPr lang="en-US" altLang="ja-JP" sz="1100" b="0" i="0" baseline="0">
              <a:latin typeface="+mj-ea"/>
              <a:ea typeface="+mj-ea"/>
              <a:cs typeface="+mn-cs"/>
            </a:rPr>
            <a:t>CaseNo</a:t>
          </a:r>
          <a:r>
            <a:rPr lang="ja-JP" altLang="ja-JP" sz="1100" b="0" i="0" baseline="0">
              <a:latin typeface="+mj-ea"/>
              <a:ea typeface="+mj-ea"/>
              <a:cs typeface="+mn-cs"/>
            </a:rPr>
            <a:t>を設定</a:t>
          </a:r>
          <a:r>
            <a:rPr lang="ja-JP" altLang="en-US" sz="1100" b="0" i="0" baseline="0">
              <a:latin typeface="+mj-ea"/>
              <a:ea typeface="+mj-ea"/>
              <a:cs typeface="+mn-cs"/>
            </a:rPr>
            <a:t>しない</a:t>
          </a:r>
          <a:r>
            <a:rPr lang="ja-JP" altLang="ja-JP" sz="1100" b="0" i="0" baseline="0">
              <a:latin typeface="+mj-ea"/>
              <a:ea typeface="+mj-ea"/>
              <a:cs typeface="+mn-cs"/>
            </a:rPr>
            <a:t>）									</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lnSpc>
              <a:spcPts val="13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ja-JP" altLang="en-US" sz="1100" b="0" i="0" baseline="0">
              <a:latin typeface="+mj-ea"/>
              <a:ea typeface="+mj-ea"/>
              <a:cs typeface="+mn-cs"/>
            </a:rPr>
            <a:t>（空白）</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fontAlgn="base"/>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AD</a:t>
          </a:r>
          <a:r>
            <a:rPr lang="ja-JP" altLang="en-US" sz="1100" b="0" i="0" baseline="0">
              <a:latin typeface="+mj-ea"/>
              <a:ea typeface="+mj-ea"/>
              <a:cs typeface="+mn-cs"/>
            </a:rPr>
            <a:t>列</a:t>
          </a:r>
          <a:r>
            <a:rPr lang="ja-JP" altLang="ja-JP" sz="1100" b="0" i="0" baseline="0">
              <a:latin typeface="+mj-ea"/>
              <a:ea typeface="+mj-ea"/>
              <a:cs typeface="+mn-cs"/>
            </a:rPr>
            <a:t>以降</a:t>
          </a:r>
          <a:r>
            <a:rPr lang="ja-JP" altLang="en-US" sz="1100" b="0" i="0" baseline="0">
              <a:latin typeface="+mj-ea"/>
              <a:ea typeface="+mj-ea"/>
              <a:cs typeface="+mn-cs"/>
            </a:rPr>
            <a:t>のデータ全件</a:t>
          </a:r>
          <a:r>
            <a:rPr lang="ja-JP" altLang="ja-JP" sz="1100" b="0" i="0" baseline="0">
              <a:latin typeface="+mj-ea"/>
              <a:ea typeface="+mj-ea"/>
              <a:cs typeface="+mn-cs"/>
            </a:rPr>
            <a:t>を削除する。</a:t>
          </a:r>
          <a:endParaRPr lang="en-US" altLang="ja-JP" sz="1100" b="0" i="0" baseline="0">
            <a:latin typeface="+mj-ea"/>
            <a:ea typeface="+mj-ea"/>
            <a:cs typeface="+mn-cs"/>
          </a:endParaRPr>
        </a:p>
        <a:p>
          <a:pPr algn="l" rtl="0">
            <a:lnSpc>
              <a:spcPts val="1200"/>
            </a:lnSpc>
            <a:defRPr sz="1000"/>
          </a:pP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④</a:t>
          </a:r>
          <a:r>
            <a:rPr lang="ja-JP" altLang="ja-JP" sz="1100" b="1" i="0" baseline="0">
              <a:latin typeface="+mj-ea"/>
              <a:ea typeface="+mj-ea"/>
              <a:cs typeface="+mn-cs"/>
            </a:rPr>
            <a:t>要求</a:t>
          </a:r>
          <a:r>
            <a:rPr lang="en-US" altLang="ja-JP" sz="1100" b="1" i="0" baseline="0">
              <a:latin typeface="+mj-ea"/>
              <a:ea typeface="+mj-ea"/>
              <a:cs typeface="+mn-cs"/>
            </a:rPr>
            <a:t>XML</a:t>
          </a:r>
          <a:r>
            <a:rPr lang="ja-JP" altLang="en-US" sz="1100" b="1" i="0" baseline="0">
              <a:latin typeface="+mj-ea"/>
              <a:ea typeface="+mj-ea"/>
              <a:cs typeface="+mn-cs"/>
            </a:rPr>
            <a:t>ファイル</a:t>
          </a:r>
          <a:r>
            <a:rPr lang="ja-JP" altLang="ja-JP" sz="1100" b="1" i="0" baseline="0">
              <a:latin typeface="+mj-ea"/>
              <a:ea typeface="+mj-ea"/>
              <a:cs typeface="+mn-cs"/>
            </a:rPr>
            <a:t>を生成するなら　　⇒　　</a:t>
          </a:r>
          <a:r>
            <a:rPr lang="ja-JP" altLang="en-US" sz="1100" b="1" i="0" baseline="0">
              <a:latin typeface="+mj-ea"/>
              <a:ea typeface="+mj-ea"/>
              <a:cs typeface="+mn-cs"/>
            </a:rPr>
            <a:t>「</a:t>
          </a:r>
          <a:r>
            <a:rPr lang="en-US" altLang="ja-JP" sz="1100" b="1" i="0" baseline="0">
              <a:latin typeface="+mj-ea"/>
              <a:ea typeface="+mj-ea"/>
              <a:cs typeface="+mn-cs"/>
            </a:rPr>
            <a:t>GenerateInXml</a:t>
          </a:r>
          <a:r>
            <a:rPr lang="ja-JP" altLang="en-US" sz="1100" b="1" i="0" baseline="0">
              <a:latin typeface="+mj-ea"/>
              <a:ea typeface="+mj-ea"/>
              <a:cs typeface="+mn-cs"/>
            </a:rPr>
            <a:t>」ボタン</a:t>
          </a:r>
          <a:endParaRPr lang="en-US" altLang="ja-JP" sz="1100" b="1" i="0" baseline="0">
            <a:latin typeface="+mj-ea"/>
            <a:ea typeface="+mj-ea"/>
            <a:cs typeface="+mn-cs"/>
          </a:endParaRPr>
        </a:p>
        <a:p>
          <a:pPr algn="l" rtl="0">
            <a:lnSpc>
              <a:spcPts val="1100"/>
            </a:lnSpc>
            <a:defRPr sz="1000"/>
          </a:pP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項目</a:t>
          </a:r>
          <a:r>
            <a:rPr lang="ja-JP" altLang="ja-JP" sz="1100" b="0" i="0" baseline="0">
              <a:latin typeface="+mj-ea"/>
              <a:ea typeface="+mj-ea"/>
              <a:cs typeface="+mn-cs"/>
            </a:rPr>
            <a:t>設定</a:t>
          </a:r>
          <a:r>
            <a:rPr lang="ja-JP" altLang="en-US" sz="1100" b="0" i="0" baseline="0">
              <a:latin typeface="+mj-ea"/>
              <a:ea typeface="+mj-ea"/>
              <a:cs typeface="+mn-cs"/>
            </a:rPr>
            <a:t>については、①</a:t>
          </a:r>
          <a:r>
            <a:rPr lang="ja-JP" altLang="ja-JP" sz="1100" b="0" i="0" baseline="0">
              <a:latin typeface="+mj-ea"/>
              <a:ea typeface="+mj-ea"/>
              <a:cs typeface="+mn-cs"/>
            </a:rPr>
            <a:t>「</a:t>
          </a:r>
          <a:r>
            <a:rPr lang="en-US" altLang="ja-JP" sz="1100" b="0" i="0" baseline="0">
              <a:latin typeface="+mj-ea"/>
              <a:ea typeface="+mj-ea"/>
              <a:cs typeface="+mn-cs"/>
            </a:rPr>
            <a:t>Generate-IN</a:t>
          </a:r>
          <a:r>
            <a:rPr lang="ja-JP" altLang="ja-JP" sz="1100" b="0" i="0" baseline="0">
              <a:latin typeface="+mj-ea"/>
              <a:ea typeface="+mj-ea"/>
              <a:cs typeface="+mn-cs"/>
            </a:rPr>
            <a:t>」ボタン</a:t>
          </a:r>
          <a:r>
            <a:rPr lang="ja-JP" altLang="en-US" sz="1100" b="0" i="0" baseline="0">
              <a:latin typeface="+mj-ea"/>
              <a:ea typeface="+mj-ea"/>
              <a:cs typeface="+mn-cs"/>
            </a:rPr>
            <a:t>と同様。</a:t>
          </a:r>
          <a:endParaRPr lang="en-US" altLang="ja-JP" sz="1100" b="0" i="0" baseline="0">
            <a:latin typeface="+mj-ea"/>
            <a:ea typeface="+mj-ea"/>
            <a:cs typeface="+mn-cs"/>
          </a:endParaRPr>
        </a:p>
        <a:p>
          <a:pPr algn="l" rtl="0">
            <a:lnSpc>
              <a:spcPts val="1300"/>
            </a:lnSpc>
            <a:defRPr sz="1000"/>
          </a:pPr>
          <a:endParaRPr lang="en-US" altLang="ja-JP" sz="1100" b="0" i="0" u="none" strike="noStrike" baseline="0">
            <a:solidFill>
              <a:srgbClr val="000000"/>
            </a:solidFill>
            <a:latin typeface="+mj-ea"/>
            <a:ea typeface="+mj-ea"/>
            <a:cs typeface="+mn-cs"/>
          </a:endParaRPr>
        </a:p>
        <a:p>
          <a:pPr rtl="0" fontAlgn="base">
            <a:lnSpc>
              <a:spcPts val="1100"/>
            </a:lnSpc>
          </a:pPr>
          <a:r>
            <a:rPr lang="ja-JP" altLang="ja-JP" sz="1100" b="1" i="0" baseline="0">
              <a:latin typeface="+mn-lt"/>
              <a:ea typeface="+mn-ea"/>
              <a:cs typeface="+mn-cs"/>
            </a:rPr>
            <a:t>　　</a:t>
          </a:r>
          <a:r>
            <a:rPr lang="ja-JP" altLang="en-US" sz="1100" b="1" i="0" baseline="0">
              <a:latin typeface="+mn-lt"/>
              <a:ea typeface="+mn-ea"/>
              <a:cs typeface="+mn-cs"/>
            </a:rPr>
            <a:t>⑤応答</a:t>
          </a:r>
          <a:r>
            <a:rPr lang="en-US" altLang="ja-JP" sz="1100" b="1" i="0" baseline="0">
              <a:latin typeface="+mn-lt"/>
              <a:ea typeface="+mn-ea"/>
              <a:cs typeface="+mn-cs"/>
            </a:rPr>
            <a:t>XML</a:t>
          </a:r>
          <a:r>
            <a:rPr lang="ja-JP" altLang="ja-JP" sz="1100" b="1" i="0" baseline="0">
              <a:latin typeface="+mn-lt"/>
              <a:ea typeface="+mn-ea"/>
              <a:cs typeface="+mn-cs"/>
            </a:rPr>
            <a:t>ファイルを生成するなら　　⇒　　「</a:t>
          </a:r>
          <a:r>
            <a:rPr lang="en-US" altLang="ja-JP" sz="1100" b="1" i="0" baseline="0">
              <a:latin typeface="+mn-lt"/>
              <a:ea typeface="+mn-ea"/>
              <a:cs typeface="+mn-cs"/>
            </a:rPr>
            <a:t>GenerateOutXml</a:t>
          </a:r>
          <a:r>
            <a:rPr lang="ja-JP" altLang="ja-JP" sz="1100" b="1" i="0" baseline="0">
              <a:latin typeface="+mn-lt"/>
              <a:ea typeface="+mn-ea"/>
              <a:cs typeface="+mn-cs"/>
            </a:rPr>
            <a:t>」ボタン</a:t>
          </a:r>
          <a:endParaRPr lang="en-US" altLang="ja-JP" sz="1100" b="1" i="0" baseline="0">
            <a:latin typeface="+mn-lt"/>
            <a:ea typeface="+mn-ea"/>
            <a:cs typeface="+mn-cs"/>
          </a:endParaRPr>
        </a:p>
        <a:p>
          <a:pPr rtl="0" fontAlgn="base">
            <a:lnSpc>
              <a:spcPts val="1200"/>
            </a:lnSpc>
          </a:pPr>
          <a:r>
            <a:rPr lang="ja-JP" altLang="ja-JP" sz="1100" b="0" i="0" baseline="0">
              <a:latin typeface="+mn-lt"/>
              <a:ea typeface="+mn-ea"/>
              <a:cs typeface="+mn-cs"/>
            </a:rPr>
            <a:t>　　　　</a:t>
          </a:r>
          <a:r>
            <a:rPr lang="en-US" altLang="ja-JP" sz="1100" b="0" i="0" baseline="0">
              <a:latin typeface="+mn-lt"/>
              <a:ea typeface="+mn-ea"/>
              <a:cs typeface="+mn-cs"/>
            </a:rPr>
            <a:t>※</a:t>
          </a:r>
          <a:r>
            <a:rPr lang="ja-JP" altLang="ja-JP" sz="1100" b="0" i="0" baseline="0">
              <a:latin typeface="+mn-lt"/>
              <a:ea typeface="+mn-ea"/>
              <a:cs typeface="+mn-cs"/>
            </a:rPr>
            <a:t>項目設定については、</a:t>
          </a:r>
          <a:r>
            <a:rPr lang="ja-JP" altLang="en-US" sz="1100" b="0" i="0" baseline="0">
              <a:latin typeface="+mn-lt"/>
              <a:ea typeface="+mn-ea"/>
              <a:cs typeface="+mn-cs"/>
            </a:rPr>
            <a:t>②</a:t>
          </a:r>
          <a:r>
            <a:rPr lang="ja-JP" altLang="ja-JP" sz="1100" b="0" i="0" baseline="0">
              <a:latin typeface="+mn-lt"/>
              <a:ea typeface="+mn-ea"/>
              <a:cs typeface="+mn-cs"/>
            </a:rPr>
            <a:t>「</a:t>
          </a:r>
          <a:r>
            <a:rPr lang="en-US" altLang="ja-JP" sz="1100" b="0" i="0" baseline="0">
              <a:latin typeface="+mn-lt"/>
              <a:ea typeface="+mn-ea"/>
              <a:cs typeface="+mn-cs"/>
            </a:rPr>
            <a:t>Analyze-OUT</a:t>
          </a:r>
          <a:r>
            <a:rPr lang="ja-JP" altLang="ja-JP" sz="1100" b="0" i="0" baseline="0">
              <a:latin typeface="+mn-lt"/>
              <a:ea typeface="+mn-ea"/>
              <a:cs typeface="+mn-cs"/>
            </a:rPr>
            <a:t>」ボタンと同様。</a:t>
          </a:r>
          <a:endParaRPr lang="en-US" altLang="ja-JP" sz="1100" b="0" i="0" baseline="0">
            <a:latin typeface="+mn-lt"/>
            <a:ea typeface="+mn-ea"/>
            <a:cs typeface="+mn-cs"/>
          </a:endParaRPr>
        </a:p>
        <a:p>
          <a:pPr marL="0" marR="0" indent="0" defTabSz="914400" rtl="0" eaLnBrk="1" fontAlgn="base" latinLnBrk="0" hangingPunct="1">
            <a:lnSpc>
              <a:spcPts val="1100"/>
            </a:lnSpc>
            <a:spcBef>
              <a:spcPts val="0"/>
            </a:spcBef>
            <a:spcAft>
              <a:spcPts val="0"/>
            </a:spcAft>
            <a:buClrTx/>
            <a:buSzTx/>
            <a:buFontTx/>
            <a:buNone/>
            <a:tabLst/>
            <a:defRPr/>
          </a:pPr>
          <a:r>
            <a:rPr lang="ja-JP" altLang="ja-JP" sz="1100" b="0" i="0" baseline="0">
              <a:latin typeface="+mn-lt"/>
              <a:ea typeface="+mn-ea"/>
              <a:cs typeface="+mn-cs"/>
            </a:rPr>
            <a:t>　　　　　　</a:t>
          </a:r>
          <a:endParaRPr lang="ja-JP" altLang="en-US" sz="1100" b="0" i="0" u="none" strike="noStrike" baseline="0">
            <a:solidFill>
              <a:srgbClr val="000000"/>
            </a:solidFill>
            <a:latin typeface="+mj-ea"/>
            <a:ea typeface="+mj-ea"/>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15</xdr:row>
          <xdr:rowOff>63500</xdr:rowOff>
        </xdr:from>
        <xdr:to>
          <xdr:col>2</xdr:col>
          <xdr:colOff>285750</xdr:colOff>
          <xdr:row>17</xdr:row>
          <xdr:rowOff>101600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2D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5</xdr:row>
          <xdr:rowOff>101600</xdr:rowOff>
        </xdr:from>
        <xdr:to>
          <xdr:col>3</xdr:col>
          <xdr:colOff>603250</xdr:colOff>
          <xdr:row>6</xdr:row>
          <xdr:rowOff>158750</xdr:rowOff>
        </xdr:to>
        <xdr:sp macro="" textlink="">
          <xdr:nvSpPr>
            <xdr:cNvPr id="2050" name="ISheet" hidden="1">
              <a:extLst>
                <a:ext uri="{63B3BB69-23CF-44E3-9099-C40C66FF867C}">
                  <a14:compatExt spid="_x0000_s2050"/>
                </a:ext>
                <a:ext uri="{FF2B5EF4-FFF2-40B4-BE49-F238E27FC236}">
                  <a16:creationId xmlns:a16="http://schemas.microsoft.com/office/drawing/2014/main" id="{00000000-0008-0000-2D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508000</xdr:colOff>
          <xdr:row>7</xdr:row>
          <xdr:rowOff>88900</xdr:rowOff>
        </xdr:from>
        <xdr:to>
          <xdr:col>7</xdr:col>
          <xdr:colOff>146050</xdr:colOff>
          <xdr:row>9</xdr:row>
          <xdr:rowOff>6350</xdr:rowOff>
        </xdr:to>
        <xdr:sp macro="" textlink="">
          <xdr:nvSpPr>
            <xdr:cNvPr id="2051" name="OPath" hidden="1">
              <a:extLst>
                <a:ext uri="{63B3BB69-23CF-44E3-9099-C40C66FF867C}">
                  <a14:compatExt spid="_x0000_s2051"/>
                </a:ext>
                <a:ext uri="{FF2B5EF4-FFF2-40B4-BE49-F238E27FC236}">
                  <a16:creationId xmlns:a16="http://schemas.microsoft.com/office/drawing/2014/main" id="{00000000-0008-0000-2D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133350</xdr:rowOff>
        </xdr:from>
        <xdr:to>
          <xdr:col>2</xdr:col>
          <xdr:colOff>285750</xdr:colOff>
          <xdr:row>6</xdr:row>
          <xdr:rowOff>127000</xdr:rowOff>
        </xdr:to>
        <xdr:sp macro="" textlink="">
          <xdr:nvSpPr>
            <xdr:cNvPr id="2052" name="Label1" hidden="1">
              <a:extLst>
                <a:ext uri="{63B3BB69-23CF-44E3-9099-C40C66FF867C}">
                  <a14:compatExt spid="_x0000_s2052"/>
                </a:ext>
                <a:ext uri="{FF2B5EF4-FFF2-40B4-BE49-F238E27FC236}">
                  <a16:creationId xmlns:a16="http://schemas.microsoft.com/office/drawing/2014/main" id="{00000000-0008-0000-2D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7</xdr:row>
          <xdr:rowOff>127000</xdr:rowOff>
        </xdr:from>
        <xdr:to>
          <xdr:col>2</xdr:col>
          <xdr:colOff>450850</xdr:colOff>
          <xdr:row>8</xdr:row>
          <xdr:rowOff>120650</xdr:rowOff>
        </xdr:to>
        <xdr:sp macro="" textlink="">
          <xdr:nvSpPr>
            <xdr:cNvPr id="2053" name="Label2" hidden="1">
              <a:extLst>
                <a:ext uri="{63B3BB69-23CF-44E3-9099-C40C66FF867C}">
                  <a14:compatExt spid="_x0000_s2053"/>
                </a:ext>
                <a:ext uri="{FF2B5EF4-FFF2-40B4-BE49-F238E27FC236}">
                  <a16:creationId xmlns:a16="http://schemas.microsoft.com/office/drawing/2014/main" id="{00000000-0008-0000-2D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425450</xdr:colOff>
          <xdr:row>15</xdr:row>
          <xdr:rowOff>63500</xdr:rowOff>
        </xdr:from>
        <xdr:to>
          <xdr:col>4</xdr:col>
          <xdr:colOff>63500</xdr:colOff>
          <xdr:row>17</xdr:row>
          <xdr:rowOff>107950</xdr:rowOff>
        </xdr:to>
        <xdr:sp macro="" textlink="">
          <xdr:nvSpPr>
            <xdr:cNvPr id="2054" name="CommandButton2" hidden="1">
              <a:extLst>
                <a:ext uri="{63B3BB69-23CF-44E3-9099-C40C66FF867C}">
                  <a14:compatExt spid="_x0000_s2054"/>
                </a:ext>
                <a:ext uri="{FF2B5EF4-FFF2-40B4-BE49-F238E27FC236}">
                  <a16:creationId xmlns:a16="http://schemas.microsoft.com/office/drawing/2014/main" id="{00000000-0008-0000-2D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12</xdr:row>
          <xdr:rowOff>101600</xdr:rowOff>
        </xdr:from>
        <xdr:to>
          <xdr:col>2</xdr:col>
          <xdr:colOff>514350</xdr:colOff>
          <xdr:row>13</xdr:row>
          <xdr:rowOff>127000</xdr:rowOff>
        </xdr:to>
        <xdr:sp macro="" textlink="">
          <xdr:nvSpPr>
            <xdr:cNvPr id="2055" name="Label3" hidden="1">
              <a:extLst>
                <a:ext uri="{63B3BB69-23CF-44E3-9099-C40C66FF867C}">
                  <a14:compatExt spid="_x0000_s2055"/>
                </a:ext>
                <a:ext uri="{FF2B5EF4-FFF2-40B4-BE49-F238E27FC236}">
                  <a16:creationId xmlns:a16="http://schemas.microsoft.com/office/drawing/2014/main" id="{00000000-0008-0000-2D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450850</xdr:colOff>
          <xdr:row>12</xdr:row>
          <xdr:rowOff>101600</xdr:rowOff>
        </xdr:from>
        <xdr:to>
          <xdr:col>11</xdr:col>
          <xdr:colOff>241300</xdr:colOff>
          <xdr:row>14</xdr:row>
          <xdr:rowOff>12700</xdr:rowOff>
        </xdr:to>
        <xdr:sp macro="" textlink="">
          <xdr:nvSpPr>
            <xdr:cNvPr id="2056" name="OStream" hidden="1">
              <a:extLst>
                <a:ext uri="{63B3BB69-23CF-44E3-9099-C40C66FF867C}">
                  <a14:compatExt spid="_x0000_s2056"/>
                </a:ext>
                <a:ext uri="{FF2B5EF4-FFF2-40B4-BE49-F238E27FC236}">
                  <a16:creationId xmlns:a16="http://schemas.microsoft.com/office/drawing/2014/main" id="{00000000-0008-0000-2D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641350</xdr:colOff>
          <xdr:row>5</xdr:row>
          <xdr:rowOff>120650</xdr:rowOff>
        </xdr:from>
        <xdr:to>
          <xdr:col>4</xdr:col>
          <xdr:colOff>546100</xdr:colOff>
          <xdr:row>6</xdr:row>
          <xdr:rowOff>158750</xdr:rowOff>
        </xdr:to>
        <xdr:sp macro="" textlink="">
          <xdr:nvSpPr>
            <xdr:cNvPr id="2058" name="Label4" hidden="1">
              <a:extLst>
                <a:ext uri="{63B3BB69-23CF-44E3-9099-C40C66FF867C}">
                  <a14:compatExt spid="_x0000_s2058"/>
                </a:ext>
                <a:ext uri="{FF2B5EF4-FFF2-40B4-BE49-F238E27FC236}">
                  <a16:creationId xmlns:a16="http://schemas.microsoft.com/office/drawing/2014/main" id="{00000000-0008-0000-2D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5</xdr:row>
          <xdr:rowOff>101600</xdr:rowOff>
        </xdr:from>
        <xdr:to>
          <xdr:col>5</xdr:col>
          <xdr:colOff>476250</xdr:colOff>
          <xdr:row>6</xdr:row>
          <xdr:rowOff>152400</xdr:rowOff>
        </xdr:to>
        <xdr:sp macro="" textlink="">
          <xdr:nvSpPr>
            <xdr:cNvPr id="2059" name="CaseNo" hidden="1">
              <a:extLst>
                <a:ext uri="{63B3BB69-23CF-44E3-9099-C40C66FF867C}">
                  <a14:compatExt spid="_x0000_s2059"/>
                </a:ext>
                <a:ext uri="{FF2B5EF4-FFF2-40B4-BE49-F238E27FC236}">
                  <a16:creationId xmlns:a16="http://schemas.microsoft.com/office/drawing/2014/main" id="{00000000-0008-0000-2D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9</xdr:row>
          <xdr:rowOff>50800</xdr:rowOff>
        </xdr:from>
        <xdr:to>
          <xdr:col>2</xdr:col>
          <xdr:colOff>546100</xdr:colOff>
          <xdr:row>10</xdr:row>
          <xdr:rowOff>88900</xdr:rowOff>
        </xdr:to>
        <xdr:sp macro="" textlink="">
          <xdr:nvSpPr>
            <xdr:cNvPr id="2062" name="Label6" hidden="1">
              <a:extLst>
                <a:ext uri="{63B3BB69-23CF-44E3-9099-C40C66FF867C}">
                  <a14:compatExt spid="_x0000_s2062"/>
                </a:ext>
                <a:ext uri="{FF2B5EF4-FFF2-40B4-BE49-F238E27FC236}">
                  <a16:creationId xmlns:a16="http://schemas.microsoft.com/office/drawing/2014/main" id="{00000000-0008-0000-2D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508000</xdr:colOff>
          <xdr:row>9</xdr:row>
          <xdr:rowOff>44450</xdr:rowOff>
        </xdr:from>
        <xdr:to>
          <xdr:col>9</xdr:col>
          <xdr:colOff>107950</xdr:colOff>
          <xdr:row>10</xdr:row>
          <xdr:rowOff>88900</xdr:rowOff>
        </xdr:to>
        <xdr:sp macro="" textlink="">
          <xdr:nvSpPr>
            <xdr:cNvPr id="2063" name="IFile" hidden="1">
              <a:extLst>
                <a:ext uri="{63B3BB69-23CF-44E3-9099-C40C66FF867C}">
                  <a14:compatExt spid="_x0000_s2063"/>
                </a:ext>
                <a:ext uri="{FF2B5EF4-FFF2-40B4-BE49-F238E27FC236}">
                  <a16:creationId xmlns:a16="http://schemas.microsoft.com/office/drawing/2014/main" id="{00000000-0008-0000-2D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444500</xdr:colOff>
          <xdr:row>5</xdr:row>
          <xdr:rowOff>107950</xdr:rowOff>
        </xdr:from>
        <xdr:to>
          <xdr:col>10</xdr:col>
          <xdr:colOff>82550</xdr:colOff>
          <xdr:row>6</xdr:row>
          <xdr:rowOff>107950</xdr:rowOff>
        </xdr:to>
        <xdr:sp macro="" textlink="">
          <xdr:nvSpPr>
            <xdr:cNvPr id="2064" name="Label7" hidden="1">
              <a:extLst>
                <a:ext uri="{63B3BB69-23CF-44E3-9099-C40C66FF867C}">
                  <a14:compatExt spid="_x0000_s2064"/>
                </a:ext>
                <a:ext uri="{FF2B5EF4-FFF2-40B4-BE49-F238E27FC236}">
                  <a16:creationId xmlns:a16="http://schemas.microsoft.com/office/drawing/2014/main" id="{00000000-0008-0000-2D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5</xdr:row>
          <xdr:rowOff>82550</xdr:rowOff>
        </xdr:from>
        <xdr:to>
          <xdr:col>10</xdr:col>
          <xdr:colOff>622300</xdr:colOff>
          <xdr:row>6</xdr:row>
          <xdr:rowOff>146050</xdr:rowOff>
        </xdr:to>
        <xdr:sp macro="" textlink="">
          <xdr:nvSpPr>
            <xdr:cNvPr id="2065" name="caseCol" hidden="1">
              <a:extLst>
                <a:ext uri="{63B3BB69-23CF-44E3-9099-C40C66FF867C}">
                  <a14:compatExt spid="_x0000_s2065"/>
                </a:ext>
                <a:ext uri="{FF2B5EF4-FFF2-40B4-BE49-F238E27FC236}">
                  <a16:creationId xmlns:a16="http://schemas.microsoft.com/office/drawing/2014/main" id="{00000000-0008-0000-2D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88900</xdr:colOff>
          <xdr:row>15</xdr:row>
          <xdr:rowOff>69850</xdr:rowOff>
        </xdr:from>
        <xdr:to>
          <xdr:col>5</xdr:col>
          <xdr:colOff>298450</xdr:colOff>
          <xdr:row>17</xdr:row>
          <xdr:rowOff>69850</xdr:rowOff>
        </xdr:to>
        <xdr:sp macro="" textlink="">
          <xdr:nvSpPr>
            <xdr:cNvPr id="2067" name="CommandButton4" hidden="1">
              <a:extLst>
                <a:ext uri="{63B3BB69-23CF-44E3-9099-C40C66FF867C}">
                  <a14:compatExt spid="_x0000_s2067"/>
                </a:ext>
                <a:ext uri="{FF2B5EF4-FFF2-40B4-BE49-F238E27FC236}">
                  <a16:creationId xmlns:a16="http://schemas.microsoft.com/office/drawing/2014/main" id="{00000000-0008-0000-2D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476250</xdr:colOff>
          <xdr:row>17</xdr:row>
          <xdr:rowOff>133350</xdr:rowOff>
        </xdr:from>
        <xdr:to>
          <xdr:col>11</xdr:col>
          <xdr:colOff>146050</xdr:colOff>
          <xdr:row>19</xdr:row>
          <xdr:rowOff>114300</xdr:rowOff>
        </xdr:to>
        <xdr:sp macro="" textlink="">
          <xdr:nvSpPr>
            <xdr:cNvPr id="2068" name="CommandButton3" hidden="1">
              <a:extLst>
                <a:ext uri="{63B3BB69-23CF-44E3-9099-C40C66FF867C}">
                  <a14:compatExt spid="_x0000_s2068"/>
                </a:ext>
                <a:ext uri="{FF2B5EF4-FFF2-40B4-BE49-F238E27FC236}">
                  <a16:creationId xmlns:a16="http://schemas.microsoft.com/office/drawing/2014/main" id="{00000000-0008-0000-2D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469900</xdr:colOff>
          <xdr:row>15</xdr:row>
          <xdr:rowOff>69850</xdr:rowOff>
        </xdr:from>
        <xdr:to>
          <xdr:col>11</xdr:col>
          <xdr:colOff>38100</xdr:colOff>
          <xdr:row>17</xdr:row>
          <xdr:rowOff>50800</xdr:rowOff>
        </xdr:to>
        <xdr:sp macro="" textlink="">
          <xdr:nvSpPr>
            <xdr:cNvPr id="2069" name="CommandButton5" hidden="1">
              <a:extLst>
                <a:ext uri="{63B3BB69-23CF-44E3-9099-C40C66FF867C}">
                  <a14:compatExt spid="_x0000_s2069"/>
                </a:ext>
                <a:ext uri="{FF2B5EF4-FFF2-40B4-BE49-F238E27FC236}">
                  <a16:creationId xmlns:a16="http://schemas.microsoft.com/office/drawing/2014/main" id="{00000000-0008-0000-2D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82550</xdr:rowOff>
        </xdr:from>
        <xdr:to>
          <xdr:col>8</xdr:col>
          <xdr:colOff>260350</xdr:colOff>
          <xdr:row>17</xdr:row>
          <xdr:rowOff>63500</xdr:rowOff>
        </xdr:to>
        <xdr:sp macro="" textlink="">
          <xdr:nvSpPr>
            <xdr:cNvPr id="2484" name="CommandButton6" hidden="1">
              <a:extLst>
                <a:ext uri="{63B3BB69-23CF-44E3-9099-C40C66FF867C}">
                  <a14:compatExt spid="_x0000_s2484"/>
                </a:ext>
                <a:ext uri="{FF2B5EF4-FFF2-40B4-BE49-F238E27FC236}">
                  <a16:creationId xmlns:a16="http://schemas.microsoft.com/office/drawing/2014/main" id="{00000000-0008-0000-2D00-0000B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508000</xdr:colOff>
          <xdr:row>17</xdr:row>
          <xdr:rowOff>107950</xdr:rowOff>
        </xdr:from>
        <xdr:to>
          <xdr:col>8</xdr:col>
          <xdr:colOff>317500</xdr:colOff>
          <xdr:row>19</xdr:row>
          <xdr:rowOff>88900</xdr:rowOff>
        </xdr:to>
        <xdr:sp macro="" textlink="">
          <xdr:nvSpPr>
            <xdr:cNvPr id="2485" name="CommandButton7" hidden="1">
              <a:extLst>
                <a:ext uri="{63B3BB69-23CF-44E3-9099-C40C66FF867C}">
                  <a14:compatExt spid="_x0000_s2485"/>
                </a:ext>
                <a:ext uri="{FF2B5EF4-FFF2-40B4-BE49-F238E27FC236}">
                  <a16:creationId xmlns:a16="http://schemas.microsoft.com/office/drawing/2014/main" id="{00000000-0008-0000-2D00-0000B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412750</xdr:colOff>
          <xdr:row>18</xdr:row>
          <xdr:rowOff>12700</xdr:rowOff>
        </xdr:from>
        <xdr:to>
          <xdr:col>4</xdr:col>
          <xdr:colOff>368300</xdr:colOff>
          <xdr:row>20</xdr:row>
          <xdr:rowOff>57150</xdr:rowOff>
        </xdr:to>
        <xdr:sp macro="" textlink="">
          <xdr:nvSpPr>
            <xdr:cNvPr id="2486" name="CommandButton8" hidden="1">
              <a:extLst>
                <a:ext uri="{63B3BB69-23CF-44E3-9099-C40C66FF867C}">
                  <a14:compatExt spid="_x0000_s2486"/>
                </a:ext>
                <a:ext uri="{FF2B5EF4-FFF2-40B4-BE49-F238E27FC236}">
                  <a16:creationId xmlns:a16="http://schemas.microsoft.com/office/drawing/2014/main" id="{00000000-0008-0000-2D00-0000B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153760</xdr:colOff>
      <xdr:row>0</xdr:row>
      <xdr:rowOff>49666</xdr:rowOff>
    </xdr:from>
    <xdr:ext cx="4347216" cy="726294"/>
    <xdr:sp macro="" textlink="">
      <xdr:nvSpPr>
        <xdr:cNvPr id="2" name="テキスト ボックス 1">
          <a:extLst>
            <a:ext uri="{FF2B5EF4-FFF2-40B4-BE49-F238E27FC236}">
              <a16:creationId xmlns:a16="http://schemas.microsoft.com/office/drawing/2014/main" id="{00000000-0008-0000-2E00-000002000000}"/>
            </a:ext>
          </a:extLst>
        </xdr:cNvPr>
        <xdr:cNvSpPr txBox="1"/>
      </xdr:nvSpPr>
      <xdr:spPr>
        <a:xfrm>
          <a:off x="17841685"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41</xdr:col>
      <xdr:colOff>153760</xdr:colOff>
      <xdr:row>0</xdr:row>
      <xdr:rowOff>49666</xdr:rowOff>
    </xdr:from>
    <xdr:ext cx="4347216" cy="726294"/>
    <xdr:sp macro="" textlink="">
      <xdr:nvSpPr>
        <xdr:cNvPr id="3" name="テキスト ボックス 2">
          <a:extLst>
            <a:ext uri="{FF2B5EF4-FFF2-40B4-BE49-F238E27FC236}">
              <a16:creationId xmlns:a16="http://schemas.microsoft.com/office/drawing/2014/main" id="{00000000-0008-0000-2E00-000003000000}"/>
            </a:ext>
          </a:extLst>
        </xdr:cNvPr>
        <xdr:cNvSpPr txBox="1"/>
      </xdr:nvSpPr>
      <xdr:spPr>
        <a:xfrm>
          <a:off x="14484403"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53</xdr:col>
      <xdr:colOff>153760</xdr:colOff>
      <xdr:row>0</xdr:row>
      <xdr:rowOff>49666</xdr:rowOff>
    </xdr:from>
    <xdr:ext cx="4347216" cy="726294"/>
    <xdr:sp macro="" textlink="">
      <xdr:nvSpPr>
        <xdr:cNvPr id="4" name="テキスト ボックス 3">
          <a:extLst>
            <a:ext uri="{FF2B5EF4-FFF2-40B4-BE49-F238E27FC236}">
              <a16:creationId xmlns:a16="http://schemas.microsoft.com/office/drawing/2014/main" id="{00000000-0008-0000-2E00-000004000000}"/>
            </a:ext>
          </a:extLst>
        </xdr:cNvPr>
        <xdr:cNvSpPr txBox="1"/>
      </xdr:nvSpPr>
      <xdr:spPr>
        <a:xfrm>
          <a:off x="24805020"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65</xdr:col>
      <xdr:colOff>153760</xdr:colOff>
      <xdr:row>0</xdr:row>
      <xdr:rowOff>49666</xdr:rowOff>
    </xdr:from>
    <xdr:ext cx="4347216" cy="726294"/>
    <xdr:sp macro="" textlink="">
      <xdr:nvSpPr>
        <xdr:cNvPr id="5" name="テキスト ボックス 4">
          <a:extLst>
            <a:ext uri="{FF2B5EF4-FFF2-40B4-BE49-F238E27FC236}">
              <a16:creationId xmlns:a16="http://schemas.microsoft.com/office/drawing/2014/main" id="{00000000-0008-0000-2E00-000005000000}"/>
            </a:ext>
          </a:extLst>
        </xdr:cNvPr>
        <xdr:cNvSpPr txBox="1"/>
      </xdr:nvSpPr>
      <xdr:spPr>
        <a:xfrm>
          <a:off x="35125638"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77</xdr:col>
      <xdr:colOff>153760</xdr:colOff>
      <xdr:row>0</xdr:row>
      <xdr:rowOff>49666</xdr:rowOff>
    </xdr:from>
    <xdr:ext cx="4347216" cy="726294"/>
    <xdr:sp macro="" textlink="">
      <xdr:nvSpPr>
        <xdr:cNvPr id="6" name="テキスト ボックス 5">
          <a:extLst>
            <a:ext uri="{FF2B5EF4-FFF2-40B4-BE49-F238E27FC236}">
              <a16:creationId xmlns:a16="http://schemas.microsoft.com/office/drawing/2014/main" id="{00000000-0008-0000-2E00-000006000000}"/>
            </a:ext>
          </a:extLst>
        </xdr:cNvPr>
        <xdr:cNvSpPr txBox="1"/>
      </xdr:nvSpPr>
      <xdr:spPr>
        <a:xfrm>
          <a:off x="45446256"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89</xdr:col>
      <xdr:colOff>153760</xdr:colOff>
      <xdr:row>0</xdr:row>
      <xdr:rowOff>49666</xdr:rowOff>
    </xdr:from>
    <xdr:ext cx="4347216" cy="726294"/>
    <xdr:sp macro="" textlink="">
      <xdr:nvSpPr>
        <xdr:cNvPr id="7" name="テキスト ボックス 6">
          <a:extLst>
            <a:ext uri="{FF2B5EF4-FFF2-40B4-BE49-F238E27FC236}">
              <a16:creationId xmlns:a16="http://schemas.microsoft.com/office/drawing/2014/main" id="{00000000-0008-0000-2E00-000007000000}"/>
            </a:ext>
          </a:extLst>
        </xdr:cNvPr>
        <xdr:cNvSpPr txBox="1"/>
      </xdr:nvSpPr>
      <xdr:spPr>
        <a:xfrm>
          <a:off x="55766873"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101</xdr:col>
      <xdr:colOff>153760</xdr:colOff>
      <xdr:row>0</xdr:row>
      <xdr:rowOff>49666</xdr:rowOff>
    </xdr:from>
    <xdr:ext cx="4347216" cy="726294"/>
    <xdr:sp macro="" textlink="">
      <xdr:nvSpPr>
        <xdr:cNvPr id="8" name="テキスト ボックス 7">
          <a:extLst>
            <a:ext uri="{FF2B5EF4-FFF2-40B4-BE49-F238E27FC236}">
              <a16:creationId xmlns:a16="http://schemas.microsoft.com/office/drawing/2014/main" id="{00000000-0008-0000-2E00-000008000000}"/>
            </a:ext>
          </a:extLst>
        </xdr:cNvPr>
        <xdr:cNvSpPr txBox="1"/>
      </xdr:nvSpPr>
      <xdr:spPr>
        <a:xfrm>
          <a:off x="66087491"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113</xdr:col>
      <xdr:colOff>153760</xdr:colOff>
      <xdr:row>0</xdr:row>
      <xdr:rowOff>49666</xdr:rowOff>
    </xdr:from>
    <xdr:ext cx="4347216" cy="726294"/>
    <xdr:sp macro="" textlink="">
      <xdr:nvSpPr>
        <xdr:cNvPr id="9" name="テキスト ボックス 8">
          <a:extLst>
            <a:ext uri="{FF2B5EF4-FFF2-40B4-BE49-F238E27FC236}">
              <a16:creationId xmlns:a16="http://schemas.microsoft.com/office/drawing/2014/main" id="{00000000-0008-0000-2E00-000009000000}"/>
            </a:ext>
          </a:extLst>
        </xdr:cNvPr>
        <xdr:cNvSpPr txBox="1"/>
      </xdr:nvSpPr>
      <xdr:spPr>
        <a:xfrm>
          <a:off x="76408109"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125</xdr:col>
      <xdr:colOff>153760</xdr:colOff>
      <xdr:row>0</xdr:row>
      <xdr:rowOff>49666</xdr:rowOff>
    </xdr:from>
    <xdr:ext cx="4347216" cy="726294"/>
    <xdr:sp macro="" textlink="">
      <xdr:nvSpPr>
        <xdr:cNvPr id="10" name="テキスト ボックス 9">
          <a:extLst>
            <a:ext uri="{FF2B5EF4-FFF2-40B4-BE49-F238E27FC236}">
              <a16:creationId xmlns:a16="http://schemas.microsoft.com/office/drawing/2014/main" id="{00000000-0008-0000-2E00-00000A000000}"/>
            </a:ext>
          </a:extLst>
        </xdr:cNvPr>
        <xdr:cNvSpPr txBox="1"/>
      </xdr:nvSpPr>
      <xdr:spPr>
        <a:xfrm>
          <a:off x="86728726"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137</xdr:col>
      <xdr:colOff>153760</xdr:colOff>
      <xdr:row>0</xdr:row>
      <xdr:rowOff>49666</xdr:rowOff>
    </xdr:from>
    <xdr:ext cx="4347216" cy="726294"/>
    <xdr:sp macro="" textlink="">
      <xdr:nvSpPr>
        <xdr:cNvPr id="11" name="テキスト ボックス 10">
          <a:extLst>
            <a:ext uri="{FF2B5EF4-FFF2-40B4-BE49-F238E27FC236}">
              <a16:creationId xmlns:a16="http://schemas.microsoft.com/office/drawing/2014/main" id="{00000000-0008-0000-2E00-00000B000000}"/>
            </a:ext>
          </a:extLst>
        </xdr:cNvPr>
        <xdr:cNvSpPr txBox="1"/>
      </xdr:nvSpPr>
      <xdr:spPr>
        <a:xfrm>
          <a:off x="97049344"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149</xdr:col>
      <xdr:colOff>153760</xdr:colOff>
      <xdr:row>0</xdr:row>
      <xdr:rowOff>49666</xdr:rowOff>
    </xdr:from>
    <xdr:ext cx="4347216" cy="726294"/>
    <xdr:sp macro="" textlink="">
      <xdr:nvSpPr>
        <xdr:cNvPr id="12" name="テキスト ボックス 11">
          <a:extLst>
            <a:ext uri="{FF2B5EF4-FFF2-40B4-BE49-F238E27FC236}">
              <a16:creationId xmlns:a16="http://schemas.microsoft.com/office/drawing/2014/main" id="{00000000-0008-0000-2E00-00000C000000}"/>
            </a:ext>
          </a:extLst>
        </xdr:cNvPr>
        <xdr:cNvSpPr txBox="1"/>
      </xdr:nvSpPr>
      <xdr:spPr>
        <a:xfrm>
          <a:off x="107369961"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161</xdr:col>
      <xdr:colOff>153760</xdr:colOff>
      <xdr:row>0</xdr:row>
      <xdr:rowOff>49666</xdr:rowOff>
    </xdr:from>
    <xdr:ext cx="4347216" cy="726294"/>
    <xdr:sp macro="" textlink="">
      <xdr:nvSpPr>
        <xdr:cNvPr id="13" name="テキスト ボックス 12">
          <a:extLst>
            <a:ext uri="{FF2B5EF4-FFF2-40B4-BE49-F238E27FC236}">
              <a16:creationId xmlns:a16="http://schemas.microsoft.com/office/drawing/2014/main" id="{00000000-0008-0000-2E00-00000D000000}"/>
            </a:ext>
          </a:extLst>
        </xdr:cNvPr>
        <xdr:cNvSpPr txBox="1"/>
      </xdr:nvSpPr>
      <xdr:spPr>
        <a:xfrm>
          <a:off x="117690579"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173</xdr:col>
      <xdr:colOff>153760</xdr:colOff>
      <xdr:row>0</xdr:row>
      <xdr:rowOff>49666</xdr:rowOff>
    </xdr:from>
    <xdr:ext cx="4347216" cy="726294"/>
    <xdr:sp macro="" textlink="">
      <xdr:nvSpPr>
        <xdr:cNvPr id="14" name="テキスト ボックス 13">
          <a:extLst>
            <a:ext uri="{FF2B5EF4-FFF2-40B4-BE49-F238E27FC236}">
              <a16:creationId xmlns:a16="http://schemas.microsoft.com/office/drawing/2014/main" id="{00000000-0008-0000-2E00-00000E000000}"/>
            </a:ext>
          </a:extLst>
        </xdr:cNvPr>
        <xdr:cNvSpPr txBox="1"/>
      </xdr:nvSpPr>
      <xdr:spPr>
        <a:xfrm>
          <a:off x="128011197"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oneCellAnchor>
    <xdr:from>
      <xdr:col>185</xdr:col>
      <xdr:colOff>153760</xdr:colOff>
      <xdr:row>0</xdr:row>
      <xdr:rowOff>49666</xdr:rowOff>
    </xdr:from>
    <xdr:ext cx="4347216" cy="726294"/>
    <xdr:sp macro="" textlink="">
      <xdr:nvSpPr>
        <xdr:cNvPr id="15" name="テキスト ボックス 14">
          <a:extLst>
            <a:ext uri="{FF2B5EF4-FFF2-40B4-BE49-F238E27FC236}">
              <a16:creationId xmlns:a16="http://schemas.microsoft.com/office/drawing/2014/main" id="{00000000-0008-0000-2E00-00000F000000}"/>
            </a:ext>
          </a:extLst>
        </xdr:cNvPr>
        <xdr:cNvSpPr txBox="1"/>
      </xdr:nvSpPr>
      <xdr:spPr>
        <a:xfrm>
          <a:off x="138331814" y="54429"/>
          <a:ext cx="4347216" cy="72117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none" rtlCol="0" anchor="t">
          <a:noAutofit/>
        </a:bodyPr>
        <a:lstStyle/>
        <a:p>
          <a:r>
            <a:rPr kumimoji="1" lang="en-US" altLang="ja-JP" sz="1100" b="1">
              <a:solidFill>
                <a:srgbClr val="FF0000"/>
              </a:solidFill>
            </a:rPr>
            <a:t>※</a:t>
          </a:r>
          <a:r>
            <a:rPr kumimoji="1" lang="ja-JP" altLang="en-US" sz="1100" b="1">
              <a:solidFill>
                <a:srgbClr val="FF0000"/>
              </a:solidFill>
            </a:rPr>
            <a:t>ほぼこのシートに値を記入すれば、その他のシートに反映されます。</a:t>
          </a:r>
          <a:endParaRPr kumimoji="1" lang="en-US" altLang="ja-JP" sz="1100" b="1">
            <a:solidFill>
              <a:srgbClr val="FF0000"/>
            </a:solidFill>
          </a:endParaRPr>
        </a:p>
        <a:p>
          <a:r>
            <a:rPr kumimoji="1" lang="ja-JP" altLang="en-US" sz="1100" b="1">
              <a:solidFill>
                <a:srgbClr val="FF0000"/>
              </a:solidFill>
            </a:rPr>
            <a:t>　（ただしオレンジ色のセルはテスト時に入力が必要）</a:t>
          </a:r>
          <a:endParaRPr kumimoji="1" lang="en-US" altLang="ja-JP" sz="1100" b="1">
            <a:solidFill>
              <a:srgbClr val="FF0000"/>
            </a:solidFill>
          </a:endParaRPr>
        </a:p>
        <a:p>
          <a:r>
            <a:rPr kumimoji="1" lang="en-US" altLang="ja-JP" sz="1100" b="1">
              <a:solidFill>
                <a:srgbClr val="FF0000"/>
              </a:solidFill>
            </a:rPr>
            <a:t>※</a:t>
          </a:r>
          <a:r>
            <a:rPr kumimoji="1" lang="ja-JP" altLang="en-US" sz="1100" b="1">
              <a:solidFill>
                <a:srgbClr val="FF0000"/>
              </a:solidFill>
            </a:rPr>
            <a:t>外部連動試験の場合はアプリログから</a:t>
          </a:r>
          <a:r>
            <a:rPr kumimoji="1" lang="en-US" altLang="ja-JP" sz="1100" b="1">
              <a:solidFill>
                <a:srgbClr val="FF0000"/>
              </a:solidFill>
            </a:rPr>
            <a:t>input</a:t>
          </a:r>
          <a:r>
            <a:rPr kumimoji="1" lang="ja-JP" altLang="en-US" sz="1100" b="1">
              <a:solidFill>
                <a:srgbClr val="FF0000"/>
              </a:solidFill>
            </a:rPr>
            <a:t>を読み込んで下さい。</a:t>
          </a:r>
          <a:endParaRPr kumimoji="1" lang="en-US" altLang="ja-JP" sz="1100" b="1">
            <a:solidFill>
              <a:srgbClr val="FF0000"/>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ujitsu1\&#20844;&#38283;\&#65288;&#21830;&#29992;&#26412;&#30058;&#65289;&#32113;&#21512;&#65295;&#35336;&#19978;&#22522;&#28310;&#65402;&#65392;&#65412;&#65438;&#65423;&#65405;&#65408;\&#12381;&#12398;&#20182;&#12467;&#12540;&#12489;&#12510;&#12473;&#12479;\&#12469;&#12540;&#12499;&#12473;&#12467;&#12540;&#12489;&#12486;&#12540;&#12502;&#1252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wsstn01\ekiden\home\&#38283;&#30330;&#12481;&#12540;&#12512;\&#12463;&#12521;&#12473;&#12521;&#12452;&#12502;&#12521;&#12522;&#25913;&#21892;\UO&#35519;&#26619;&#36039;&#26009;\970227.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Js7301\users2\23&#65394;&#65437;&#65412;&#65431;&#38283;&#30330;G\42&#28040;&#32791;&#65317;&#65316;&#65321;\1&#27425;&#38283;&#30330;\&#65411;&#65392;&#65420;&#65438;&#65433;&#23450;&#32681;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s7301\users2\Temp\oracle\&#65411;&#65392;&#65420;&#65438;&#65433;~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254.250\kddi\TOHO\&#65326;&#65317;&#65315;&#25552;&#20379;&#26360;&#39006;\0623from&#22338;&#26525;\&#20181;&#27096;&#26360;&#12501;&#12457;&#12540;&#12510;&#12483;&#12488;\&#30011;&#38754;&#20837;&#21147;&#20516;&#12481;&#12455;&#12483;&#12463;&#20181;&#27096;.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tcom\KRIS\DOCUME~1\TETSUYA\LOCALS~1\Temp\~WmMIME\TempMIME\MIME0349.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io2\drsum_&#20849;&#36890;\Documents%20and%20Settings\ns004618\&#12487;&#12473;&#12463;&#12488;&#12483;&#12503;\&#12521;&#12531;&#12463;&#30331;&#37682;&#30011;&#38754;_rinku.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Air-server03\bbc\GOTOH\DOC\CTC&#25991;&#26360;\&#27861;&#20154;&#31532;&#19968;\0409&#38283;&#30330;&#12521;&#12452;&#12531;\00%20&#27861;&#20154;&#12469;&#12540;&#12496;\C-ERD\3-&#29289;&#29702;ERD\&#27861;&#20154;&#22865;&#32004;ERD\0306&#22865;&#32004;&#36861;&#21152;&#12458;&#12502;&#12472;&#12455;&#12463;&#12488;(AW0414)\0306&#22865;&#32004;&#12288;&#32113;&#21512;&#36861;&#21152;&#12458;&#12502;&#12472;&#12455;&#12463;&#12488;(AW041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sviidabashi13\iid13-702\Psn\&#26481;&#24029;\&#12362;&#20181;&#20107;\&#65334;&#65299;&#65298;\&#65315;&#65330;&#65318;&#38651;&#25991;&#31532;&#65297;&#65296;&#29256;.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quare5\Project\Documents%20and%20Settings\&#27211;&#20117;&#20449;&#27835;\&#12487;&#12473;&#12463;&#12488;&#12483;&#12503;\&#20849;&#26377;&#21475;\0000&#12288;&#31038;&#20869;&#22577;&#21578;&#65295;&#35373;&#23450;&#38306;&#36899;\&#21220;&#24608;\1.&#23567;&#21475;&#20132;&#36890;&#36027;&#20253;&#3108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MKHS002\&#12489;&#12461;&#12517;&#12513;&#12531;&#12488;\&#20840;&#20307;\&#65316;&#65314;&#20181;&#27096;&#2636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92.168.254.250\kddi\Documents%20and%20Settings\&#22338;&#26525;&#20280;&#20108;\My%20Documents\MyWork\SI&#20107;&#26989;\2004&#24180;&#24230;&#19978;&#26399;\&#65298;&#29987;&#26989;\&#20316;&#25104;&#25991;&#26360;\&#12484;&#12540;&#12523;&#38283;&#30330;\WebUI_XML\&#30011;&#38754;&#20837;&#21147;&#20516;&#12481;&#12455;&#12483;&#12463;&#20181;&#27096;(Validator).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Gpflsv02\3CS\&#21271;&#28023;&#36947;&#38651;&#21147;\&#36865;&#38651;\&#21697;&#36074;&#35413;&#20385;\ST&#21697;&#36074;&#22577;&#21578;\trb_SOUDEN9901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svcyan01\CYN01-0143\&#20225;&#30011;&#65319;\&#65403;&#65392;&#65419;&#65438;&#65405;&#20225;&#30011;T\&#26032;&#65403;&#65392;&#65419;&#65438;&#65405;\0210&#26696;&#20214;\&#35531;&#27714;&#32113;&#21512;&#12501;&#12455;&#12540;&#12474;&#65303;\01%20KRIS&#35201;&#20214;&#26908;&#35342;\&#26009;&#37329;&#31185;&#30446;&#38306;&#36899;\dabinci&#31185;&#30446;&#34920;&#20998;&#265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システム連絡先"/>
    </sheetNames>
    <sheetDataSet>
      <sheetData sheetId="0" refreshError="1">
        <row r="2">
          <cell r="EZ2" t="str">
            <v>　　　　　　　　　</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70227"/>
      <sheetName val="ﾊﾞｸﾞ台帳ﾏｰｼﾞ版（最新）"/>
      <sheetName val="画面一覧"/>
      <sheetName val="data"/>
    </sheetNames>
    <definedNames>
      <definedName name="NewBook☆"/>
      <definedName name="NewBook★"/>
      <definedName name="SortNewBook"/>
      <definedName name="SortモジュｰルID"/>
      <definedName name="Sort確認用"/>
      <definedName name="Sort完了予定"/>
      <definedName name="Sort管理No"/>
      <definedName name="項目☆"/>
      <definedName name="集計"/>
    </definedNames>
    <sheetDataSet>
      <sheetData sheetId="0" refreshError="1"/>
      <sheetData sheetId="1" refreshError="1"/>
      <sheetData sheetId="2" refreshError="1"/>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会社ﾏｽﾀ"/>
    </sheetNames>
    <sheetDataSet>
      <sheetData sheetId="0">
        <row r="8">
          <cell r="C8" t="str">
            <v>ITEM名</v>
          </cell>
          <cell r="D8" t="str">
            <v>TYPE</v>
          </cell>
          <cell r="E8" t="str">
            <v>桁</v>
          </cell>
          <cell r="F8" t="str">
            <v>KEY</v>
          </cell>
          <cell r="G8" t="str">
            <v xml:space="preserve"> NULL</v>
          </cell>
          <cell r="H8" t="str">
            <v>Index</v>
          </cell>
          <cell r="I8" t="str">
            <v>初期値</v>
          </cell>
          <cell r="J8" t="str">
            <v>CHECK</v>
          </cell>
        </row>
        <row r="9">
          <cell r="N9">
            <v>73</v>
          </cell>
        </row>
        <row r="12">
          <cell r="N12">
            <v>10</v>
          </cell>
        </row>
        <row r="13">
          <cell r="N13">
            <v>90</v>
          </cell>
        </row>
        <row r="14">
          <cell r="N14">
            <v>12</v>
          </cell>
        </row>
        <row r="15">
          <cell r="N15">
            <v>4</v>
          </cell>
        </row>
        <row r="19">
          <cell r="N19">
            <v>21</v>
          </cell>
        </row>
        <row r="21">
          <cell r="N21">
            <v>5</v>
          </cell>
        </row>
        <row r="22">
          <cell r="N22">
            <v>6</v>
          </cell>
        </row>
        <row r="23">
          <cell r="N23">
            <v>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ﾃｰﾌﾞﾙ~1"/>
    </sheetNames>
    <definedNames>
      <definedName name="CreateSQL"/>
    </defined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版履歴"/>
      <sheetName val="情報入力画面"/>
      <sheetName val="errMsg一覧"/>
      <sheetName val="選択"/>
    </sheetNames>
    <sheetDataSet>
      <sheetData sheetId="0" refreshError="1"/>
      <sheetData sheetId="1" refreshError="1"/>
      <sheetData sheetId="2" refreshError="1"/>
      <sheetData sheetId="3" refreshError="1">
        <row r="7">
          <cell r="C7" t="str">
            <v>errNameLength</v>
          </cell>
        </row>
        <row r="8">
          <cell r="C8" t="str">
            <v>errInput</v>
          </cell>
        </row>
        <row r="9">
          <cell r="C9" t="str">
            <v>errMsg</v>
          </cell>
        </row>
        <row r="10">
          <cell r="C10" t="str">
            <v>errLength</v>
          </cell>
        </row>
        <row r="11">
          <cell r="C11" t="str">
            <v>errHankaku</v>
          </cell>
        </row>
        <row r="12">
          <cell r="C12" t="str">
            <v>errChugoku</v>
          </cell>
        </row>
        <row r="13">
          <cell r="C13" t="str">
            <v>errHiragana</v>
          </cell>
        </row>
      </sheetData>
      <sheetData sheetId="4" refreshError="1">
        <row r="2">
          <cell r="A2" t="str">
            <v>length</v>
          </cell>
        </row>
        <row r="3">
          <cell r="A3" t="str">
            <v>range</v>
          </cell>
        </row>
        <row r="4">
          <cell r="A4" t="str">
            <v>isDate</v>
          </cell>
        </row>
        <row r="5">
          <cell r="A5" t="str">
            <v>term</v>
          </cell>
        </row>
        <row r="6">
          <cell r="A6" t="str">
            <v>user</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Ｔｐ資料"/>
      <sheetName val="NR1100"/>
      <sheetName val="NR1110"/>
      <sheetName val="NR1200"/>
      <sheetName val="NR1210"/>
      <sheetName val="NR1300"/>
      <sheetName val="料金科目テーブル"/>
      <sheetName val="項番41売上一覧表②"/>
      <sheetName val="MIME0349"/>
      <sheetName val="管理"/>
      <sheetName val="ヘッダ"/>
      <sheetName val="list"/>
    </sheetNames>
    <sheetDataSet>
      <sheetData sheetId="0" refreshError="1">
        <row r="1">
          <cell r="A1" t="str">
            <v>ABB01</v>
          </cell>
        </row>
        <row r="2">
          <cell r="A2" t="str">
            <v>ABC01</v>
          </cell>
        </row>
        <row r="3">
          <cell r="A3" t="str">
            <v>ABC02</v>
          </cell>
        </row>
        <row r="4">
          <cell r="A4" t="str">
            <v>ABC03</v>
          </cell>
        </row>
        <row r="5">
          <cell r="A5" t="str">
            <v>ABC04</v>
          </cell>
        </row>
        <row r="6">
          <cell r="A6" t="str">
            <v>ABC05</v>
          </cell>
        </row>
        <row r="7">
          <cell r="A7" t="str">
            <v>ABC06</v>
          </cell>
        </row>
        <row r="8">
          <cell r="A8" t="str">
            <v>ABC07</v>
          </cell>
        </row>
        <row r="9">
          <cell r="A9" t="str">
            <v>ABD01</v>
          </cell>
        </row>
        <row r="10">
          <cell r="A10" t="str">
            <v>ABF01</v>
          </cell>
        </row>
        <row r="11">
          <cell r="A11" t="str">
            <v>ABI01</v>
          </cell>
        </row>
        <row r="12">
          <cell r="A12" t="str">
            <v>ABV01</v>
          </cell>
        </row>
        <row r="13">
          <cell r="A13" t="str">
            <v>ABW01</v>
          </cell>
        </row>
        <row r="14">
          <cell r="A14" t="str">
            <v>ABX02</v>
          </cell>
        </row>
        <row r="15">
          <cell r="A15" t="str">
            <v>AGA01</v>
          </cell>
        </row>
        <row r="16">
          <cell r="A16" t="str">
            <v>AGA02</v>
          </cell>
        </row>
        <row r="17">
          <cell r="A17" t="str">
            <v>AGB01</v>
          </cell>
        </row>
        <row r="18">
          <cell r="A18" t="str">
            <v>AGC01</v>
          </cell>
        </row>
        <row r="19">
          <cell r="A19" t="str">
            <v>AGD01</v>
          </cell>
        </row>
        <row r="20">
          <cell r="A20" t="str">
            <v>AGK01</v>
          </cell>
        </row>
        <row r="21">
          <cell r="A21" t="str">
            <v>AHA01</v>
          </cell>
        </row>
        <row r="22">
          <cell r="A22" t="str">
            <v>AHB01</v>
          </cell>
        </row>
        <row r="23">
          <cell r="A23" t="str">
            <v>AHC01</v>
          </cell>
        </row>
        <row r="24">
          <cell r="A24" t="str">
            <v>BBB01</v>
          </cell>
        </row>
        <row r="25">
          <cell r="A25" t="str">
            <v>BBD01</v>
          </cell>
        </row>
        <row r="26">
          <cell r="A26" t="str">
            <v>BBE01</v>
          </cell>
        </row>
        <row r="27">
          <cell r="A27" t="str">
            <v>BBG01</v>
          </cell>
        </row>
        <row r="28">
          <cell r="A28" t="str">
            <v>BBH01</v>
          </cell>
        </row>
        <row r="29">
          <cell r="A29" t="str">
            <v>BBJ01</v>
          </cell>
        </row>
        <row r="30">
          <cell r="A30" t="str">
            <v>BBK01</v>
          </cell>
        </row>
        <row r="31">
          <cell r="A31" t="str">
            <v>BBL01</v>
          </cell>
        </row>
        <row r="32">
          <cell r="A32" t="str">
            <v>BBM01</v>
          </cell>
        </row>
        <row r="33">
          <cell r="A33" t="str">
            <v>BBM02</v>
          </cell>
        </row>
        <row r="34">
          <cell r="A34" t="str">
            <v>BBN01</v>
          </cell>
        </row>
        <row r="35">
          <cell r="A35" t="str">
            <v>BBN02</v>
          </cell>
        </row>
        <row r="36">
          <cell r="A36" t="str">
            <v>BBN03</v>
          </cell>
        </row>
        <row r="37">
          <cell r="A37" t="str">
            <v>BBO01</v>
          </cell>
        </row>
        <row r="38">
          <cell r="A38" t="str">
            <v>BBO02</v>
          </cell>
        </row>
        <row r="39">
          <cell r="A39" t="str">
            <v>BBP01</v>
          </cell>
        </row>
        <row r="40">
          <cell r="A40" t="str">
            <v>BBP02</v>
          </cell>
        </row>
        <row r="41">
          <cell r="A41" t="str">
            <v>BBQ01</v>
          </cell>
        </row>
        <row r="42">
          <cell r="A42" t="str">
            <v>BBR01</v>
          </cell>
        </row>
        <row r="43">
          <cell r="A43" t="str">
            <v>BBR02</v>
          </cell>
        </row>
        <row r="44">
          <cell r="A44" t="str">
            <v>BBS01</v>
          </cell>
        </row>
        <row r="45">
          <cell r="A45" t="str">
            <v>BBT01</v>
          </cell>
        </row>
        <row r="46">
          <cell r="A46" t="str">
            <v>BBV01</v>
          </cell>
        </row>
        <row r="47">
          <cell r="A47" t="str">
            <v>BBV02</v>
          </cell>
        </row>
        <row r="48">
          <cell r="A48" t="str">
            <v>BBX01</v>
          </cell>
        </row>
        <row r="49">
          <cell r="A49" t="str">
            <v>BCA01</v>
          </cell>
        </row>
        <row r="50">
          <cell r="A50" t="str">
            <v>BGA01</v>
          </cell>
        </row>
        <row r="51">
          <cell r="A51" t="str">
            <v>BGA02</v>
          </cell>
        </row>
        <row r="52">
          <cell r="A52" t="str">
            <v>BGA03</v>
          </cell>
        </row>
        <row r="53">
          <cell r="A53" t="str">
            <v>BGC01</v>
          </cell>
        </row>
        <row r="54">
          <cell r="A54" t="str">
            <v>BGC02</v>
          </cell>
        </row>
        <row r="55">
          <cell r="A55" t="str">
            <v>BGC03</v>
          </cell>
        </row>
        <row r="56">
          <cell r="A56" t="str">
            <v>BGD01</v>
          </cell>
        </row>
        <row r="57">
          <cell r="A57" t="str">
            <v>BGE01</v>
          </cell>
        </row>
        <row r="58">
          <cell r="A58" t="str">
            <v>BGE02</v>
          </cell>
        </row>
        <row r="59">
          <cell r="A59" t="str">
            <v>BGF01</v>
          </cell>
        </row>
        <row r="60">
          <cell r="A60" t="str">
            <v>BGF02</v>
          </cell>
        </row>
        <row r="61">
          <cell r="A61" t="str">
            <v>BGG01</v>
          </cell>
        </row>
        <row r="62">
          <cell r="A62" t="str">
            <v>BGI01</v>
          </cell>
        </row>
        <row r="63">
          <cell r="A63" t="str">
            <v>BGK01</v>
          </cell>
        </row>
        <row r="64">
          <cell r="A64" t="str">
            <v>BGN01</v>
          </cell>
        </row>
        <row r="65">
          <cell r="A65" t="str">
            <v>BGN02</v>
          </cell>
        </row>
        <row r="66">
          <cell r="A66" t="str">
            <v>BGN03</v>
          </cell>
        </row>
        <row r="67">
          <cell r="A67" t="str">
            <v>BGO01</v>
          </cell>
        </row>
        <row r="68">
          <cell r="A68" t="str">
            <v>BGO02</v>
          </cell>
        </row>
        <row r="69">
          <cell r="A69" t="str">
            <v>BGP01</v>
          </cell>
        </row>
        <row r="70">
          <cell r="A70" t="str">
            <v>BGQ01</v>
          </cell>
        </row>
        <row r="71">
          <cell r="A71" t="str">
            <v>BGR01</v>
          </cell>
        </row>
        <row r="72">
          <cell r="A72" t="str">
            <v>BGV01</v>
          </cell>
        </row>
        <row r="73">
          <cell r="A73" t="str">
            <v>BHC01</v>
          </cell>
        </row>
        <row r="74">
          <cell r="A74" t="str">
            <v>CGP01</v>
          </cell>
        </row>
        <row r="75">
          <cell r="A75" t="str">
            <v>CGQ01</v>
          </cell>
        </row>
        <row r="76">
          <cell r="A76" t="str">
            <v>CGR01</v>
          </cell>
        </row>
        <row r="77">
          <cell r="A77" t="str">
            <v>CGS01</v>
          </cell>
        </row>
        <row r="78">
          <cell r="A78" t="str">
            <v>CGT01</v>
          </cell>
        </row>
        <row r="79">
          <cell r="A79" t="str">
            <v>CGU01</v>
          </cell>
        </row>
        <row r="80">
          <cell r="A80" t="str">
            <v>CGW01</v>
          </cell>
        </row>
        <row r="81">
          <cell r="A81" t="str">
            <v>CGX01</v>
          </cell>
        </row>
        <row r="82">
          <cell r="A82" t="str">
            <v>CGY01</v>
          </cell>
        </row>
        <row r="83">
          <cell r="A83" t="str">
            <v>CHC01</v>
          </cell>
        </row>
        <row r="84">
          <cell r="A84" t="str">
            <v>DGQ01</v>
          </cell>
        </row>
        <row r="85">
          <cell r="A85" t="str">
            <v>DGR01</v>
          </cell>
        </row>
        <row r="86">
          <cell r="A86" t="str">
            <v>DHA01</v>
          </cell>
        </row>
        <row r="87">
          <cell r="A87" t="str">
            <v>DHB01</v>
          </cell>
        </row>
        <row r="88">
          <cell r="A88" t="str">
            <v>DHC01</v>
          </cell>
        </row>
        <row r="89">
          <cell r="A89" t="str">
            <v>DHD01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ランク登録画面"/>
      <sheetName val="質問"/>
      <sheetName val="data"/>
    </sheetNames>
    <sheetDataSet>
      <sheetData sheetId="0" refreshError="1"/>
      <sheetData sheetId="1" refreshError="1"/>
      <sheetData sheetId="2" refreshError="1"/>
      <sheetData sheetId="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凡例"/>
      <sheetName val="テーブル定義"/>
      <sheetName val="はじめに"/>
      <sheetName val="シーケンス"/>
      <sheetName val="スナップショットログ"/>
      <sheetName val="スナップショット"/>
      <sheetName val="DBリンク"/>
      <sheetName val="ビュー"/>
      <sheetName val="トリガー"/>
      <sheetName val="インデックス"/>
      <sheetName val="デフォルト"/>
      <sheetName val="ユーザー"/>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
      <sheetName val="目次"/>
      <sheetName val="プロセス一覧"/>
      <sheetName val="ルート探索"/>
      <sheetName val="申請"/>
      <sheetName val="承認一覧検索"/>
      <sheetName val="申請情報取得"/>
      <sheetName val="コメント取得"/>
      <sheetName val="処理待ち確定"/>
      <sheetName val="申請取消"/>
      <sheetName val="申請一覧検索"/>
      <sheetName val="リクエストキー取得"/>
      <sheetName val="進捗管理情報取得①"/>
      <sheetName val="進捗管理情報取得②"/>
      <sheetName val="ＵＲＩ取得"/>
      <sheetName val="承認プロセス一覧検索"/>
      <sheetName val="承認取消"/>
      <sheetName val="引継"/>
      <sheetName val="状態変更"/>
      <sheetName val="業務呼出し"/>
      <sheetName val="附録Ａ"/>
      <sheetName val="附録Ｂ"/>
      <sheetName val="附録Ｃ"/>
      <sheetName val="附録Ｄ"/>
      <sheetName val="附録Ｅ"/>
      <sheetName val="附録Ｆ①"/>
      <sheetName val="附録Ｆ②"/>
      <sheetName val="附録Ｆ③"/>
      <sheetName val="附録Ｆ④"/>
      <sheetName val="附録G"/>
      <sheetName val="附録Ｈ①"/>
      <sheetName val="附録Ｈ②"/>
      <sheetName val="附録Ｈ③"/>
      <sheetName val="附録Ｊ"/>
      <sheetName val="附録Ｋ"/>
      <sheetName val="附録Ｌ①"/>
      <sheetName val="附録Ｌ②"/>
      <sheetName val="附録Ｍ①"/>
      <sheetName val="附録Ｍ②"/>
      <sheetName val="附録Ｎ"/>
      <sheetName val="附録Ｐ"/>
      <sheetName val="附録Ｑ"/>
      <sheetName val="附録Ｒ"/>
      <sheetName val="選択用プルダウン"/>
    </sheetNames>
    <sheetDataSet>
      <sheetData sheetId="0">
        <row r="2">
          <cell r="N2" t="str">
            <v>企業情報システム開発プロジェクト</v>
          </cell>
        </row>
        <row r="4">
          <cell r="N4" t="str">
            <v>ワークフロー設計ガイドライン（イテレーション３用電文仕様書）</v>
          </cell>
        </row>
        <row r="6">
          <cell r="N6" t="str">
            <v>第3.2版</v>
          </cell>
        </row>
        <row r="7">
          <cell r="N7" t="str">
            <v>OA共通／ワークフロー</v>
          </cell>
        </row>
        <row r="9">
          <cell r="N9" t="str">
            <v>2001.05.14</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振込伝票 (交通費)"/>
      <sheetName val="Sheet1"/>
    </sheetNames>
    <sheetDataSet>
      <sheetData sheetId="0" refreshError="1"/>
      <sheetData sheetId="1">
        <row r="4">
          <cell r="F4" t="str">
            <v>直接</v>
          </cell>
        </row>
        <row r="5">
          <cell r="F5" t="str">
            <v>間接</v>
          </cell>
        </row>
        <row r="6">
          <cell r="F6" t="str">
            <v>販売</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項目一覧"/>
      <sheetName val="テーブル一覧"/>
      <sheetName val="相手先マスタ"/>
      <sheetName val="得意先マスタ"/>
      <sheetName val="仕入先マスタ"/>
      <sheetName val="商品マスタ"/>
      <sheetName val="出庫済ファイル"/>
      <sheetName val="出庫ファイル"/>
      <sheetName val="管理コントロールＦ"/>
      <sheetName val="商品コード変換Ｆ "/>
      <sheetName val="量販コード変換Ｆ"/>
      <sheetName val="月間用仕入計上Ｆ"/>
      <sheetName val="仕入計上ファイル"/>
      <sheetName val="売上ファイル"/>
      <sheetName val="社内移動ファイル"/>
      <sheetName val="月間用社内移動Ｆ"/>
      <sheetName val="採番ファイル"/>
      <sheetName val="欠品ファイル"/>
      <sheetName val="受注ファイル"/>
      <sheetName val="発注予定ファイル"/>
      <sheetName val="担当者マスタ"/>
      <sheetName val="管理事業所マスタ"/>
      <sheetName val="機能マスタ"/>
      <sheetName val="事業所マスタ"/>
      <sheetName val="●以降未確定●"/>
      <sheetName val="売上原始データＦ"/>
      <sheetName val="入庫予定Ｆ"/>
      <sheetName val="請求ファイル"/>
      <sheetName val="在庫マスタ"/>
      <sheetName val="ＬＯＴ在庫マスタ"/>
      <sheetName val="休日ｺﾝﾄﾛｰﾙＦ"/>
      <sheetName val="送信ファイル"/>
      <sheetName val="送信ポインタＦ"/>
      <sheetName val="商品部門検索"/>
      <sheetName val="Sheet2"/>
      <sheetName val="Sheet3"/>
      <sheetName val="選択用プルダウン"/>
    </sheetNames>
    <sheetDataSet>
      <sheetData sheetId="0" refreshError="1">
        <row r="3">
          <cell r="A3" t="str">
            <v>Ⅰ</v>
          </cell>
          <cell r="B3" t="str">
            <v>HINSH1</v>
          </cell>
          <cell r="C3">
            <v>9</v>
          </cell>
          <cell r="D3">
            <v>2</v>
          </cell>
        </row>
        <row r="4">
          <cell r="A4" t="str">
            <v>Ⅱ</v>
          </cell>
          <cell r="B4" t="str">
            <v>HINSH2</v>
          </cell>
          <cell r="C4">
            <v>9</v>
          </cell>
          <cell r="D4">
            <v>2</v>
          </cell>
        </row>
        <row r="5">
          <cell r="A5" t="str">
            <v>ＦＡＸ番号１</v>
          </cell>
          <cell r="B5" t="str">
            <v>FAX_NO1</v>
          </cell>
          <cell r="C5" t="str">
            <v>X</v>
          </cell>
          <cell r="D5">
            <v>10</v>
          </cell>
        </row>
        <row r="6">
          <cell r="A6" t="str">
            <v>ＦＡＸ番号２</v>
          </cell>
          <cell r="B6" t="str">
            <v>FAX_NO2</v>
          </cell>
          <cell r="C6" t="str">
            <v>X</v>
          </cell>
          <cell r="D6">
            <v>10</v>
          </cell>
        </row>
        <row r="7">
          <cell r="A7" t="str">
            <v>ＫＧ区分</v>
          </cell>
          <cell r="B7" t="str">
            <v>KGKBN</v>
          </cell>
          <cell r="C7">
            <v>9</v>
          </cell>
          <cell r="D7">
            <v>1</v>
          </cell>
        </row>
        <row r="8">
          <cell r="A8" t="str">
            <v>℡番号１</v>
          </cell>
          <cell r="B8" t="str">
            <v>TEL_NO1</v>
          </cell>
          <cell r="C8" t="str">
            <v>X</v>
          </cell>
          <cell r="D8">
            <v>10</v>
          </cell>
        </row>
        <row r="9">
          <cell r="A9" t="str">
            <v>℡番号２</v>
          </cell>
          <cell r="B9" t="str">
            <v>TEL_NO2</v>
          </cell>
          <cell r="C9" t="str">
            <v>X</v>
          </cell>
          <cell r="D9">
            <v>10</v>
          </cell>
        </row>
        <row r="10">
          <cell r="A10" t="str">
            <v>相手先ANK名称</v>
          </cell>
          <cell r="B10" t="str">
            <v>AITMEI_ANK</v>
          </cell>
          <cell r="C10" t="str">
            <v>X</v>
          </cell>
          <cell r="D10">
            <v>15</v>
          </cell>
        </row>
        <row r="11">
          <cell r="A11" t="str">
            <v>相手先ＣＤ</v>
          </cell>
          <cell r="B11" t="str">
            <v>AITCD</v>
          </cell>
          <cell r="C11">
            <v>9</v>
          </cell>
          <cell r="D11">
            <v>6</v>
          </cell>
        </row>
        <row r="12">
          <cell r="A12" t="str">
            <v>相手先区分</v>
          </cell>
          <cell r="B12" t="str">
            <v>AITKBN</v>
          </cell>
          <cell r="C12" t="str">
            <v>X</v>
          </cell>
          <cell r="D12">
            <v>2</v>
          </cell>
        </row>
        <row r="13">
          <cell r="A13" t="str">
            <v>相手先住所１</v>
          </cell>
          <cell r="B13" t="str">
            <v>AITADR1</v>
          </cell>
          <cell r="C13" t="str">
            <v>X</v>
          </cell>
          <cell r="D13">
            <v>60</v>
          </cell>
        </row>
        <row r="14">
          <cell r="A14" t="str">
            <v>相手先住所２</v>
          </cell>
          <cell r="B14" t="str">
            <v>AITADR2</v>
          </cell>
          <cell r="C14" t="str">
            <v>X</v>
          </cell>
          <cell r="D14">
            <v>60</v>
          </cell>
        </row>
        <row r="15">
          <cell r="A15" t="str">
            <v>相手先名称１</v>
          </cell>
          <cell r="B15" t="str">
            <v>AITMEI1</v>
          </cell>
          <cell r="C15" t="str">
            <v>X</v>
          </cell>
          <cell r="D15">
            <v>40</v>
          </cell>
        </row>
        <row r="16">
          <cell r="A16" t="str">
            <v>相手先名称２</v>
          </cell>
          <cell r="B16" t="str">
            <v>AITMEI2</v>
          </cell>
          <cell r="C16" t="str">
            <v>X</v>
          </cell>
          <cell r="D16">
            <v>40</v>
          </cell>
        </row>
        <row r="17">
          <cell r="A17" t="str">
            <v>相手先略称</v>
          </cell>
          <cell r="B17" t="str">
            <v>AITMEI_RYA</v>
          </cell>
          <cell r="C17" t="str">
            <v>X</v>
          </cell>
          <cell r="D17">
            <v>20</v>
          </cell>
        </row>
        <row r="18">
          <cell r="A18" t="str">
            <v>入数</v>
          </cell>
          <cell r="B18" t="str">
            <v>IRISU</v>
          </cell>
          <cell r="C18">
            <v>9</v>
          </cell>
          <cell r="D18">
            <v>5</v>
          </cell>
        </row>
        <row r="19">
          <cell r="A19" t="str">
            <v>受払区分</v>
          </cell>
          <cell r="B19" t="str">
            <v>UKEKBN</v>
          </cell>
          <cell r="C19">
            <v>9</v>
          </cell>
          <cell r="D19">
            <v>1</v>
          </cell>
        </row>
        <row r="20">
          <cell r="A20" t="str">
            <v>売上？？</v>
          </cell>
          <cell r="B20" t="str">
            <v>URIKBN</v>
          </cell>
          <cell r="C20">
            <v>9</v>
          </cell>
          <cell r="D20">
            <v>1</v>
          </cell>
        </row>
        <row r="21">
          <cell r="A21" t="str">
            <v>売掛</v>
          </cell>
          <cell r="B21" t="str">
            <v>KAKE</v>
          </cell>
          <cell r="C21">
            <v>9</v>
          </cell>
          <cell r="D21">
            <v>9</v>
          </cell>
        </row>
        <row r="22">
          <cell r="A22" t="str">
            <v>エラー区分</v>
          </cell>
          <cell r="B22" t="str">
            <v>ERRKBN</v>
          </cell>
          <cell r="C22">
            <v>9</v>
          </cell>
          <cell r="D22">
            <v>1</v>
          </cell>
        </row>
        <row r="23">
          <cell r="A23" t="str">
            <v>加工・生区分</v>
          </cell>
          <cell r="B23" t="str">
            <v>KAKONM</v>
          </cell>
          <cell r="C23">
            <v>9</v>
          </cell>
          <cell r="D23">
            <v>1</v>
          </cell>
        </row>
        <row r="24">
          <cell r="A24" t="str">
            <v>加工回数</v>
          </cell>
          <cell r="B24" t="str">
            <v>KAKKAI</v>
          </cell>
          <cell r="C24">
            <v>9</v>
          </cell>
          <cell r="D24">
            <v>2</v>
          </cell>
        </row>
        <row r="25">
          <cell r="A25" t="str">
            <v>加工締日</v>
          </cell>
          <cell r="B25" t="str">
            <v>KAKSIM</v>
          </cell>
          <cell r="C25" t="str">
            <v xml:space="preserve"> </v>
          </cell>
          <cell r="D25" t="str">
            <v xml:space="preserve"> </v>
          </cell>
        </row>
        <row r="26">
          <cell r="A26" t="str">
            <v>加工品・生肉</v>
          </cell>
          <cell r="B26" t="str">
            <v>KAKNAM</v>
          </cell>
          <cell r="C26" t="str">
            <v xml:space="preserve"> </v>
          </cell>
          <cell r="D26" t="str">
            <v xml:space="preserve"> </v>
          </cell>
        </row>
        <row r="27">
          <cell r="A27" t="str">
            <v>加工品売上額</v>
          </cell>
          <cell r="B27" t="str">
            <v>URIAGE_KAK</v>
          </cell>
          <cell r="C27">
            <v>9</v>
          </cell>
          <cell r="D27">
            <v>9</v>
          </cell>
        </row>
        <row r="28">
          <cell r="A28" t="str">
            <v>加工品消費税</v>
          </cell>
          <cell r="B28" t="str">
            <v>SHIZEI_KAK</v>
          </cell>
          <cell r="C28">
            <v>9</v>
          </cell>
          <cell r="D28">
            <v>9</v>
          </cell>
        </row>
        <row r="29">
          <cell r="A29" t="str">
            <v>加工品前月粗利益</v>
          </cell>
          <cell r="B29" t="str">
            <v>ARIEKI_ZEN</v>
          </cell>
          <cell r="C29">
            <v>9</v>
          </cell>
          <cell r="D29">
            <v>9</v>
          </cell>
        </row>
        <row r="30">
          <cell r="A30" t="str">
            <v>加工品前々月粗利益</v>
          </cell>
          <cell r="B30" t="str">
            <v>ARIEKI_ZZN</v>
          </cell>
          <cell r="C30">
            <v>9</v>
          </cell>
          <cell r="D30">
            <v>9</v>
          </cell>
        </row>
        <row r="31">
          <cell r="A31" t="str">
            <v>引当フラグ</v>
          </cell>
          <cell r="B31" t="str">
            <v>KHIFLG</v>
          </cell>
          <cell r="C31" t="str">
            <v>X</v>
          </cell>
          <cell r="D31">
            <v>1</v>
          </cell>
        </row>
        <row r="32">
          <cell r="A32" t="str">
            <v>期月</v>
          </cell>
          <cell r="B32" t="str">
            <v>KIJITU_MM</v>
          </cell>
          <cell r="C32">
            <v>9</v>
          </cell>
          <cell r="D32">
            <v>1</v>
          </cell>
        </row>
        <row r="33">
          <cell r="A33" t="str">
            <v>期日</v>
          </cell>
          <cell r="B33" t="str">
            <v>KIJITU_DD</v>
          </cell>
          <cell r="C33">
            <v>9</v>
          </cell>
          <cell r="D33">
            <v>2</v>
          </cell>
        </row>
        <row r="34">
          <cell r="A34" t="str">
            <v>機能ＣＤ</v>
          </cell>
          <cell r="B34" t="str">
            <v>KINOU_CD</v>
          </cell>
          <cell r="C34">
            <v>9</v>
          </cell>
          <cell r="D34">
            <v>3</v>
          </cell>
        </row>
        <row r="35">
          <cell r="A35" t="str">
            <v>機能区分</v>
          </cell>
          <cell r="B35" t="str">
            <v>KINOU_KBN</v>
          </cell>
          <cell r="C35">
            <v>9</v>
          </cell>
          <cell r="D35">
            <v>4</v>
          </cell>
        </row>
        <row r="36">
          <cell r="A36" t="str">
            <v>業種ＣＤ</v>
          </cell>
          <cell r="B36" t="str">
            <v>GYOSHU</v>
          </cell>
          <cell r="C36">
            <v>9</v>
          </cell>
          <cell r="D36">
            <v>3</v>
          </cell>
        </row>
        <row r="37">
          <cell r="A37" t="str">
            <v>経由先ＣＤ</v>
          </cell>
          <cell r="B37" t="str">
            <v>KEIYUC</v>
          </cell>
          <cell r="C37" t="str">
            <v>X</v>
          </cell>
          <cell r="D37">
            <v>6</v>
          </cell>
        </row>
        <row r="38">
          <cell r="A38" t="str">
            <v>経由先名</v>
          </cell>
          <cell r="B38" t="str">
            <v>KEIYUM</v>
          </cell>
          <cell r="C38" t="str">
            <v>X</v>
          </cell>
          <cell r="D38">
            <v>16</v>
          </cell>
        </row>
        <row r="39">
          <cell r="A39" t="str">
            <v>欠品数</v>
          </cell>
          <cell r="B39" t="str">
            <v>KETPIN</v>
          </cell>
          <cell r="C39">
            <v>9</v>
          </cell>
          <cell r="D39">
            <v>7</v>
          </cell>
        </row>
        <row r="40">
          <cell r="A40" t="str">
            <v>現金</v>
          </cell>
          <cell r="B40" t="str">
            <v>GENKIN</v>
          </cell>
          <cell r="C40">
            <v>9</v>
          </cell>
          <cell r="D40">
            <v>9</v>
          </cell>
        </row>
        <row r="41">
          <cell r="A41" t="str">
            <v>現在売掛残</v>
          </cell>
          <cell r="B41" t="str">
            <v>GENZAN</v>
          </cell>
          <cell r="C41">
            <v>9</v>
          </cell>
          <cell r="D41">
            <v>9</v>
          </cell>
        </row>
        <row r="42">
          <cell r="A42" t="str">
            <v>工場発注日数</v>
          </cell>
          <cell r="B42" t="str">
            <v>KOUNIS</v>
          </cell>
          <cell r="C42" t="str">
            <v>X</v>
          </cell>
          <cell r="D42">
            <v>2</v>
          </cell>
        </row>
        <row r="43">
          <cell r="A43" t="str">
            <v>コース種別</v>
          </cell>
          <cell r="B43" t="str">
            <v>COURSE</v>
          </cell>
          <cell r="C43">
            <v>9</v>
          </cell>
          <cell r="D43">
            <v>1</v>
          </cell>
        </row>
        <row r="44">
          <cell r="A44" t="str">
            <v>小切手</v>
          </cell>
          <cell r="B44" t="str">
            <v>KOGITE</v>
          </cell>
          <cell r="C44">
            <v>9</v>
          </cell>
          <cell r="D44">
            <v>9</v>
          </cell>
        </row>
        <row r="45">
          <cell r="A45" t="str">
            <v>梱包入数</v>
          </cell>
          <cell r="B45" t="str">
            <v>IRISU</v>
          </cell>
          <cell r="C45">
            <v>9</v>
          </cell>
          <cell r="D45">
            <v>3</v>
          </cell>
        </row>
        <row r="46">
          <cell r="A46" t="str">
            <v>在庫情報</v>
          </cell>
          <cell r="B46" t="str">
            <v>ZAIKO</v>
          </cell>
          <cell r="C46" t="str">
            <v>　</v>
          </cell>
          <cell r="D46" t="str">
            <v>　</v>
          </cell>
        </row>
        <row r="47">
          <cell r="A47" t="str">
            <v>在庫数</v>
          </cell>
          <cell r="B47" t="str">
            <v>ZAIKSU</v>
          </cell>
          <cell r="C47">
            <v>9</v>
          </cell>
          <cell r="D47">
            <v>9</v>
          </cell>
        </row>
        <row r="48">
          <cell r="A48" t="str">
            <v>最終仕入単価</v>
          </cell>
          <cell r="B48" t="str">
            <v>SHITNK_LST</v>
          </cell>
          <cell r="C48">
            <v>9</v>
          </cell>
          <cell r="D48">
            <v>9</v>
          </cell>
        </row>
        <row r="49">
          <cell r="A49" t="str">
            <v>最終仕入日付</v>
          </cell>
          <cell r="B49" t="str">
            <v>SHIDAT_LST</v>
          </cell>
          <cell r="C49" t="str">
            <v>X</v>
          </cell>
          <cell r="D49">
            <v>8</v>
          </cell>
        </row>
        <row r="50">
          <cell r="A50" t="str">
            <v>最終出庫日</v>
          </cell>
          <cell r="B50" t="str">
            <v>SHUKBI_LST</v>
          </cell>
          <cell r="C50" t="str">
            <v>X</v>
          </cell>
          <cell r="D50">
            <v>8</v>
          </cell>
        </row>
        <row r="51">
          <cell r="A51" t="str">
            <v>削除区分</v>
          </cell>
          <cell r="B51" t="str">
            <v>DELKBN</v>
          </cell>
          <cell r="C51">
            <v>9</v>
          </cell>
          <cell r="D51">
            <v>1</v>
          </cell>
        </row>
        <row r="52">
          <cell r="A52" t="str">
            <v>仕入先ＣＤ</v>
          </cell>
          <cell r="B52" t="str">
            <v>SIRESC</v>
          </cell>
          <cell r="C52" t="str">
            <v>X</v>
          </cell>
          <cell r="D52">
            <v>6</v>
          </cell>
        </row>
        <row r="53">
          <cell r="A53" t="str">
            <v>仕入先ＣＤ１</v>
          </cell>
          <cell r="B53" t="str">
            <v>SIRCD1</v>
          </cell>
          <cell r="C53">
            <v>9</v>
          </cell>
          <cell r="D53">
            <v>4</v>
          </cell>
        </row>
        <row r="54">
          <cell r="A54" t="str">
            <v>仕入先ＣＤ２</v>
          </cell>
          <cell r="B54" t="str">
            <v>SIRCD2</v>
          </cell>
          <cell r="C54">
            <v>9</v>
          </cell>
          <cell r="D54">
            <v>2</v>
          </cell>
        </row>
        <row r="55">
          <cell r="A55" t="str">
            <v>仕入先NM</v>
          </cell>
          <cell r="B55" t="str">
            <v>SIRESM</v>
          </cell>
          <cell r="C55" t="str">
            <v>X</v>
          </cell>
          <cell r="D55">
            <v>20</v>
          </cell>
        </row>
        <row r="56">
          <cell r="A56" t="str">
            <v>仕入先情報</v>
          </cell>
          <cell r="B56" t="str">
            <v>SIRESK</v>
          </cell>
          <cell r="C56" t="str">
            <v>　</v>
          </cell>
          <cell r="D56" t="str">
            <v>　</v>
          </cell>
        </row>
        <row r="57">
          <cell r="A57" t="str">
            <v>仕入先名</v>
          </cell>
          <cell r="B57" t="str">
            <v>SIRMEI</v>
          </cell>
          <cell r="C57" t="str">
            <v>X</v>
          </cell>
          <cell r="D57">
            <v>30</v>
          </cell>
        </row>
        <row r="58">
          <cell r="A58" t="str">
            <v>仕入先名(ANK)</v>
          </cell>
          <cell r="B58" t="str">
            <v>SIRMEI_ANK</v>
          </cell>
          <cell r="C58" t="str">
            <v>X</v>
          </cell>
          <cell r="D58">
            <v>20</v>
          </cell>
        </row>
        <row r="59">
          <cell r="A59" t="str">
            <v>仕入先有効日</v>
          </cell>
          <cell r="B59" t="str">
            <v>SIRYUK</v>
          </cell>
          <cell r="C59">
            <v>9</v>
          </cell>
          <cell r="D59">
            <v>8</v>
          </cell>
        </row>
        <row r="60">
          <cell r="A60" t="str">
            <v>事業所ＣＤ</v>
          </cell>
          <cell r="B60" t="str">
            <v>JIGYOC</v>
          </cell>
          <cell r="C60" t="str">
            <v>X</v>
          </cell>
          <cell r="D60">
            <v>4</v>
          </cell>
        </row>
        <row r="61">
          <cell r="A61" t="str">
            <v>事業所名</v>
          </cell>
          <cell r="B61" t="str">
            <v>JIGMEI</v>
          </cell>
          <cell r="C61" t="str">
            <v>X</v>
          </cell>
          <cell r="D61">
            <v>20</v>
          </cell>
        </row>
        <row r="62">
          <cell r="A62" t="str">
            <v>事業所名(ANK)</v>
          </cell>
          <cell r="B62" t="str">
            <v>JIGMEI_ANK</v>
          </cell>
          <cell r="C62" t="str">
            <v>X</v>
          </cell>
          <cell r="D62">
            <v>15</v>
          </cell>
        </row>
        <row r="63">
          <cell r="A63" t="str">
            <v>締日</v>
          </cell>
          <cell r="B63" t="str">
            <v>SIME_DAT</v>
          </cell>
          <cell r="C63">
            <v>9</v>
          </cell>
          <cell r="D63">
            <v>2</v>
          </cell>
        </row>
        <row r="64">
          <cell r="A64" t="str">
            <v>締日テーブル</v>
          </cell>
          <cell r="B64" t="str">
            <v>SIME_TBL</v>
          </cell>
          <cell r="C64" t="str">
            <v xml:space="preserve"> </v>
          </cell>
          <cell r="D64" t="str">
            <v xml:space="preserve"> </v>
          </cell>
        </row>
        <row r="65">
          <cell r="A65" t="str">
            <v>社内移動入力区分</v>
          </cell>
          <cell r="B65" t="str">
            <v>SNANYU</v>
          </cell>
          <cell r="C65">
            <v>9</v>
          </cell>
          <cell r="D65">
            <v>1</v>
          </cell>
        </row>
        <row r="66">
          <cell r="A66" t="str">
            <v>社内振替単価／㎏</v>
          </cell>
          <cell r="B66" t="str">
            <v>JYUTNK</v>
          </cell>
          <cell r="C66">
            <v>9</v>
          </cell>
          <cell r="D66">
            <v>7</v>
          </cell>
        </row>
        <row r="67">
          <cell r="A67" t="str">
            <v>社内振替単価／個</v>
          </cell>
          <cell r="B67" t="str">
            <v>KSUTNK</v>
          </cell>
          <cell r="C67">
            <v>9</v>
          </cell>
          <cell r="D67">
            <v>7</v>
          </cell>
        </row>
        <row r="68">
          <cell r="A68" t="str">
            <v>重量／個</v>
          </cell>
          <cell r="B68" t="str">
            <v>KSUJRY</v>
          </cell>
          <cell r="C68">
            <v>9</v>
          </cell>
          <cell r="D68">
            <v>5</v>
          </cell>
        </row>
        <row r="69">
          <cell r="A69" t="str">
            <v>受注№</v>
          </cell>
          <cell r="B69" t="str">
            <v>JYUCHU_NO</v>
          </cell>
          <cell r="C69" t="str">
            <v>X</v>
          </cell>
          <cell r="D69">
            <v>6</v>
          </cell>
        </row>
        <row r="70">
          <cell r="A70" t="str">
            <v>受注確定数</v>
          </cell>
          <cell r="B70" t="str">
            <v>JYUTYU_KAK</v>
          </cell>
          <cell r="C70">
            <v>9</v>
          </cell>
          <cell r="D70">
            <v>6</v>
          </cell>
        </row>
        <row r="71">
          <cell r="A71" t="str">
            <v>受注数</v>
          </cell>
          <cell r="B71" t="str">
            <v>JYUCHU</v>
          </cell>
          <cell r="C71">
            <v>9</v>
          </cell>
          <cell r="D71">
            <v>6</v>
          </cell>
        </row>
        <row r="72">
          <cell r="A72" t="str">
            <v>出庫確定日</v>
          </cell>
          <cell r="B72" t="str">
            <v>SHKKAK</v>
          </cell>
          <cell r="C72" t="str">
            <v>X</v>
          </cell>
          <cell r="D72">
            <v>8</v>
          </cell>
        </row>
        <row r="73">
          <cell r="A73" t="str">
            <v>出庫指示№</v>
          </cell>
          <cell r="B73" t="str">
            <v>SYUTKO_NO</v>
          </cell>
          <cell r="C73" t="str">
            <v>X</v>
          </cell>
          <cell r="D73">
            <v>2</v>
          </cell>
        </row>
        <row r="74">
          <cell r="A74" t="str">
            <v>出庫指示日</v>
          </cell>
          <cell r="B74" t="str">
            <v>SHKSJI</v>
          </cell>
          <cell r="C74" t="str">
            <v>X</v>
          </cell>
          <cell r="D74">
            <v>8</v>
          </cell>
        </row>
        <row r="75">
          <cell r="A75" t="str">
            <v>出庫日</v>
          </cell>
          <cell r="B75" t="str">
            <v xml:space="preserve">SHUKBI </v>
          </cell>
          <cell r="C75" t="str">
            <v>X</v>
          </cell>
          <cell r="D75">
            <v>8</v>
          </cell>
        </row>
        <row r="76">
          <cell r="A76" t="str">
            <v>出庫フラグ</v>
          </cell>
          <cell r="B76" t="str">
            <v>SHKFLG</v>
          </cell>
          <cell r="C76" t="str">
            <v>X</v>
          </cell>
          <cell r="D76">
            <v>2</v>
          </cell>
        </row>
        <row r="77">
          <cell r="A77" t="str">
            <v>商品ＣＤ</v>
          </cell>
          <cell r="B77" t="str">
            <v>SHOHNC</v>
          </cell>
          <cell r="C77" t="str">
            <v>X</v>
          </cell>
          <cell r="D77">
            <v>7</v>
          </cell>
        </row>
        <row r="78">
          <cell r="A78" t="str">
            <v>商品ＪＡＮ（１５）</v>
          </cell>
          <cell r="B78" t="str">
            <v>SYOHIN_JAN</v>
          </cell>
          <cell r="C78" t="str">
            <v>X</v>
          </cell>
          <cell r="D78">
            <v>15</v>
          </cell>
        </row>
        <row r="79">
          <cell r="A79" t="str">
            <v>商品グループＣＤ</v>
          </cell>
          <cell r="B79" t="str">
            <v>SHOGRP</v>
          </cell>
          <cell r="C79">
            <v>9</v>
          </cell>
          <cell r="D79">
            <v>1</v>
          </cell>
        </row>
        <row r="80">
          <cell r="A80" t="str">
            <v>商品サブＣＤ</v>
          </cell>
          <cell r="B80" t="str">
            <v>SHOSUB</v>
          </cell>
          <cell r="C80" t="str">
            <v>X</v>
          </cell>
          <cell r="D80">
            <v>2</v>
          </cell>
        </row>
        <row r="81">
          <cell r="A81" t="str">
            <v>商品名１</v>
          </cell>
          <cell r="B81" t="str">
            <v>HINMEI</v>
          </cell>
          <cell r="C81" t="str">
            <v>X</v>
          </cell>
          <cell r="D81">
            <v>40</v>
          </cell>
        </row>
        <row r="82">
          <cell r="A82" t="str">
            <v>商品名(ANK)</v>
          </cell>
          <cell r="B82" t="str">
            <v>HINMEI_ANK</v>
          </cell>
          <cell r="C82" t="str">
            <v>X</v>
          </cell>
          <cell r="D82">
            <v>15</v>
          </cell>
        </row>
        <row r="83">
          <cell r="A83" t="str">
            <v>商品名２</v>
          </cell>
          <cell r="B83" t="str">
            <v>HINSUB</v>
          </cell>
          <cell r="C83" t="str">
            <v>X</v>
          </cell>
          <cell r="D83">
            <v>20</v>
          </cell>
        </row>
        <row r="84">
          <cell r="A84" t="str">
            <v>処理区分</v>
          </cell>
          <cell r="B84" t="str">
            <v>SHRKBN</v>
          </cell>
          <cell r="C84" t="str">
            <v>X</v>
          </cell>
          <cell r="D84">
            <v>2</v>
          </cell>
        </row>
        <row r="85">
          <cell r="A85" t="str">
            <v>新商品区分</v>
          </cell>
          <cell r="B85" t="str">
            <v>NEWSHO_KBN</v>
          </cell>
          <cell r="C85">
            <v>9</v>
          </cell>
          <cell r="D85">
            <v>1</v>
          </cell>
        </row>
        <row r="86">
          <cell r="A86" t="str">
            <v>数量</v>
          </cell>
          <cell r="B86" t="str">
            <v>SURYO</v>
          </cell>
          <cell r="C86">
            <v>9</v>
          </cell>
          <cell r="D86">
            <v>7</v>
          </cell>
        </row>
        <row r="87">
          <cell r="A87" t="str">
            <v>請求先ＣＤ</v>
          </cell>
          <cell r="B87" t="str">
            <v>SEICOD</v>
          </cell>
          <cell r="C87">
            <v>9</v>
          </cell>
          <cell r="D87">
            <v>4</v>
          </cell>
        </row>
        <row r="88">
          <cell r="A88" t="str">
            <v>税計算区分</v>
          </cell>
          <cell r="B88" t="str">
            <v>ZEIKBN</v>
          </cell>
          <cell r="C88">
            <v>9</v>
          </cell>
          <cell r="D88">
            <v>1</v>
          </cell>
        </row>
        <row r="89">
          <cell r="A89" t="str">
            <v>製造元区分</v>
          </cell>
          <cell r="B89" t="str">
            <v>SEIZOU_KBN</v>
          </cell>
          <cell r="C89">
            <v>9</v>
          </cell>
          <cell r="D89">
            <v>1</v>
          </cell>
        </row>
        <row r="90">
          <cell r="A90" t="str">
            <v>前回請求額</v>
          </cell>
          <cell r="B90" t="str">
            <v>SEIKNG_ZEN</v>
          </cell>
          <cell r="C90">
            <v>9</v>
          </cell>
          <cell r="D90">
            <v>9</v>
          </cell>
        </row>
        <row r="91">
          <cell r="A91" t="str">
            <v>前回請求年月</v>
          </cell>
          <cell r="B91" t="str">
            <v>SEINGT_ZEN</v>
          </cell>
          <cell r="C91" t="str">
            <v>X</v>
          </cell>
          <cell r="D91">
            <v>8</v>
          </cell>
        </row>
        <row r="92">
          <cell r="A92" t="str">
            <v>前月売掛金残</v>
          </cell>
          <cell r="B92" t="str">
            <v>GENZAN_ZEN</v>
          </cell>
          <cell r="C92">
            <v>9</v>
          </cell>
          <cell r="D92">
            <v>9</v>
          </cell>
        </row>
        <row r="93">
          <cell r="A93" t="str">
            <v>前月休日</v>
          </cell>
          <cell r="B93" t="str">
            <v>KYUJIT_ZEN</v>
          </cell>
          <cell r="C93" t="str">
            <v>X</v>
          </cell>
          <cell r="D93">
            <v>1</v>
          </cell>
        </row>
        <row r="94">
          <cell r="A94" t="str">
            <v>前月工場休日区分</v>
          </cell>
          <cell r="B94" t="str">
            <v>KYUKBN_ZEN</v>
          </cell>
          <cell r="C94" t="str">
            <v xml:space="preserve"> </v>
          </cell>
          <cell r="D94" t="str">
            <v xml:space="preserve"> </v>
          </cell>
        </row>
        <row r="95">
          <cell r="A95" t="str">
            <v>前月純利益</v>
          </cell>
          <cell r="B95" t="str">
            <v>JYUURI_ZEN</v>
          </cell>
          <cell r="C95">
            <v>9</v>
          </cell>
          <cell r="D95">
            <v>9</v>
          </cell>
        </row>
        <row r="96">
          <cell r="A96" t="str">
            <v>前月諸経費等残</v>
          </cell>
          <cell r="B96" t="str">
            <v>SHOKHI_ZEN</v>
          </cell>
          <cell r="C96">
            <v>9</v>
          </cell>
          <cell r="D96">
            <v>9</v>
          </cell>
        </row>
        <row r="97">
          <cell r="A97" t="str">
            <v>前月不良品在庫数</v>
          </cell>
          <cell r="B97" t="str">
            <v>FRYZAI_ZEN</v>
          </cell>
          <cell r="C97">
            <v>9</v>
          </cell>
          <cell r="D97">
            <v>9</v>
          </cell>
        </row>
        <row r="98">
          <cell r="A98" t="str">
            <v>前月良品在庫数</v>
          </cell>
          <cell r="B98" t="str">
            <v>ZAIKO_ZEN</v>
          </cell>
          <cell r="C98">
            <v>9</v>
          </cell>
          <cell r="D98">
            <v>9</v>
          </cell>
        </row>
        <row r="99">
          <cell r="A99" t="str">
            <v>前々月純利益</v>
          </cell>
          <cell r="B99" t="str">
            <v>JYUURI_ZZN</v>
          </cell>
          <cell r="C99">
            <v>9</v>
          </cell>
          <cell r="D99">
            <v>9</v>
          </cell>
        </row>
        <row r="100">
          <cell r="A100" t="str">
            <v>送信先事業所ＣＤ</v>
          </cell>
          <cell r="B100" t="str">
            <v>SSNJIG</v>
          </cell>
          <cell r="C100">
            <v>9</v>
          </cell>
          <cell r="D100">
            <v>4</v>
          </cell>
        </row>
        <row r="101">
          <cell r="A101" t="str">
            <v>送話対象区分</v>
          </cell>
          <cell r="B101" t="str">
            <v>SSNTAI</v>
          </cell>
          <cell r="C101">
            <v>9</v>
          </cell>
          <cell r="D101">
            <v>1</v>
          </cell>
        </row>
        <row r="102">
          <cell r="A102" t="str">
            <v>その他</v>
          </cell>
          <cell r="B102" t="str">
            <v>SONOTA</v>
          </cell>
          <cell r="C102">
            <v>9</v>
          </cell>
          <cell r="D102">
            <v>9</v>
          </cell>
        </row>
        <row r="103">
          <cell r="A103" t="str">
            <v>単価</v>
          </cell>
          <cell r="B103" t="str">
            <v>TANKA</v>
          </cell>
          <cell r="C103">
            <v>9</v>
          </cell>
          <cell r="D103">
            <v>9</v>
          </cell>
        </row>
        <row r="104">
          <cell r="A104" t="str">
            <v>単価区分</v>
          </cell>
          <cell r="B104" t="str">
            <v>TANKBN</v>
          </cell>
          <cell r="C104">
            <v>9</v>
          </cell>
          <cell r="D104">
            <v>1</v>
          </cell>
        </row>
        <row r="105">
          <cell r="A105" t="str">
            <v>単価使用区分</v>
          </cell>
          <cell r="B105" t="str">
            <v>TANKBN</v>
          </cell>
          <cell r="C105">
            <v>9</v>
          </cell>
          <cell r="D105">
            <v>1</v>
          </cell>
        </row>
        <row r="106">
          <cell r="A106" t="str">
            <v>担当事業所ＣＤ</v>
          </cell>
          <cell r="B106" t="str">
            <v>TANTO_JIG</v>
          </cell>
          <cell r="C106" t="str">
            <v>X</v>
          </cell>
          <cell r="D106">
            <v>4</v>
          </cell>
        </row>
        <row r="107">
          <cell r="A107" t="str">
            <v>担当者ＣＤ</v>
          </cell>
          <cell r="B107" t="str">
            <v>TANTOC</v>
          </cell>
          <cell r="C107" t="str">
            <v>X</v>
          </cell>
          <cell r="D107">
            <v>4</v>
          </cell>
        </row>
        <row r="108">
          <cell r="A108" t="str">
            <v>担当者名</v>
          </cell>
          <cell r="B108" t="str">
            <v>TANMEI</v>
          </cell>
          <cell r="C108" t="str">
            <v>X</v>
          </cell>
          <cell r="D108">
            <v>16</v>
          </cell>
        </row>
        <row r="109">
          <cell r="A109" t="str">
            <v>担当者名(ANK)</v>
          </cell>
          <cell r="B109" t="str">
            <v>TANMEI_ANK</v>
          </cell>
          <cell r="C109" t="str">
            <v>X</v>
          </cell>
          <cell r="D109">
            <v>15</v>
          </cell>
        </row>
        <row r="110">
          <cell r="A110" t="str">
            <v>抽出フラグ</v>
          </cell>
          <cell r="B110" t="str">
            <v>SELFLG</v>
          </cell>
          <cell r="C110" t="str">
            <v>X</v>
          </cell>
          <cell r="D110">
            <v>1</v>
          </cell>
        </row>
        <row r="111">
          <cell r="A111" t="str">
            <v>データ区分</v>
          </cell>
          <cell r="B111" t="str">
            <v>CVSFLG</v>
          </cell>
          <cell r="C111" t="str">
            <v>X</v>
          </cell>
          <cell r="D111">
            <v>1</v>
          </cell>
        </row>
        <row r="112">
          <cell r="A112" t="str">
            <v>データ種別</v>
          </cell>
          <cell r="B112" t="str">
            <v>DATSHU</v>
          </cell>
          <cell r="C112" t="str">
            <v>X</v>
          </cell>
          <cell r="D112">
            <v>2</v>
          </cell>
        </row>
        <row r="113">
          <cell r="A113" t="str">
            <v>手形</v>
          </cell>
          <cell r="B113" t="str">
            <v>TEGATA</v>
          </cell>
          <cell r="C113">
            <v>9</v>
          </cell>
          <cell r="D113">
            <v>9</v>
          </cell>
        </row>
        <row r="114">
          <cell r="A114" t="str">
            <v>適正在庫数</v>
          </cell>
          <cell r="B114" t="str">
            <v>TEKZAI_SU</v>
          </cell>
          <cell r="C114">
            <v>9</v>
          </cell>
          <cell r="D114">
            <v>9</v>
          </cell>
        </row>
        <row r="115">
          <cell r="A115" t="str">
            <v>デポＣＤ</v>
          </cell>
          <cell r="B115" t="str">
            <v>DEPOC</v>
          </cell>
          <cell r="C115" t="str">
            <v>X</v>
          </cell>
          <cell r="D115">
            <v>6</v>
          </cell>
        </row>
        <row r="116">
          <cell r="A116" t="str">
            <v>デポ名</v>
          </cell>
          <cell r="B116" t="str">
            <v>DEPMEI</v>
          </cell>
          <cell r="C116" t="str">
            <v>X</v>
          </cell>
          <cell r="D116">
            <v>20</v>
          </cell>
        </row>
        <row r="117">
          <cell r="A117" t="str">
            <v>伝票番号</v>
          </cell>
          <cell r="B117" t="str">
            <v>DNPBNG</v>
          </cell>
          <cell r="C117">
            <v>9</v>
          </cell>
          <cell r="D117">
            <v>6</v>
          </cell>
        </row>
        <row r="118">
          <cell r="A118" t="str">
            <v>電話番号</v>
          </cell>
          <cell r="B118" t="str">
            <v>TEL_NO</v>
          </cell>
          <cell r="C118" t="str">
            <v>X</v>
          </cell>
          <cell r="D118">
            <v>15</v>
          </cell>
        </row>
        <row r="119">
          <cell r="A119" t="str">
            <v>当月粗利益</v>
          </cell>
          <cell r="B119" t="str">
            <v>ARIEKI</v>
          </cell>
          <cell r="C119">
            <v>9</v>
          </cell>
          <cell r="D119">
            <v>9</v>
          </cell>
        </row>
        <row r="120">
          <cell r="A120" t="str">
            <v>当月売上</v>
          </cell>
          <cell r="B120" t="str">
            <v>URIAGE</v>
          </cell>
          <cell r="C120">
            <v>9</v>
          </cell>
          <cell r="D120">
            <v>9</v>
          </cell>
        </row>
        <row r="121">
          <cell r="A121" t="str">
            <v>当月休日</v>
          </cell>
          <cell r="B121" t="str">
            <v>KYUJIT</v>
          </cell>
          <cell r="C121" t="str">
            <v>X</v>
          </cell>
          <cell r="D121">
            <v>1</v>
          </cell>
        </row>
        <row r="122">
          <cell r="A122" t="str">
            <v>当月工場休日区分</v>
          </cell>
          <cell r="B122" t="str">
            <v>KYUKBN</v>
          </cell>
          <cell r="C122" t="str">
            <v xml:space="preserve"> </v>
          </cell>
          <cell r="D122" t="str">
            <v xml:space="preserve"> </v>
          </cell>
        </row>
        <row r="123">
          <cell r="A123" t="str">
            <v>当月消費税</v>
          </cell>
          <cell r="B123" t="str">
            <v>SHIZEI</v>
          </cell>
          <cell r="C123">
            <v>9</v>
          </cell>
          <cell r="D123">
            <v>9</v>
          </cell>
        </row>
        <row r="124">
          <cell r="A124" t="str">
            <v>当月諸経費</v>
          </cell>
          <cell r="B124" t="str">
            <v>SHOKHI</v>
          </cell>
          <cell r="C124">
            <v>9</v>
          </cell>
          <cell r="D124">
            <v>9</v>
          </cell>
        </row>
        <row r="125">
          <cell r="A125" t="str">
            <v>当月請求</v>
          </cell>
          <cell r="B125" t="str">
            <v>SEIKYU</v>
          </cell>
          <cell r="C125" t="str">
            <v xml:space="preserve"> </v>
          </cell>
          <cell r="D125" t="str">
            <v xml:space="preserve">  </v>
          </cell>
        </row>
        <row r="126">
          <cell r="A126" t="str">
            <v>当月入金</v>
          </cell>
          <cell r="B126" t="str">
            <v>NYUKIN</v>
          </cell>
          <cell r="C126">
            <v>9</v>
          </cell>
          <cell r="D126">
            <v>9</v>
          </cell>
        </row>
        <row r="127">
          <cell r="A127" t="str">
            <v>当月返品・戻り・値引</v>
          </cell>
          <cell r="B127" t="str">
            <v>HENPIN</v>
          </cell>
          <cell r="C127">
            <v>9</v>
          </cell>
          <cell r="D127">
            <v>9</v>
          </cell>
        </row>
        <row r="128">
          <cell r="A128" t="str">
            <v>登録日付</v>
          </cell>
          <cell r="B128" t="str">
            <v>CDATE</v>
          </cell>
          <cell r="C128" t="str">
            <v>X</v>
          </cell>
          <cell r="D128">
            <v>8</v>
          </cell>
        </row>
        <row r="129">
          <cell r="A129" t="str">
            <v>得意先ＣＤ</v>
          </cell>
          <cell r="B129" t="str">
            <v>TOKUIC</v>
          </cell>
          <cell r="C129" t="str">
            <v>X</v>
          </cell>
          <cell r="D129">
            <v>6</v>
          </cell>
        </row>
        <row r="130">
          <cell r="A130" t="str">
            <v>得意先名</v>
          </cell>
          <cell r="B130" t="str">
            <v>TOKMEI</v>
          </cell>
          <cell r="C130" t="str">
            <v>X</v>
          </cell>
          <cell r="D130">
            <v>30</v>
          </cell>
        </row>
        <row r="131">
          <cell r="A131" t="str">
            <v>得意先名(ANK)</v>
          </cell>
          <cell r="B131" t="str">
            <v>TOKMEI_ANK</v>
          </cell>
          <cell r="C131" t="str">
            <v>X</v>
          </cell>
          <cell r="D131">
            <v>20</v>
          </cell>
        </row>
        <row r="132">
          <cell r="A132" t="str">
            <v>取扱区分</v>
          </cell>
          <cell r="B132" t="str">
            <v>TORKBN</v>
          </cell>
          <cell r="C132">
            <v>9</v>
          </cell>
          <cell r="D132">
            <v>1</v>
          </cell>
        </row>
        <row r="133">
          <cell r="A133" t="str">
            <v>取引日付</v>
          </cell>
          <cell r="B133" t="str">
            <v>HZK</v>
          </cell>
          <cell r="C133" t="str">
            <v>X</v>
          </cell>
          <cell r="D133">
            <v>8</v>
          </cell>
        </row>
        <row r="134">
          <cell r="A134" t="str">
            <v>生肉売上額</v>
          </cell>
          <cell r="B134" t="str">
            <v>URIAGE_NAM</v>
          </cell>
          <cell r="C134">
            <v>9</v>
          </cell>
          <cell r="D134">
            <v>9</v>
          </cell>
        </row>
        <row r="135">
          <cell r="A135" t="str">
            <v>入金領域</v>
          </cell>
          <cell r="B135" t="str">
            <v>NAMKAI</v>
          </cell>
          <cell r="C135" t="str">
            <v xml:space="preserve"> </v>
          </cell>
          <cell r="D135" t="str">
            <v xml:space="preserve"> </v>
          </cell>
        </row>
        <row r="136">
          <cell r="A136" t="str">
            <v>生肉回数</v>
          </cell>
          <cell r="B136" t="str">
            <v>NAMKAI</v>
          </cell>
          <cell r="C136">
            <v>9</v>
          </cell>
          <cell r="D136">
            <v>2</v>
          </cell>
        </row>
        <row r="137">
          <cell r="A137" t="str">
            <v>生肉締日</v>
          </cell>
          <cell r="B137" t="str">
            <v>NAMSIM</v>
          </cell>
          <cell r="C137" t="str">
            <v xml:space="preserve"> </v>
          </cell>
          <cell r="D137" t="str">
            <v xml:space="preserve"> </v>
          </cell>
        </row>
        <row r="138">
          <cell r="A138" t="str">
            <v>生肉消費税</v>
          </cell>
          <cell r="B138" t="str">
            <v>SHIZEI_NAM</v>
          </cell>
          <cell r="C138">
            <v>9</v>
          </cell>
          <cell r="D138">
            <v>9</v>
          </cell>
        </row>
        <row r="139">
          <cell r="A139" t="str">
            <v>入金領域</v>
          </cell>
          <cell r="B139" t="str">
            <v>NYUKIN_AREA</v>
          </cell>
        </row>
        <row r="140">
          <cell r="A140" t="str">
            <v>入庫確定数</v>
          </cell>
          <cell r="B140" t="str">
            <v>NYUKAK_SU</v>
          </cell>
          <cell r="C140">
            <v>9</v>
          </cell>
          <cell r="D140">
            <v>9</v>
          </cell>
        </row>
        <row r="141">
          <cell r="A141" t="str">
            <v>入庫日</v>
          </cell>
          <cell r="B141" t="str">
            <v>NYUKBI</v>
          </cell>
          <cell r="C141" t="str">
            <v>X</v>
          </cell>
          <cell r="D141">
            <v>8</v>
          </cell>
        </row>
        <row r="142">
          <cell r="A142" t="str">
            <v>入庫待数</v>
          </cell>
          <cell r="B142" t="str">
            <v>NYUMAT</v>
          </cell>
          <cell r="C142">
            <v>9</v>
          </cell>
          <cell r="D142">
            <v>9</v>
          </cell>
        </row>
        <row r="143">
          <cell r="A143" t="str">
            <v>入庫予定数</v>
          </cell>
          <cell r="B143" t="str">
            <v>NYUYOK</v>
          </cell>
          <cell r="C143">
            <v>9</v>
          </cell>
          <cell r="D143">
            <v>9</v>
          </cell>
        </row>
        <row r="144">
          <cell r="A144" t="str">
            <v>入庫予定日</v>
          </cell>
          <cell r="B144" t="str">
            <v>NYUYOT_DAT</v>
          </cell>
          <cell r="C144" t="str">
            <v>X</v>
          </cell>
          <cell r="D144">
            <v>8</v>
          </cell>
        </row>
        <row r="145">
          <cell r="A145" t="str">
            <v>値引</v>
          </cell>
          <cell r="B145" t="str">
            <v>NEBIKI</v>
          </cell>
          <cell r="C145">
            <v>9</v>
          </cell>
          <cell r="D145">
            <v>9</v>
          </cell>
        </row>
        <row r="146">
          <cell r="A146" t="str">
            <v>年月</v>
          </cell>
          <cell r="B146" t="str">
            <v>NENGET</v>
          </cell>
          <cell r="C146">
            <v>9</v>
          </cell>
          <cell r="D146">
            <v>6</v>
          </cell>
        </row>
        <row r="147">
          <cell r="A147" t="str">
            <v>納入サイクル</v>
          </cell>
          <cell r="B147" t="str">
            <v>SAIKUR</v>
          </cell>
          <cell r="C147">
            <v>9</v>
          </cell>
          <cell r="D147">
            <v>2</v>
          </cell>
        </row>
        <row r="148">
          <cell r="A148" t="str">
            <v>納品先ＣＤ</v>
          </cell>
          <cell r="B148" t="str">
            <v>NOUHNC</v>
          </cell>
          <cell r="C148" t="str">
            <v>X</v>
          </cell>
          <cell r="D148">
            <v>6</v>
          </cell>
        </row>
        <row r="149">
          <cell r="A149" t="str">
            <v>納品先区分</v>
          </cell>
          <cell r="B149" t="str">
            <v>NOUKBN</v>
          </cell>
          <cell r="C149">
            <v>9</v>
          </cell>
          <cell r="D149">
            <v>1</v>
          </cell>
        </row>
        <row r="150">
          <cell r="A150" t="str">
            <v>納品先名</v>
          </cell>
          <cell r="B150" t="str">
            <v>NOUHNM</v>
          </cell>
          <cell r="C150" t="str">
            <v>X</v>
          </cell>
          <cell r="D150">
            <v>16</v>
          </cell>
        </row>
        <row r="151">
          <cell r="A151" t="str">
            <v>納品日</v>
          </cell>
          <cell r="B151" t="str">
            <v>NOUHBI</v>
          </cell>
          <cell r="C151" t="str">
            <v>X</v>
          </cell>
          <cell r="D151">
            <v>8</v>
          </cell>
        </row>
        <row r="152">
          <cell r="A152" t="str">
            <v>配送休日</v>
          </cell>
          <cell r="B152" t="str">
            <v>HAIKYU</v>
          </cell>
          <cell r="C152" t="str">
            <v>X</v>
          </cell>
          <cell r="D152">
            <v>1</v>
          </cell>
        </row>
        <row r="153">
          <cell r="A153" t="str">
            <v>配送休日区分</v>
          </cell>
          <cell r="B153" t="str">
            <v>HAIKBN</v>
          </cell>
          <cell r="C153" t="str">
            <v xml:space="preserve"> </v>
          </cell>
          <cell r="D153" t="str">
            <v xml:space="preserve"> </v>
          </cell>
        </row>
        <row r="154">
          <cell r="A154" t="str">
            <v>発注№</v>
          </cell>
          <cell r="B154" t="str">
            <v>HAT_NO</v>
          </cell>
          <cell r="C154" t="str">
            <v>X</v>
          </cell>
          <cell r="D154">
            <v>6</v>
          </cell>
        </row>
        <row r="155">
          <cell r="A155" t="str">
            <v>発注先ＣＤ</v>
          </cell>
          <cell r="B155" t="str">
            <v>HATSAK</v>
          </cell>
          <cell r="C155" t="str">
            <v>X</v>
          </cell>
          <cell r="D155">
            <v>6</v>
          </cell>
        </row>
        <row r="156">
          <cell r="A156" t="str">
            <v>発注先名</v>
          </cell>
          <cell r="B156" t="str">
            <v>HATSAK_MEI</v>
          </cell>
          <cell r="C156" t="str">
            <v>X</v>
          </cell>
          <cell r="D156">
            <v>16</v>
          </cell>
        </row>
        <row r="157">
          <cell r="A157" t="str">
            <v>発注単位ＣＤ</v>
          </cell>
          <cell r="B157" t="str">
            <v>HATTNI</v>
          </cell>
          <cell r="C157">
            <v>9</v>
          </cell>
          <cell r="D157">
            <v>1</v>
          </cell>
        </row>
        <row r="158">
          <cell r="A158" t="str">
            <v>発注年月</v>
          </cell>
          <cell r="B158" t="str">
            <v>HATNGT</v>
          </cell>
          <cell r="C158" t="str">
            <v>X</v>
          </cell>
          <cell r="D158">
            <v>6</v>
          </cell>
        </row>
        <row r="159">
          <cell r="A159" t="str">
            <v>発注変更入力区分</v>
          </cell>
          <cell r="B159" t="str">
            <v>HNKKBN</v>
          </cell>
          <cell r="C159" t="str">
            <v>X</v>
          </cell>
          <cell r="D159">
            <v>1</v>
          </cell>
        </row>
        <row r="160">
          <cell r="A160" t="str">
            <v>発注元ＣＤ</v>
          </cell>
          <cell r="B160" t="str">
            <v>HATMOT</v>
          </cell>
          <cell r="C160" t="str">
            <v>X</v>
          </cell>
          <cell r="D160">
            <v>6</v>
          </cell>
        </row>
        <row r="161">
          <cell r="A161" t="str">
            <v>発注元事業所名称(ANK)</v>
          </cell>
          <cell r="B161" t="str">
            <v>HATMOT_MEI_ANK</v>
          </cell>
          <cell r="C161" t="str">
            <v>X</v>
          </cell>
          <cell r="D161">
            <v>15</v>
          </cell>
        </row>
        <row r="162">
          <cell r="A162" t="str">
            <v>発注元名</v>
          </cell>
          <cell r="B162" t="str">
            <v>HATMOT_MEI</v>
          </cell>
          <cell r="C162" t="str">
            <v>X</v>
          </cell>
          <cell r="D162">
            <v>16</v>
          </cell>
        </row>
        <row r="163">
          <cell r="A163" t="str">
            <v>発注予定日</v>
          </cell>
          <cell r="B163" t="str">
            <v>HATYOT_DAT</v>
          </cell>
          <cell r="C163" t="str">
            <v>X</v>
          </cell>
          <cell r="D163">
            <v>8</v>
          </cell>
        </row>
        <row r="164">
          <cell r="A164" t="str">
            <v>班コード</v>
          </cell>
          <cell r="B164" t="str">
            <v>HANC</v>
          </cell>
          <cell r="C164">
            <v>9</v>
          </cell>
          <cell r="D164">
            <v>1</v>
          </cell>
        </row>
        <row r="165">
          <cell r="A165" t="str">
            <v>引当数</v>
          </cell>
          <cell r="B165" t="str">
            <v>HIKIAT</v>
          </cell>
          <cell r="C165">
            <v>9</v>
          </cell>
          <cell r="D165">
            <v>9</v>
          </cell>
        </row>
        <row r="166">
          <cell r="A166" t="str">
            <v>引当日</v>
          </cell>
          <cell r="B166" t="str">
            <v>HIKIBI</v>
          </cell>
          <cell r="C166" t="str">
            <v>X</v>
          </cell>
          <cell r="D166">
            <v>8</v>
          </cell>
        </row>
        <row r="167">
          <cell r="A167" t="str">
            <v>標準売価</v>
          </cell>
          <cell r="B167" t="str">
            <v>BAITNK</v>
          </cell>
          <cell r="C167">
            <v>9</v>
          </cell>
          <cell r="D167">
            <v>9</v>
          </cell>
        </row>
        <row r="168">
          <cell r="A168" t="str">
            <v>品種Ｃ＊</v>
          </cell>
          <cell r="B168" t="str">
            <v>HINSHU</v>
          </cell>
          <cell r="C168" t="str">
            <v xml:space="preserve"> </v>
          </cell>
          <cell r="D168" t="str">
            <v xml:space="preserve"> </v>
          </cell>
        </row>
        <row r="169">
          <cell r="A169" t="str">
            <v>品種ＣＤ</v>
          </cell>
          <cell r="B169" t="str">
            <v>HINSHC</v>
          </cell>
          <cell r="C169">
            <v>9</v>
          </cell>
          <cell r="D169">
            <v>3</v>
          </cell>
        </row>
        <row r="170">
          <cell r="A170" t="str">
            <v>ファイル種別</v>
          </cell>
          <cell r="B170" t="str">
            <v>FILSYU</v>
          </cell>
          <cell r="C170" t="str">
            <v>X</v>
          </cell>
          <cell r="D170">
            <v>2</v>
          </cell>
        </row>
        <row r="171">
          <cell r="A171" t="str">
            <v>ファイル名</v>
          </cell>
          <cell r="B171" t="str">
            <v>FILMEI</v>
          </cell>
          <cell r="C171" t="str">
            <v>X</v>
          </cell>
          <cell r="D171">
            <v>15</v>
          </cell>
        </row>
        <row r="172">
          <cell r="A172" t="str">
            <v>複数事業所管理区分</v>
          </cell>
          <cell r="B172" t="str">
            <v>MU_JIKAN</v>
          </cell>
          <cell r="C172">
            <v>9</v>
          </cell>
          <cell r="D172">
            <v>3</v>
          </cell>
        </row>
        <row r="173">
          <cell r="A173" t="str">
            <v>不良品在庫数</v>
          </cell>
          <cell r="B173" t="str">
            <v>FRYZAI</v>
          </cell>
          <cell r="C173">
            <v>9</v>
          </cell>
          <cell r="D173">
            <v>9</v>
          </cell>
        </row>
        <row r="174">
          <cell r="A174" t="str">
            <v>プログラム名称</v>
          </cell>
          <cell r="B174" t="str">
            <v>AP_NM</v>
          </cell>
          <cell r="C174" t="str">
            <v>X</v>
          </cell>
          <cell r="D174">
            <v>15</v>
          </cell>
        </row>
        <row r="175">
          <cell r="A175" t="str">
            <v>変更日付</v>
          </cell>
          <cell r="B175" t="str">
            <v>UDATE</v>
          </cell>
          <cell r="C175" t="str">
            <v>X</v>
          </cell>
          <cell r="D175">
            <v>8</v>
          </cell>
        </row>
        <row r="176">
          <cell r="A176" t="str">
            <v>ポインター数</v>
          </cell>
          <cell r="B176" t="str">
            <v>POINT</v>
          </cell>
          <cell r="C176">
            <v>9</v>
          </cell>
          <cell r="D176">
            <v>6</v>
          </cell>
        </row>
        <row r="177">
          <cell r="A177" t="str">
            <v>ポインター名</v>
          </cell>
          <cell r="B177" t="str">
            <v>PINMEI</v>
          </cell>
          <cell r="C177" t="str">
            <v>X</v>
          </cell>
          <cell r="D177">
            <v>1</v>
          </cell>
        </row>
        <row r="178">
          <cell r="A178" t="str">
            <v>前月粗利益</v>
          </cell>
          <cell r="B178" t="str">
            <v>ARIEKI_ZEN</v>
          </cell>
          <cell r="C178">
            <v>9</v>
          </cell>
          <cell r="D178">
            <v>9</v>
          </cell>
        </row>
        <row r="179">
          <cell r="A179" t="str">
            <v>前月売上</v>
          </cell>
          <cell r="B179" t="str">
            <v>URIAGE_ZEN</v>
          </cell>
          <cell r="C179">
            <v>9</v>
          </cell>
          <cell r="D179">
            <v>9</v>
          </cell>
        </row>
        <row r="180">
          <cell r="A180" t="str">
            <v>前月消費税</v>
          </cell>
          <cell r="B180" t="str">
            <v>SHIZEI_ZEN</v>
          </cell>
          <cell r="C180">
            <v>9</v>
          </cell>
          <cell r="D180">
            <v>9</v>
          </cell>
        </row>
        <row r="181">
          <cell r="A181" t="str">
            <v>前月諸経費</v>
          </cell>
          <cell r="B181" t="str">
            <v>SHOKHI_ZEN</v>
          </cell>
          <cell r="C181">
            <v>9</v>
          </cell>
          <cell r="D181">
            <v>9</v>
          </cell>
        </row>
        <row r="182">
          <cell r="A182" t="str">
            <v>前月入金</v>
          </cell>
          <cell r="B182" t="str">
            <v>NYUKIN_ZEN</v>
          </cell>
          <cell r="C182">
            <v>9</v>
          </cell>
          <cell r="D182">
            <v>9</v>
          </cell>
        </row>
        <row r="183">
          <cell r="A183" t="str">
            <v>前月返品・戻り・値引</v>
          </cell>
          <cell r="B183" t="str">
            <v>NYUKIN_ZEN</v>
          </cell>
          <cell r="C183">
            <v>9</v>
          </cell>
          <cell r="D183">
            <v>9</v>
          </cell>
        </row>
        <row r="184">
          <cell r="A184" t="str">
            <v>明細行№</v>
          </cell>
          <cell r="B184" t="str">
            <v>MEISAI_NO</v>
          </cell>
          <cell r="C184">
            <v>9</v>
          </cell>
          <cell r="D184">
            <v>3</v>
          </cell>
        </row>
        <row r="185">
          <cell r="A185" t="str">
            <v>明細データ</v>
          </cell>
          <cell r="B185" t="str">
            <v>MEISAI</v>
          </cell>
          <cell r="C185" t="str">
            <v xml:space="preserve"> </v>
          </cell>
          <cell r="D185" t="str">
            <v xml:space="preserve"> </v>
          </cell>
        </row>
        <row r="186">
          <cell r="A186" t="str">
            <v>元発注？</v>
          </cell>
          <cell r="B186" t="str">
            <v>SNDKBN</v>
          </cell>
          <cell r="C186" t="str">
            <v>X</v>
          </cell>
          <cell r="D186">
            <v>1</v>
          </cell>
        </row>
        <row r="187">
          <cell r="A187" t="str">
            <v>有効期限</v>
          </cell>
          <cell r="B187" t="str">
            <v>YUKOBI</v>
          </cell>
          <cell r="C187" t="str">
            <v>X</v>
          </cell>
          <cell r="D187">
            <v>8</v>
          </cell>
        </row>
        <row r="188">
          <cell r="A188" t="str">
            <v>有効在庫数</v>
          </cell>
          <cell r="B188" t="str">
            <v>YUKZAI</v>
          </cell>
          <cell r="C188">
            <v>9</v>
          </cell>
          <cell r="D188">
            <v>9</v>
          </cell>
        </row>
        <row r="189">
          <cell r="A189" t="str">
            <v>翌月売上</v>
          </cell>
          <cell r="B189" t="str">
            <v>URIAGE_YOK</v>
          </cell>
          <cell r="C189">
            <v>9</v>
          </cell>
          <cell r="D189">
            <v>9</v>
          </cell>
        </row>
        <row r="190">
          <cell r="A190" t="str">
            <v>翌月消費税</v>
          </cell>
          <cell r="B190" t="str">
            <v>SHIZEI_YOK</v>
          </cell>
          <cell r="C190">
            <v>9</v>
          </cell>
          <cell r="D190">
            <v>9</v>
          </cell>
        </row>
        <row r="191">
          <cell r="A191" t="str">
            <v>翌月諸経費</v>
          </cell>
          <cell r="B191" t="str">
            <v>SHOKHI_YOK</v>
          </cell>
          <cell r="C191">
            <v>9</v>
          </cell>
          <cell r="D191">
            <v>9</v>
          </cell>
        </row>
        <row r="192">
          <cell r="A192" t="str">
            <v>翌月請求</v>
          </cell>
          <cell r="B192" t="str">
            <v>SEIKYU_YOK</v>
          </cell>
          <cell r="C192" t="str">
            <v xml:space="preserve"> </v>
          </cell>
          <cell r="D192" t="str">
            <v xml:space="preserve"> </v>
          </cell>
        </row>
        <row r="193">
          <cell r="A193" t="str">
            <v>翌月入金</v>
          </cell>
          <cell r="B193" t="str">
            <v>NYUKIN_YOK</v>
          </cell>
          <cell r="C193">
            <v>9</v>
          </cell>
          <cell r="D193">
            <v>9</v>
          </cell>
        </row>
        <row r="194">
          <cell r="A194" t="str">
            <v>翌月返品・戻り・値引</v>
          </cell>
          <cell r="B194" t="str">
            <v>HENPIN_YOK</v>
          </cell>
          <cell r="C194">
            <v>9</v>
          </cell>
          <cell r="D194">
            <v>9</v>
          </cell>
        </row>
        <row r="195">
          <cell r="A195" t="str">
            <v>与信限度額(万円)</v>
          </cell>
          <cell r="B195" t="str">
            <v>YOSHIN</v>
          </cell>
          <cell r="C195">
            <v>9</v>
          </cell>
          <cell r="D195">
            <v>9</v>
          </cell>
        </row>
        <row r="196">
          <cell r="A196" t="str">
            <v>量販店ＣＤ</v>
          </cell>
          <cell r="B196" t="str">
            <v>RYOHAN</v>
          </cell>
          <cell r="C196">
            <v>9</v>
          </cell>
          <cell r="D196">
            <v>6</v>
          </cell>
        </row>
        <row r="197">
          <cell r="A197" t="str">
            <v>良品在庫数</v>
          </cell>
          <cell r="B197" t="str">
            <v>ZAIKO</v>
          </cell>
          <cell r="C197">
            <v>9</v>
          </cell>
          <cell r="D197">
            <v>9</v>
          </cell>
        </row>
        <row r="198">
          <cell r="A198" t="str">
            <v>レコード種別</v>
          </cell>
          <cell r="B198" t="str">
            <v>RECSYU</v>
          </cell>
          <cell r="C198" t="str">
            <v>X</v>
          </cell>
          <cell r="D198">
            <v>1</v>
          </cell>
        </row>
        <row r="199">
          <cell r="A199" t="str">
            <v>ロット№</v>
          </cell>
          <cell r="B199" t="str">
            <v>LOT_NO</v>
          </cell>
          <cell r="C199" t="str">
            <v>X</v>
          </cell>
          <cell r="D199">
            <v>10</v>
          </cell>
        </row>
        <row r="200">
          <cell r="A200" t="str">
            <v>最終更新日</v>
          </cell>
          <cell r="B200" t="str">
            <v>UPDATE</v>
          </cell>
          <cell r="C200" t="str">
            <v>X</v>
          </cell>
          <cell r="D200">
            <v>8</v>
          </cell>
        </row>
        <row r="201">
          <cell r="A201" t="str">
            <v>作成日</v>
          </cell>
          <cell r="B201" t="str">
            <v>CRDATE</v>
          </cell>
          <cell r="C201" t="str">
            <v>X</v>
          </cell>
          <cell r="D201">
            <v>8</v>
          </cell>
        </row>
        <row r="202">
          <cell r="A202" t="str">
            <v>プログラムＩＤ</v>
          </cell>
          <cell r="B202" t="str">
            <v>AP_ID</v>
          </cell>
          <cell r="C202" t="str">
            <v>X</v>
          </cell>
          <cell r="D202">
            <v>20</v>
          </cell>
        </row>
        <row r="203">
          <cell r="A203" t="str">
            <v>行№</v>
          </cell>
          <cell r="B203" t="str">
            <v>GYONO</v>
          </cell>
          <cell r="C203">
            <v>9</v>
          </cell>
          <cell r="D203">
            <v>2</v>
          </cell>
        </row>
        <row r="204">
          <cell r="A204" t="str">
            <v>伝票区分</v>
          </cell>
          <cell r="B204" t="str">
            <v>DNPKBN</v>
          </cell>
          <cell r="C204" t="str">
            <v>X</v>
          </cell>
          <cell r="D204">
            <v>2</v>
          </cell>
        </row>
        <row r="205">
          <cell r="A205" t="str">
            <v>配送業者ＣＤ</v>
          </cell>
          <cell r="B205" t="str">
            <v>HAISOU_CD</v>
          </cell>
          <cell r="C205" t="str">
            <v>X</v>
          </cell>
          <cell r="D205">
            <v>6</v>
          </cell>
        </row>
        <row r="206">
          <cell r="A206" t="str">
            <v>配送業者名</v>
          </cell>
          <cell r="B206" t="str">
            <v>HAISOU_NM</v>
          </cell>
          <cell r="C206" t="str">
            <v>X</v>
          </cell>
          <cell r="D206">
            <v>40</v>
          </cell>
        </row>
        <row r="207">
          <cell r="A207" t="str">
            <v>単位区分</v>
          </cell>
          <cell r="B207" t="str">
            <v>TNIKBN</v>
          </cell>
          <cell r="C207" t="str">
            <v>X</v>
          </cell>
          <cell r="D207">
            <v>1</v>
          </cell>
        </row>
        <row r="208">
          <cell r="A208" t="str">
            <v>単位</v>
          </cell>
          <cell r="B208" t="str">
            <v>TNI</v>
          </cell>
          <cell r="C208" t="str">
            <v>X</v>
          </cell>
          <cell r="D208">
            <v>2</v>
          </cell>
        </row>
        <row r="209">
          <cell r="A209" t="str">
            <v>重量</v>
          </cell>
          <cell r="B209" t="str">
            <v>JYURYO</v>
          </cell>
          <cell r="C209">
            <v>9</v>
          </cell>
          <cell r="D209">
            <v>9</v>
          </cell>
        </row>
        <row r="210">
          <cell r="A210" t="str">
            <v>作成日時</v>
          </cell>
          <cell r="B210" t="str">
            <v>M_YMDHM</v>
          </cell>
          <cell r="C210">
            <v>9</v>
          </cell>
          <cell r="D210">
            <v>12</v>
          </cell>
        </row>
        <row r="211">
          <cell r="A211" t="str">
            <v>更新日時</v>
          </cell>
          <cell r="B211" t="str">
            <v>U_YMDHM</v>
          </cell>
          <cell r="C211">
            <v>9</v>
          </cell>
          <cell r="D211">
            <v>12</v>
          </cell>
        </row>
        <row r="212">
          <cell r="A212" t="str">
            <v>出庫依頼書出力パターン</v>
          </cell>
          <cell r="B212" t="str">
            <v>SYU_PTN</v>
          </cell>
          <cell r="C212">
            <v>9</v>
          </cell>
          <cell r="D212">
            <v>1</v>
          </cell>
        </row>
        <row r="213">
          <cell r="A213" t="str">
            <v>受注単位ＣＤ</v>
          </cell>
          <cell r="B213" t="str">
            <v>JYUTNI_CD</v>
          </cell>
          <cell r="C213">
            <v>9</v>
          </cell>
          <cell r="D213">
            <v>1</v>
          </cell>
        </row>
        <row r="214">
          <cell r="A214" t="str">
            <v>曜日</v>
          </cell>
          <cell r="B214" t="str">
            <v>YOBI</v>
          </cell>
          <cell r="C214" t="str">
            <v>X</v>
          </cell>
          <cell r="D214">
            <v>2</v>
          </cell>
        </row>
        <row r="215">
          <cell r="A215" t="str">
            <v>確認書出力パターン</v>
          </cell>
          <cell r="B215" t="str">
            <v>KAKUNI_PTN</v>
          </cell>
          <cell r="C215">
            <v>9</v>
          </cell>
          <cell r="D215">
            <v>1</v>
          </cell>
        </row>
        <row r="216">
          <cell r="A216" t="str">
            <v>倉移送フラグ</v>
          </cell>
          <cell r="B216" t="str">
            <v>KURAIS</v>
          </cell>
          <cell r="C216">
            <v>9</v>
          </cell>
          <cell r="D216">
            <v>1</v>
          </cell>
        </row>
        <row r="217">
          <cell r="A217" t="str">
            <v>受注確認書区分</v>
          </cell>
          <cell r="B217" t="str">
            <v>JYUKAK_KBN</v>
          </cell>
          <cell r="C217">
            <v>9</v>
          </cell>
          <cell r="D217">
            <v>1</v>
          </cell>
        </row>
        <row r="218">
          <cell r="A218" t="str">
            <v>受注確認書ＦＡＸ</v>
          </cell>
          <cell r="B218" t="str">
            <v>JYUKAK_FAX</v>
          </cell>
          <cell r="C218" t="str">
            <v>X</v>
          </cell>
          <cell r="D218">
            <v>10</v>
          </cell>
        </row>
        <row r="219">
          <cell r="A219" t="str">
            <v>開始№</v>
          </cell>
          <cell r="B219" t="str">
            <v>START_NO</v>
          </cell>
          <cell r="C219">
            <v>9</v>
          </cell>
          <cell r="D219">
            <v>6</v>
          </cell>
        </row>
        <row r="220">
          <cell r="A220" t="str">
            <v>終了№</v>
          </cell>
          <cell r="B220" t="str">
            <v>END_NO</v>
          </cell>
          <cell r="C220">
            <v>9</v>
          </cell>
          <cell r="D220">
            <v>6</v>
          </cell>
        </row>
        <row r="221">
          <cell r="A221" t="str">
            <v>現在№</v>
          </cell>
          <cell r="B221" t="str">
            <v>NOW_NO</v>
          </cell>
          <cell r="C221">
            <v>9</v>
          </cell>
          <cell r="D221">
            <v>6</v>
          </cell>
        </row>
        <row r="222">
          <cell r="A222" t="str">
            <v>雑区分</v>
          </cell>
          <cell r="B222" t="str">
            <v>ZATU_KBN</v>
          </cell>
          <cell r="C222">
            <v>9</v>
          </cell>
          <cell r="D222">
            <v>2</v>
          </cell>
        </row>
        <row r="223">
          <cell r="A223" t="str">
            <v>伝票行数</v>
          </cell>
          <cell r="B223" t="str">
            <v>DEN_GYOSU</v>
          </cell>
          <cell r="C223">
            <v>9</v>
          </cell>
          <cell r="D223">
            <v>2</v>
          </cell>
        </row>
        <row r="224">
          <cell r="A224" t="str">
            <v>仕入単価／個</v>
          </cell>
          <cell r="B224" t="str">
            <v>SIRTNK_KO</v>
          </cell>
          <cell r="C224">
            <v>9</v>
          </cell>
          <cell r="D224">
            <v>9</v>
          </cell>
        </row>
        <row r="225">
          <cell r="A225" t="str">
            <v>仕入単価／kg</v>
          </cell>
          <cell r="B225" t="str">
            <v>SIRTNK_KG</v>
          </cell>
          <cell r="C225">
            <v>9</v>
          </cell>
          <cell r="D225">
            <v>9</v>
          </cell>
        </row>
        <row r="226">
          <cell r="A226" t="str">
            <v>ステーション名</v>
          </cell>
          <cell r="B226" t="str">
            <v>TERMID</v>
          </cell>
          <cell r="C226" t="str">
            <v>X</v>
          </cell>
          <cell r="D226">
            <v>10</v>
          </cell>
        </row>
        <row r="227">
          <cell r="A227" t="str">
            <v>納品日数</v>
          </cell>
          <cell r="B227" t="str">
            <v>NOHDAT</v>
          </cell>
          <cell r="C227">
            <v>9</v>
          </cell>
          <cell r="D227">
            <v>2</v>
          </cell>
        </row>
        <row r="228">
          <cell r="A228" t="str">
            <v>移動伝票№</v>
          </cell>
          <cell r="B228" t="str">
            <v>IDODNO</v>
          </cell>
          <cell r="C228">
            <v>9</v>
          </cell>
          <cell r="D228">
            <v>6</v>
          </cell>
        </row>
        <row r="229">
          <cell r="A229" t="str">
            <v>伝票入力№</v>
          </cell>
          <cell r="B229" t="str">
            <v>DNYUNO</v>
          </cell>
          <cell r="C229">
            <v>9</v>
          </cell>
          <cell r="D229">
            <v>6</v>
          </cell>
        </row>
        <row r="230">
          <cell r="A230" t="str">
            <v>ケース数</v>
          </cell>
          <cell r="B230" t="str">
            <v>CASESU</v>
          </cell>
          <cell r="C230">
            <v>9</v>
          </cell>
          <cell r="D230">
            <v>7</v>
          </cell>
        </row>
        <row r="231">
          <cell r="A231" t="str">
            <v>個数</v>
          </cell>
          <cell r="B231" t="str">
            <v>KOSU</v>
          </cell>
          <cell r="C231">
            <v>9</v>
          </cell>
          <cell r="D231">
            <v>8</v>
          </cell>
        </row>
        <row r="232">
          <cell r="A232" t="str">
            <v>受注ケース数</v>
          </cell>
          <cell r="B232" t="str">
            <v>JYCASU</v>
          </cell>
          <cell r="C232">
            <v>9</v>
          </cell>
          <cell r="D232">
            <v>7</v>
          </cell>
        </row>
        <row r="233">
          <cell r="A233" t="str">
            <v>受注個数</v>
          </cell>
          <cell r="B233" t="str">
            <v>JYKOSU</v>
          </cell>
          <cell r="C233">
            <v>9</v>
          </cell>
          <cell r="D233">
            <v>8</v>
          </cell>
        </row>
        <row r="234">
          <cell r="A234" t="str">
            <v>引当ケース数</v>
          </cell>
          <cell r="B234" t="str">
            <v>HICASU</v>
          </cell>
          <cell r="C234">
            <v>9</v>
          </cell>
          <cell r="D234">
            <v>7</v>
          </cell>
        </row>
        <row r="235">
          <cell r="A235" t="str">
            <v>引当個数</v>
          </cell>
          <cell r="B235" t="str">
            <v>HIKOSU</v>
          </cell>
          <cell r="C235">
            <v>9</v>
          </cell>
          <cell r="D235">
            <v>8</v>
          </cell>
        </row>
        <row r="236">
          <cell r="A236" t="str">
            <v>欠品ケース数</v>
          </cell>
          <cell r="B236" t="str">
            <v>KECASU</v>
          </cell>
          <cell r="C236">
            <v>9</v>
          </cell>
          <cell r="D236">
            <v>7</v>
          </cell>
        </row>
        <row r="237">
          <cell r="A237" t="str">
            <v>欠品個数</v>
          </cell>
          <cell r="B237" t="str">
            <v>KEKOSU</v>
          </cell>
          <cell r="C237">
            <v>9</v>
          </cell>
          <cell r="D237">
            <v>8</v>
          </cell>
        </row>
        <row r="238">
          <cell r="A238" t="str">
            <v>確認フラグ</v>
          </cell>
          <cell r="B238" t="str">
            <v>KAKUFL</v>
          </cell>
          <cell r="C238">
            <v>9</v>
          </cell>
          <cell r="D238">
            <v>1</v>
          </cell>
        </row>
        <row r="239">
          <cell r="A239" t="str">
            <v>相手先伝票№</v>
          </cell>
          <cell r="B239" t="str">
            <v>AITDNO</v>
          </cell>
          <cell r="C239">
            <v>9</v>
          </cell>
          <cell r="D239">
            <v>10</v>
          </cell>
        </row>
        <row r="240">
          <cell r="A240" t="str">
            <v>仕入日</v>
          </cell>
          <cell r="B240" t="str">
            <v>SIRDAT</v>
          </cell>
          <cell r="C240">
            <v>9</v>
          </cell>
          <cell r="D240">
            <v>8</v>
          </cell>
        </row>
        <row r="241">
          <cell r="A241" t="str">
            <v>営業所ＣＤ</v>
          </cell>
          <cell r="B241" t="str">
            <v>EIGYCD</v>
          </cell>
          <cell r="C241" t="str">
            <v>X</v>
          </cell>
          <cell r="D241">
            <v>6</v>
          </cell>
        </row>
        <row r="242">
          <cell r="A242" t="str">
            <v>仕入単価</v>
          </cell>
          <cell r="B242" t="str">
            <v>SIRTAN</v>
          </cell>
          <cell r="C242">
            <v>9</v>
          </cell>
          <cell r="D242">
            <v>9</v>
          </cell>
        </row>
        <row r="243">
          <cell r="A243" t="str">
            <v>移動単価</v>
          </cell>
          <cell r="B243" t="str">
            <v>IDOTAN</v>
          </cell>
          <cell r="C243">
            <v>9</v>
          </cell>
          <cell r="D243">
            <v>9</v>
          </cell>
        </row>
        <row r="244">
          <cell r="A244" t="str">
            <v>受注日</v>
          </cell>
          <cell r="B244" t="str">
            <v>JYUDATE</v>
          </cell>
          <cell r="C244">
            <v>9</v>
          </cell>
          <cell r="D244">
            <v>8</v>
          </cell>
        </row>
        <row r="245">
          <cell r="A245" t="str">
            <v>伝票№</v>
          </cell>
          <cell r="B245" t="str">
            <v>DENNO</v>
          </cell>
          <cell r="C245">
            <v>9</v>
          </cell>
          <cell r="D245">
            <v>6</v>
          </cell>
        </row>
        <row r="246">
          <cell r="A246" t="str">
            <v>売上担当者ＣＤ</v>
          </cell>
          <cell r="B246" t="str">
            <v>URITANCD</v>
          </cell>
          <cell r="C246">
            <v>9</v>
          </cell>
          <cell r="D246">
            <v>4</v>
          </cell>
        </row>
        <row r="247">
          <cell r="A247" t="str">
            <v>取引先ＣＤ</v>
          </cell>
          <cell r="B247" t="str">
            <v>TORICD</v>
          </cell>
          <cell r="C247">
            <v>9</v>
          </cell>
          <cell r="D247">
            <v>8</v>
          </cell>
        </row>
        <row r="248">
          <cell r="A248" t="str">
            <v>ブランチＣＤ</v>
          </cell>
          <cell r="B248" t="str">
            <v>BRANCHICD</v>
          </cell>
          <cell r="C248">
            <v>9</v>
          </cell>
          <cell r="D248">
            <v>8</v>
          </cell>
        </row>
        <row r="249">
          <cell r="A249" t="str">
            <v>分類ＣＤ</v>
          </cell>
          <cell r="B249" t="str">
            <v>BUNRUICD</v>
          </cell>
          <cell r="C249">
            <v>9</v>
          </cell>
          <cell r="D249">
            <v>4</v>
          </cell>
        </row>
        <row r="250">
          <cell r="A250" t="str">
            <v>営業所名</v>
          </cell>
          <cell r="B250" t="str">
            <v>EIGYNM</v>
          </cell>
          <cell r="C250" t="str">
            <v>X</v>
          </cell>
          <cell r="D250">
            <v>40</v>
          </cell>
        </row>
        <row r="251">
          <cell r="A251" t="str">
            <v>売上担当者名</v>
          </cell>
          <cell r="B251" t="str">
            <v>URITANNM</v>
          </cell>
          <cell r="C251" t="str">
            <v>X</v>
          </cell>
          <cell r="D251">
            <v>16</v>
          </cell>
        </row>
        <row r="252">
          <cell r="A252" t="str">
            <v>取引先名</v>
          </cell>
          <cell r="B252" t="str">
            <v>TORINM</v>
          </cell>
          <cell r="C252" t="str">
            <v>X</v>
          </cell>
          <cell r="D252">
            <v>40</v>
          </cell>
        </row>
        <row r="253">
          <cell r="A253" t="str">
            <v>ブランチ名</v>
          </cell>
          <cell r="B253" t="str">
            <v>BRANCHINM</v>
          </cell>
          <cell r="C253" t="str">
            <v>X</v>
          </cell>
          <cell r="D253">
            <v>40</v>
          </cell>
        </row>
        <row r="254">
          <cell r="A254" t="str">
            <v>分類名</v>
          </cell>
        </row>
        <row r="255">
          <cell r="A255" t="str">
            <v>仕入金額</v>
          </cell>
          <cell r="B255" t="str">
            <v>SIREGAKU</v>
          </cell>
          <cell r="C255">
            <v>9</v>
          </cell>
          <cell r="D255">
            <v>9</v>
          </cell>
        </row>
        <row r="256">
          <cell r="A256" t="str">
            <v>移動金額</v>
          </cell>
          <cell r="B256" t="str">
            <v>IDOUGAKU</v>
          </cell>
          <cell r="C256">
            <v>9</v>
          </cell>
          <cell r="D256">
            <v>9</v>
          </cell>
        </row>
        <row r="257">
          <cell r="A257" t="str">
            <v>仕入営業所ＣＤ</v>
          </cell>
          <cell r="B257" t="str">
            <v>SIEIGCD</v>
          </cell>
        </row>
        <row r="258">
          <cell r="A258" t="str">
            <v>量販取引先ＣＤ</v>
          </cell>
          <cell r="B258" t="str">
            <v>RYOTORICD</v>
          </cell>
          <cell r="C258" t="str">
            <v>X</v>
          </cell>
          <cell r="D258">
            <v>8</v>
          </cell>
        </row>
        <row r="259">
          <cell r="A259" t="str">
            <v>量販店舗ＣＤ１</v>
          </cell>
          <cell r="B259" t="str">
            <v>RYOTENCD1</v>
          </cell>
          <cell r="C259" t="str">
            <v>X</v>
          </cell>
          <cell r="D259">
            <v>8</v>
          </cell>
        </row>
        <row r="260">
          <cell r="A260" t="str">
            <v>量販店舗ＣＤ２</v>
          </cell>
          <cell r="B260" t="str">
            <v>RYOTENCD2</v>
          </cell>
          <cell r="C260" t="str">
            <v>X</v>
          </cell>
          <cell r="D260">
            <v>8</v>
          </cell>
        </row>
        <row r="261">
          <cell r="A261" t="str">
            <v>自社事業所ＣＤ</v>
          </cell>
          <cell r="B261" t="str">
            <v>JIJIGCD</v>
          </cell>
          <cell r="C261">
            <v>9</v>
          </cell>
          <cell r="D261">
            <v>4</v>
          </cell>
        </row>
        <row r="262">
          <cell r="A262" t="str">
            <v>センターＣＤ</v>
          </cell>
          <cell r="B262" t="str">
            <v>CENTERCD</v>
          </cell>
          <cell r="C262" t="str">
            <v>X</v>
          </cell>
          <cell r="D262">
            <v>8</v>
          </cell>
        </row>
        <row r="263">
          <cell r="A263" t="str">
            <v>量販店舗名称ANK</v>
          </cell>
          <cell r="B263" t="str">
            <v>RYOTENNM_ANK</v>
          </cell>
          <cell r="C263" t="str">
            <v>X</v>
          </cell>
          <cell r="D263">
            <v>18</v>
          </cell>
        </row>
        <row r="264">
          <cell r="A264" t="str">
            <v>量販店舗名称</v>
          </cell>
          <cell r="B264" t="str">
            <v>RYOTENNM</v>
          </cell>
          <cell r="C264" t="str">
            <v>X</v>
          </cell>
          <cell r="D264">
            <v>40</v>
          </cell>
        </row>
        <row r="265">
          <cell r="A265" t="str">
            <v>データ変換区分</v>
          </cell>
          <cell r="B265" t="str">
            <v>DCHGKBN</v>
          </cell>
          <cell r="C265" t="str">
            <v>X</v>
          </cell>
          <cell r="D265">
            <v>1</v>
          </cell>
        </row>
        <row r="266">
          <cell r="A266" t="str">
            <v>印刷順位</v>
          </cell>
          <cell r="B266" t="str">
            <v>PRJYUNI</v>
          </cell>
          <cell r="C266">
            <v>9</v>
          </cell>
          <cell r="D266">
            <v>3</v>
          </cell>
        </row>
        <row r="267">
          <cell r="A267" t="str">
            <v>請求対象区分</v>
          </cell>
          <cell r="B267" t="str">
            <v>SEIKYUKBN</v>
          </cell>
          <cell r="C267">
            <v>9</v>
          </cell>
          <cell r="D267">
            <v>1</v>
          </cell>
        </row>
        <row r="268">
          <cell r="A268" t="str">
            <v>移動対象区分</v>
          </cell>
          <cell r="B268" t="str">
            <v>IDOUKUBN</v>
          </cell>
          <cell r="C268">
            <v>9</v>
          </cell>
          <cell r="D268">
            <v>1</v>
          </cell>
        </row>
        <row r="269">
          <cell r="A269" t="str">
            <v>物流区分</v>
          </cell>
          <cell r="B269" t="str">
            <v>BUTUKBN</v>
          </cell>
          <cell r="C269">
            <v>9</v>
          </cell>
          <cell r="D269">
            <v>1</v>
          </cell>
        </row>
        <row r="270">
          <cell r="A270" t="str">
            <v>課税区分</v>
          </cell>
          <cell r="B270" t="str">
            <v>KAZEIKBN</v>
          </cell>
          <cell r="C270">
            <v>9</v>
          </cell>
          <cell r="D270">
            <v>1</v>
          </cell>
        </row>
        <row r="271">
          <cell r="A271" t="str">
            <v>割戻率グループ</v>
          </cell>
          <cell r="B271" t="str">
            <v>WARI_G</v>
          </cell>
          <cell r="C271" t="str">
            <v xml:space="preserve"> </v>
          </cell>
          <cell r="D271" t="str">
            <v xml:space="preserve"> </v>
          </cell>
        </row>
        <row r="272">
          <cell r="A272" t="str">
            <v>割戻率</v>
          </cell>
          <cell r="B272" t="str">
            <v>WARIRITU</v>
          </cell>
          <cell r="C272">
            <v>9</v>
          </cell>
          <cell r="D272">
            <v>3</v>
          </cell>
        </row>
        <row r="273">
          <cell r="A273" t="str">
            <v>帳票出力区分</v>
          </cell>
          <cell r="B273" t="str">
            <v>PROUTKBN</v>
          </cell>
          <cell r="C273">
            <v>9</v>
          </cell>
          <cell r="D273">
            <v>1</v>
          </cell>
        </row>
        <row r="274">
          <cell r="A274" t="str">
            <v>請求元事業所ＣＤ</v>
          </cell>
          <cell r="B274" t="str">
            <v>SEIJIGCD</v>
          </cell>
          <cell r="C274">
            <v>9</v>
          </cell>
          <cell r="D274">
            <v>4</v>
          </cell>
        </row>
        <row r="275">
          <cell r="A275" t="str">
            <v>店舗区分</v>
          </cell>
          <cell r="B275" t="str">
            <v>TENKBN</v>
          </cell>
          <cell r="C275">
            <v>9</v>
          </cell>
          <cell r="D275">
            <v>1</v>
          </cell>
        </row>
        <row r="276">
          <cell r="A276" t="str">
            <v>量販区分</v>
          </cell>
          <cell r="B276" t="str">
            <v>RYOKBN</v>
          </cell>
          <cell r="C276" t="str">
            <v>X</v>
          </cell>
          <cell r="D276">
            <v>1</v>
          </cell>
        </row>
        <row r="277">
          <cell r="A277" t="str">
            <v>量販商品ＣＤ１</v>
          </cell>
          <cell r="B277" t="str">
            <v>RYOSHOCD1</v>
          </cell>
          <cell r="C277" t="str">
            <v>X</v>
          </cell>
          <cell r="D277">
            <v>13</v>
          </cell>
        </row>
        <row r="278">
          <cell r="A278" t="str">
            <v>量販商品ＣＤ２</v>
          </cell>
          <cell r="B278" t="str">
            <v>RYOSHOCD2</v>
          </cell>
          <cell r="C278" t="str">
            <v>X</v>
          </cell>
          <cell r="D278">
            <v>13</v>
          </cell>
        </row>
        <row r="279">
          <cell r="A279" t="str">
            <v>原価単価／個orケース</v>
          </cell>
          <cell r="B279" t="str">
            <v>GENTAN_KO</v>
          </cell>
          <cell r="C279">
            <v>9</v>
          </cell>
          <cell r="D279">
            <v>8</v>
          </cell>
        </row>
        <row r="280">
          <cell r="A280" t="str">
            <v>売価単価／個orケース</v>
          </cell>
          <cell r="B280" t="str">
            <v>BAITAN_KO</v>
          </cell>
          <cell r="C280">
            <v>9</v>
          </cell>
          <cell r="D280">
            <v>8</v>
          </cell>
        </row>
        <row r="281">
          <cell r="A281" t="str">
            <v>特売単価／個orケース</v>
          </cell>
          <cell r="B281" t="str">
            <v>TKBTAN_KO</v>
          </cell>
          <cell r="C281">
            <v>9</v>
          </cell>
          <cell r="D281">
            <v>8</v>
          </cell>
        </row>
        <row r="282">
          <cell r="A282" t="str">
            <v>原価単価／㎏</v>
          </cell>
          <cell r="B282" t="str">
            <v>GENTAN_KG</v>
          </cell>
          <cell r="C282">
            <v>9</v>
          </cell>
          <cell r="D282">
            <v>8</v>
          </cell>
        </row>
        <row r="283">
          <cell r="A283" t="str">
            <v>売価単価／㎏</v>
          </cell>
          <cell r="B283" t="str">
            <v>BAITAN_KG</v>
          </cell>
          <cell r="C283">
            <v>9</v>
          </cell>
          <cell r="D283">
            <v>8</v>
          </cell>
        </row>
        <row r="284">
          <cell r="A284" t="str">
            <v>特売単価／㎏</v>
          </cell>
          <cell r="B284" t="str">
            <v>TKBTAN_KG</v>
          </cell>
          <cell r="C284">
            <v>9</v>
          </cell>
          <cell r="D284">
            <v>8</v>
          </cell>
        </row>
        <row r="285">
          <cell r="A285" t="str">
            <v>割戻区分</v>
          </cell>
          <cell r="B285" t="str">
            <v>WAIKBN</v>
          </cell>
          <cell r="C285">
            <v>9</v>
          </cell>
          <cell r="D285">
            <v>1</v>
          </cell>
        </row>
        <row r="286">
          <cell r="A286" t="str">
            <v>商品区分</v>
          </cell>
          <cell r="B286" t="str">
            <v>SHOKBN</v>
          </cell>
          <cell r="C286">
            <v>9</v>
          </cell>
          <cell r="D286">
            <v>1</v>
          </cell>
        </row>
        <row r="287">
          <cell r="A287" t="str">
            <v>当月年月日</v>
          </cell>
          <cell r="B287" t="str">
            <v>TOUYMD</v>
          </cell>
          <cell r="C287">
            <v>9</v>
          </cell>
          <cell r="D287">
            <v>8</v>
          </cell>
        </row>
        <row r="288">
          <cell r="A288" t="str">
            <v>翌月年月日</v>
          </cell>
          <cell r="B288" t="str">
            <v>YOKYMD</v>
          </cell>
          <cell r="C288">
            <v>9</v>
          </cell>
          <cell r="D288">
            <v>8</v>
          </cell>
        </row>
        <row r="289">
          <cell r="A289" t="str">
            <v>デポ出庫用伝票区分</v>
          </cell>
          <cell r="B289" t="str">
            <v>DPODENKBN</v>
          </cell>
          <cell r="C289" t="str">
            <v>X</v>
          </cell>
          <cell r="D289">
            <v>2</v>
          </cell>
        </row>
        <row r="290">
          <cell r="A290" t="str">
            <v>メーカー直送用伝票区分</v>
          </cell>
          <cell r="B290" t="str">
            <v>MKODENKBN</v>
          </cell>
          <cell r="C290" t="str">
            <v>X</v>
          </cell>
          <cell r="D290">
            <v>1</v>
          </cell>
        </row>
        <row r="291">
          <cell r="A291" t="str">
            <v>入庫依頼書コメント印字区分</v>
          </cell>
          <cell r="B291" t="str">
            <v>NYUPRKBN</v>
          </cell>
          <cell r="C291" t="str">
            <v>X</v>
          </cell>
          <cell r="D291">
            <v>1</v>
          </cell>
        </row>
        <row r="292">
          <cell r="A292" t="str">
            <v>出庫依頼書コメント印字区分</v>
          </cell>
          <cell r="B292" t="str">
            <v>SYUPRKBN</v>
          </cell>
          <cell r="C292" t="str">
            <v>X</v>
          </cell>
          <cell r="D292">
            <v>1</v>
          </cell>
        </row>
        <row r="293">
          <cell r="A293" t="str">
            <v>入出庫コメント１</v>
          </cell>
          <cell r="B293" t="str">
            <v>NYUSYUCOM1</v>
          </cell>
          <cell r="C293" t="str">
            <v>X</v>
          </cell>
          <cell r="D293">
            <v>30</v>
          </cell>
        </row>
        <row r="294">
          <cell r="A294" t="str">
            <v>入出庫コメント２</v>
          </cell>
          <cell r="B294" t="str">
            <v>NYUSYUCOM2</v>
          </cell>
          <cell r="C294" t="str">
            <v>X</v>
          </cell>
          <cell r="D294">
            <v>30</v>
          </cell>
        </row>
        <row r="295">
          <cell r="A295" t="str">
            <v>消費税率</v>
          </cell>
          <cell r="B295" t="str">
            <v>SYOZEIRITU</v>
          </cell>
          <cell r="C295">
            <v>9</v>
          </cell>
          <cell r="D295">
            <v>2</v>
          </cell>
        </row>
        <row r="296">
          <cell r="A296" t="str">
            <v>消費税率グループ</v>
          </cell>
          <cell r="B296" t="str">
            <v>SYOZEI_G</v>
          </cell>
          <cell r="C296" t="str">
            <v xml:space="preserve"> </v>
          </cell>
          <cell r="D296" t="str">
            <v xml:space="preserve"> </v>
          </cell>
        </row>
        <row r="297">
          <cell r="A297" t="str">
            <v>適用開始年月日</v>
          </cell>
          <cell r="B297" t="str">
            <v>TST_YMD</v>
          </cell>
          <cell r="C297">
            <v>9</v>
          </cell>
          <cell r="D297">
            <v>8</v>
          </cell>
        </row>
        <row r="298">
          <cell r="A298" t="str">
            <v>適用終了年月日</v>
          </cell>
          <cell r="B298" t="str">
            <v>TEN_YMD</v>
          </cell>
          <cell r="C298">
            <v>9</v>
          </cell>
          <cell r="D298">
            <v>8</v>
          </cell>
        </row>
        <row r="299">
          <cell r="A299" t="str">
            <v>消費税単位区分</v>
          </cell>
          <cell r="B299" t="str">
            <v>SYOTANKBN</v>
          </cell>
          <cell r="C299">
            <v>9</v>
          </cell>
          <cell r="D299">
            <v>1</v>
          </cell>
        </row>
        <row r="300">
          <cell r="A300" t="str">
            <v>消費税端数区分</v>
          </cell>
          <cell r="B300" t="str">
            <v>SYOHASKBN</v>
          </cell>
          <cell r="C300">
            <v>9</v>
          </cell>
          <cell r="D300">
            <v>1</v>
          </cell>
        </row>
        <row r="301">
          <cell r="A301" t="str">
            <v>受注伝票区分</v>
          </cell>
          <cell r="B301" t="str">
            <v>JYUDENKBN</v>
          </cell>
          <cell r="C301" t="str">
            <v>X</v>
          </cell>
          <cell r="D301">
            <v>2</v>
          </cell>
        </row>
        <row r="302">
          <cell r="A302" t="str">
            <v>発注済フラグ</v>
          </cell>
          <cell r="B302" t="str">
            <v>HATSUMI</v>
          </cell>
          <cell r="C302" t="str">
            <v>X</v>
          </cell>
          <cell r="D302">
            <v>1</v>
          </cell>
        </row>
        <row r="303">
          <cell r="A303" t="str">
            <v>出荷依頼書№</v>
          </cell>
          <cell r="B303" t="str">
            <v>SYIRAINO</v>
          </cell>
          <cell r="C303">
            <v>9</v>
          </cell>
          <cell r="D303">
            <v>6</v>
          </cell>
        </row>
        <row r="304">
          <cell r="A304" t="str">
            <v>状態</v>
          </cell>
          <cell r="B304" t="str">
            <v>JYOTAI</v>
          </cell>
          <cell r="C304" t="str">
            <v>X</v>
          </cell>
          <cell r="D304">
            <v>6</v>
          </cell>
        </row>
        <row r="305">
          <cell r="A305" t="str">
            <v>枚数</v>
          </cell>
          <cell r="B305" t="str">
            <v>MAISU</v>
          </cell>
          <cell r="C305">
            <v>9</v>
          </cell>
          <cell r="D305">
            <v>3</v>
          </cell>
        </row>
        <row r="306">
          <cell r="A306" t="str">
            <v>処理時間</v>
          </cell>
          <cell r="B306" t="str">
            <v>SYORIHMS</v>
          </cell>
          <cell r="C306">
            <v>9</v>
          </cell>
          <cell r="D306">
            <v>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版履歴"/>
      <sheetName val="情報入力画面"/>
      <sheetName val="errMsg一覧"/>
      <sheetName val="選択"/>
      <sheetName val="項目一覧"/>
    </sheetNames>
    <sheetDataSet>
      <sheetData sheetId="0" refreshError="1"/>
      <sheetData sheetId="1" refreshError="1"/>
      <sheetData sheetId="2" refreshError="1"/>
      <sheetData sheetId="3" refreshError="1"/>
      <sheetData sheetId="4" refreshError="1"/>
      <sheetData sheetId="5" refreshError="1">
        <row r="7">
          <cell r="C7" t="str">
            <v>受注番号</v>
          </cell>
        </row>
        <row r="8">
          <cell r="C8" t="str">
            <v>ひらがな[姓]</v>
          </cell>
        </row>
        <row r="9">
          <cell r="C9" t="str">
            <v>ひらがな[名]</v>
          </cell>
        </row>
        <row r="10">
          <cell r="C10" t="str">
            <v>漢字[姓]</v>
          </cell>
        </row>
        <row r="11">
          <cell r="C11" t="str">
            <v>漢字[名]</v>
          </cell>
        </row>
        <row r="12">
          <cell r="C12" t="str">
            <v>性別(Grp)</v>
          </cell>
        </row>
        <row r="13">
          <cell r="C13" t="str">
            <v>生年月日西暦[年]</v>
          </cell>
        </row>
        <row r="14">
          <cell r="C14" t="str">
            <v>生年月日西暦[月]</v>
          </cell>
        </row>
        <row r="15">
          <cell r="C15" t="str">
            <v>生年月日西暦[日]</v>
          </cell>
        </row>
        <row r="16">
          <cell r="C16" t="str">
            <v>郵便番号(上桁)</v>
          </cell>
        </row>
        <row r="17">
          <cell r="C17" t="str">
            <v>郵便番号(下桁)</v>
          </cell>
        </row>
        <row r="18">
          <cell r="C18" t="str">
            <v>都道府県</v>
          </cell>
        </row>
        <row r="19">
          <cell r="C19" t="str">
            <v>市区町村</v>
          </cell>
        </row>
        <row r="20">
          <cell r="C20" t="str">
            <v>所番地</v>
          </cell>
        </row>
        <row r="21">
          <cell r="C21" t="str">
            <v>自宅電話番号1</v>
          </cell>
        </row>
        <row r="22">
          <cell r="C22" t="str">
            <v>自宅電話番号2</v>
          </cell>
        </row>
        <row r="23">
          <cell r="C23" t="str">
            <v>自宅電話番号3</v>
          </cell>
        </row>
        <row r="24">
          <cell r="C24" t="str">
            <v>昼間連絡先の電話番号1</v>
          </cell>
        </row>
        <row r="25">
          <cell r="C25" t="str">
            <v>昼間連絡先の電話番号2</v>
          </cell>
        </row>
        <row r="26">
          <cell r="C26" t="str">
            <v>昼間連絡先の電話番号3</v>
          </cell>
        </row>
        <row r="27">
          <cell r="C27" t="str">
            <v>ファミリータイプ</v>
          </cell>
        </row>
        <row r="28">
          <cell r="C28" t="str">
            <v>マンションタイプ</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b_送電990120"/>
      <sheetName val="ST分析"/>
      <sheetName val="データ"/>
      <sheetName val="前期試薬実績Ｄ"/>
      <sheetName val="キー選択ワーク"/>
      <sheetName val="当期試薬実績Ｄ"/>
      <sheetName val="項目一覧"/>
      <sheetName val="表紙"/>
      <sheetName val="説明"/>
    </sheetNames>
    <sheetDataSet>
      <sheetData sheetId="0"/>
      <sheetData sheetId="1" refreshError="1"/>
      <sheetData sheetId="2" refreshError="1">
        <row r="1">
          <cell r="A1" t="str">
            <v>03</v>
          </cell>
          <cell r="B1" t="str">
            <v>ST</v>
          </cell>
        </row>
        <row r="2">
          <cell r="A2" t="str">
            <v>03</v>
          </cell>
          <cell r="B2" t="str">
            <v>PS</v>
          </cell>
        </row>
        <row r="3">
          <cell r="A3" t="str">
            <v>01</v>
          </cell>
          <cell r="B3" t="str">
            <v>ST</v>
          </cell>
        </row>
        <row r="4">
          <cell r="A4" t="str">
            <v>03</v>
          </cell>
          <cell r="B4" t="str">
            <v>ST</v>
          </cell>
        </row>
        <row r="5">
          <cell r="A5" t="str">
            <v>03</v>
          </cell>
          <cell r="B5" t="str">
            <v>ST</v>
          </cell>
        </row>
        <row r="6">
          <cell r="A6" t="str">
            <v>03</v>
          </cell>
          <cell r="B6" t="str">
            <v>SS</v>
          </cell>
        </row>
        <row r="7">
          <cell r="A7" t="str">
            <v>03</v>
          </cell>
          <cell r="B7" t="str">
            <v>ST</v>
          </cell>
        </row>
        <row r="8">
          <cell r="A8" t="str">
            <v>03</v>
          </cell>
          <cell r="B8" t="str">
            <v>IT</v>
          </cell>
        </row>
        <row r="9">
          <cell r="A9" t="str">
            <v>03</v>
          </cell>
          <cell r="B9" t="str">
            <v>PT</v>
          </cell>
        </row>
        <row r="10">
          <cell r="A10" t="str">
            <v>03</v>
          </cell>
          <cell r="B10" t="str">
            <v>PG</v>
          </cell>
        </row>
        <row r="11">
          <cell r="A11" t="str">
            <v>03</v>
          </cell>
          <cell r="B11" t="str">
            <v>PT</v>
          </cell>
        </row>
        <row r="12">
          <cell r="A12" t="str">
            <v>03</v>
          </cell>
          <cell r="B12" t="str">
            <v>IT</v>
          </cell>
        </row>
        <row r="13">
          <cell r="A13" t="str">
            <v>10</v>
          </cell>
          <cell r="B13" t="str">
            <v>ST</v>
          </cell>
        </row>
        <row r="14">
          <cell r="A14" t="str">
            <v>03</v>
          </cell>
          <cell r="B14" t="str">
            <v>PS</v>
          </cell>
        </row>
        <row r="15">
          <cell r="A15" t="str">
            <v>03</v>
          </cell>
          <cell r="B15" t="str">
            <v>ST</v>
          </cell>
        </row>
        <row r="16">
          <cell r="A16" t="str">
            <v>03</v>
          </cell>
          <cell r="B16" t="str">
            <v>PS</v>
          </cell>
        </row>
        <row r="17">
          <cell r="A17" t="str">
            <v>03</v>
          </cell>
          <cell r="B17" t="str">
            <v>PG</v>
          </cell>
        </row>
        <row r="18">
          <cell r="A18" t="str">
            <v>03</v>
          </cell>
          <cell r="B18" t="str">
            <v>IT</v>
          </cell>
        </row>
        <row r="19">
          <cell r="A19" t="str">
            <v>03</v>
          </cell>
          <cell r="B19" t="str">
            <v>PG</v>
          </cell>
        </row>
        <row r="20">
          <cell r="A20" t="str">
            <v>02</v>
          </cell>
          <cell r="B20" t="str">
            <v>IT</v>
          </cell>
        </row>
        <row r="21">
          <cell r="A21" t="str">
            <v>03</v>
          </cell>
          <cell r="B21" t="str">
            <v>PS</v>
          </cell>
        </row>
        <row r="22">
          <cell r="A22" t="str">
            <v>07</v>
          </cell>
          <cell r="B22" t="str">
            <v>ST</v>
          </cell>
        </row>
        <row r="23">
          <cell r="A23" t="str">
            <v>01</v>
          </cell>
          <cell r="B23" t="str">
            <v>IT</v>
          </cell>
        </row>
        <row r="24">
          <cell r="A24" t="str">
            <v>03</v>
          </cell>
          <cell r="B24" t="str">
            <v>SS</v>
          </cell>
        </row>
        <row r="25">
          <cell r="A25" t="str">
            <v>03</v>
          </cell>
          <cell r="B25" t="str">
            <v>PS</v>
          </cell>
        </row>
        <row r="26">
          <cell r="A26" t="str">
            <v>03</v>
          </cell>
          <cell r="B26" t="str">
            <v>PS</v>
          </cell>
        </row>
        <row r="27">
          <cell r="A27" t="str">
            <v>10</v>
          </cell>
          <cell r="B27" t="str">
            <v>ST</v>
          </cell>
        </row>
        <row r="28">
          <cell r="A28" t="str">
            <v>03</v>
          </cell>
          <cell r="B28" t="str">
            <v>PS</v>
          </cell>
        </row>
        <row r="29">
          <cell r="A29" t="str">
            <v>03</v>
          </cell>
          <cell r="B29" t="str">
            <v>SS</v>
          </cell>
        </row>
        <row r="30">
          <cell r="A30" t="str">
            <v>03</v>
          </cell>
          <cell r="B30" t="str">
            <v>PS</v>
          </cell>
        </row>
        <row r="31">
          <cell r="A31" t="str">
            <v>01</v>
          </cell>
          <cell r="B31" t="str">
            <v>IT</v>
          </cell>
        </row>
        <row r="32">
          <cell r="A32" t="str">
            <v>03</v>
          </cell>
          <cell r="B32" t="str">
            <v>ST</v>
          </cell>
        </row>
        <row r="33">
          <cell r="A33" t="str">
            <v>03</v>
          </cell>
          <cell r="B33" t="str">
            <v>PT</v>
          </cell>
        </row>
        <row r="34">
          <cell r="A34" t="str">
            <v>03</v>
          </cell>
          <cell r="B34" t="str">
            <v>ST</v>
          </cell>
        </row>
        <row r="35">
          <cell r="A35" t="str">
            <v>01</v>
          </cell>
          <cell r="B35" t="str">
            <v>IT</v>
          </cell>
        </row>
        <row r="36">
          <cell r="A36" t="str">
            <v>03</v>
          </cell>
          <cell r="B36" t="str">
            <v>IT</v>
          </cell>
        </row>
        <row r="37">
          <cell r="A37" t="str">
            <v>09</v>
          </cell>
          <cell r="B37" t="str">
            <v>ST</v>
          </cell>
        </row>
        <row r="38">
          <cell r="A38" t="str">
            <v>03</v>
          </cell>
          <cell r="B38" t="str">
            <v>PG</v>
          </cell>
        </row>
        <row r="39">
          <cell r="A39" t="str">
            <v>03</v>
          </cell>
          <cell r="B39" t="str">
            <v>SS</v>
          </cell>
        </row>
        <row r="40">
          <cell r="A40" t="str">
            <v>03</v>
          </cell>
          <cell r="B40" t="str">
            <v>PT</v>
          </cell>
        </row>
        <row r="41">
          <cell r="A41" t="str">
            <v>03</v>
          </cell>
          <cell r="B41" t="str">
            <v>PS</v>
          </cell>
        </row>
        <row r="42">
          <cell r="A42" t="str">
            <v>10</v>
          </cell>
          <cell r="B42" t="str">
            <v>ST</v>
          </cell>
        </row>
        <row r="43">
          <cell r="A43" t="str">
            <v>03</v>
          </cell>
          <cell r="B43" t="str">
            <v>PT</v>
          </cell>
        </row>
        <row r="44">
          <cell r="A44" t="str">
            <v>03</v>
          </cell>
          <cell r="B44" t="str">
            <v>PT</v>
          </cell>
        </row>
        <row r="45">
          <cell r="A45" t="str">
            <v>03</v>
          </cell>
          <cell r="B45" t="str">
            <v>PS</v>
          </cell>
        </row>
        <row r="46">
          <cell r="A46" t="str">
            <v>03</v>
          </cell>
          <cell r="B46" t="str">
            <v>IT</v>
          </cell>
        </row>
        <row r="47">
          <cell r="A47" t="str">
            <v>03</v>
          </cell>
          <cell r="B47" t="str">
            <v>ST</v>
          </cell>
        </row>
        <row r="48">
          <cell r="A48" t="str">
            <v>03</v>
          </cell>
          <cell r="B48" t="str">
            <v>SS</v>
          </cell>
        </row>
        <row r="49">
          <cell r="A49" t="str">
            <v>03</v>
          </cell>
          <cell r="B49" t="str">
            <v>SS</v>
          </cell>
        </row>
        <row r="50">
          <cell r="A50" t="str">
            <v>03</v>
          </cell>
          <cell r="B50" t="str">
            <v>PS</v>
          </cell>
        </row>
        <row r="51">
          <cell r="A51" t="str">
            <v>01</v>
          </cell>
          <cell r="B51" t="str">
            <v>IT</v>
          </cell>
        </row>
        <row r="52">
          <cell r="A52" t="str">
            <v>01</v>
          </cell>
          <cell r="B52" t="str">
            <v>ST</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サービスコーステーブル"/>
      <sheetName val="品目テーブル"/>
      <sheetName val="料金科目テーブル"/>
      <sheetName val="ＫＲＩＳ合成料金科目"/>
      <sheetName val="はじめに"/>
      <sheetName val="モデル"/>
      <sheetName val="テーブル"/>
      <sheetName val="DABINCI料金科目"/>
      <sheetName val="マトリクス"/>
      <sheetName val="ヘッダ"/>
      <sheetName val="データ"/>
    </sheetNames>
    <sheetDataSet>
      <sheetData sheetId="0" refreshError="1"/>
      <sheetData sheetId="1" refreshError="1"/>
      <sheetData sheetId="2" refreshError="1">
        <row r="1">
          <cell r="F1" t="str">
            <v>下５桁</v>
          </cell>
          <cell r="G1" t="str">
            <v>見出し名</v>
          </cell>
          <cell r="H1" t="str">
            <v>料金名称（４層）</v>
          </cell>
          <cell r="I1" t="str">
            <v>文字数</v>
          </cell>
          <cell r="J1" t="str">
            <v>（４層補足）</v>
          </cell>
          <cell r="K1" t="str">
            <v>出力順</v>
          </cell>
          <cell r="L1" t="str">
            <v>ｺﾐｯｼｮﾝ</v>
          </cell>
          <cell r="M1" t="str">
            <v>ﾎﾟｲﾝﾄ</v>
          </cell>
          <cell r="N1" t="str">
            <v>課税ﾌﾗｸﾞ</v>
          </cell>
        </row>
        <row r="2">
          <cell r="F2" t="str">
            <v>0000001</v>
          </cell>
          <cell r="G2" t="str">
            <v>登録料</v>
          </cell>
          <cell r="H2" t="str">
            <v>ＤＩＯＮインターネットアクセス</v>
          </cell>
          <cell r="I2">
            <v>15</v>
          </cell>
          <cell r="J2" t="str">
            <v>なし</v>
          </cell>
          <cell r="K2" t="str">
            <v>1</v>
          </cell>
          <cell r="L2" t="str">
            <v>対象</v>
          </cell>
          <cell r="M2" t="str">
            <v>対象</v>
          </cell>
          <cell r="N2" t="str">
            <v>課税</v>
          </cell>
        </row>
        <row r="3">
          <cell r="F3" t="str">
            <v>0000002</v>
          </cell>
          <cell r="G3" t="str">
            <v>初期費用</v>
          </cell>
          <cell r="H3" t="str">
            <v>ＤＩＯＮ　ＡＤＳＬコース</v>
          </cell>
          <cell r="I3">
            <v>12</v>
          </cell>
          <cell r="J3" t="str">
            <v>なし</v>
          </cell>
          <cell r="K3">
            <v>1</v>
          </cell>
          <cell r="L3" t="str">
            <v>対象</v>
          </cell>
          <cell r="M3" t="str">
            <v>対象</v>
          </cell>
          <cell r="N3" t="str">
            <v>課税</v>
          </cell>
        </row>
        <row r="4">
          <cell r="F4" t="str">
            <v>0000004</v>
          </cell>
          <cell r="G4" t="str">
            <v>登録料</v>
          </cell>
          <cell r="H4" t="str">
            <v>モバイルＧＢ</v>
          </cell>
          <cell r="I4">
            <v>6</v>
          </cell>
          <cell r="N4" t="str">
            <v>課税</v>
          </cell>
        </row>
        <row r="5">
          <cell r="F5" t="str">
            <v>0000005</v>
          </cell>
          <cell r="G5" t="str">
            <v>加入料</v>
          </cell>
          <cell r="H5" t="str">
            <v>メールインワンＦＡＸ</v>
          </cell>
          <cell r="I5">
            <v>10</v>
          </cell>
          <cell r="N5" t="str">
            <v>課税</v>
          </cell>
        </row>
        <row r="6">
          <cell r="F6" t="str">
            <v>0000006</v>
          </cell>
          <cell r="G6" t="str">
            <v>登録料</v>
          </cell>
          <cell r="H6" t="str">
            <v>メールインワンＦＡＸ</v>
          </cell>
          <cell r="I6">
            <v>10</v>
          </cell>
          <cell r="N6" t="str">
            <v>課税</v>
          </cell>
        </row>
        <row r="7">
          <cell r="F7" t="str">
            <v>0000007</v>
          </cell>
          <cell r="G7" t="str">
            <v>初期費用</v>
          </cell>
          <cell r="H7" t="str">
            <v>ＶＡ</v>
          </cell>
          <cell r="I7">
            <v>2</v>
          </cell>
          <cell r="N7" t="str">
            <v>課税</v>
          </cell>
        </row>
        <row r="8">
          <cell r="F8" t="str">
            <v>0000010</v>
          </cell>
          <cell r="G8" t="str">
            <v>初期費用</v>
          </cell>
          <cell r="H8" t="str">
            <v>ｅ＊Ｔｅｍｐｏ</v>
          </cell>
          <cell r="I8">
            <v>7</v>
          </cell>
          <cell r="N8" t="str">
            <v>課税</v>
          </cell>
        </row>
        <row r="9">
          <cell r="F9" t="str">
            <v>0000011</v>
          </cell>
          <cell r="G9" t="str">
            <v>初期費用</v>
          </cell>
          <cell r="H9" t="str">
            <v>ＤＩＯＮショッピングパレード</v>
          </cell>
          <cell r="I9">
            <v>14</v>
          </cell>
          <cell r="N9" t="str">
            <v>課税</v>
          </cell>
        </row>
        <row r="10">
          <cell r="F10" t="str">
            <v>0000012</v>
          </cell>
          <cell r="G10" t="str">
            <v>初期費用</v>
          </cell>
          <cell r="H10" t="str">
            <v>ＰａｙＣｏｕｎｔｅｒ</v>
          </cell>
          <cell r="I10">
            <v>10</v>
          </cell>
          <cell r="N10" t="str">
            <v>課税</v>
          </cell>
        </row>
        <row r="11">
          <cell r="F11" t="str">
            <v>0000013</v>
          </cell>
          <cell r="G11" t="str">
            <v>初期費用</v>
          </cell>
          <cell r="H11" t="str">
            <v>”Ｆ”マンション</v>
          </cell>
          <cell r="I11">
            <v>8</v>
          </cell>
          <cell r="N11" t="str">
            <v>課税</v>
          </cell>
        </row>
        <row r="12">
          <cell r="F12" t="str">
            <v>0000101</v>
          </cell>
          <cell r="G12" t="str">
            <v>変更料</v>
          </cell>
          <cell r="H12" t="str">
            <v>ＤＩＯＮ品目変更</v>
          </cell>
          <cell r="I12">
            <v>8</v>
          </cell>
          <cell r="J12" t="str">
            <v>なし</v>
          </cell>
          <cell r="K12" t="str">
            <v>2</v>
          </cell>
          <cell r="L12" t="str">
            <v>対象</v>
          </cell>
          <cell r="M12" t="str">
            <v>対象</v>
          </cell>
          <cell r="N12" t="str">
            <v>課税</v>
          </cell>
        </row>
        <row r="13">
          <cell r="F13" t="str">
            <v>0000102</v>
          </cell>
          <cell r="G13" t="str">
            <v>変更料</v>
          </cell>
          <cell r="H13" t="str">
            <v>ＤＩＯＮ　ＡＤＳＬコース変更</v>
          </cell>
          <cell r="I13">
            <v>14</v>
          </cell>
          <cell r="J13" t="str">
            <v>なし</v>
          </cell>
          <cell r="K13">
            <v>2</v>
          </cell>
          <cell r="L13" t="str">
            <v>対象</v>
          </cell>
          <cell r="M13" t="str">
            <v>対象</v>
          </cell>
          <cell r="N13" t="str">
            <v>課税</v>
          </cell>
        </row>
        <row r="14">
          <cell r="F14" t="str">
            <v>0000202</v>
          </cell>
          <cell r="G14" t="str">
            <v>初期費用</v>
          </cell>
          <cell r="H14" t="str">
            <v>ＤＩＯＮ　ＡＤＳＬコース</v>
          </cell>
          <cell r="I14">
            <v>12</v>
          </cell>
          <cell r="J14" t="str">
            <v>なし</v>
          </cell>
          <cell r="K14">
            <v>3</v>
          </cell>
          <cell r="L14" t="str">
            <v>対象</v>
          </cell>
          <cell r="M14" t="str">
            <v>対象</v>
          </cell>
          <cell r="N14" t="str">
            <v>課税</v>
          </cell>
        </row>
        <row r="15">
          <cell r="F15" t="str">
            <v>0000213</v>
          </cell>
          <cell r="G15" t="str">
            <v>初期費用</v>
          </cell>
          <cell r="H15" t="str">
            <v>モデム追加料金</v>
          </cell>
          <cell r="I15">
            <v>7</v>
          </cell>
          <cell r="N15" t="str">
            <v>課税</v>
          </cell>
        </row>
        <row r="16">
          <cell r="F16" t="str">
            <v>0000216</v>
          </cell>
          <cell r="G16" t="str">
            <v>登録料</v>
          </cell>
          <cell r="H16" t="str">
            <v>ＩＰ電話登録料（内蔵型）</v>
          </cell>
          <cell r="I16">
            <v>12</v>
          </cell>
          <cell r="N16" t="str">
            <v>課税</v>
          </cell>
        </row>
        <row r="17">
          <cell r="F17" t="str">
            <v>0000302</v>
          </cell>
          <cell r="G17" t="str">
            <v>機器販売</v>
          </cell>
          <cell r="H17" t="str">
            <v>ＡＤＳＬモデム（ＵＳＢ）</v>
          </cell>
          <cell r="I17">
            <v>12</v>
          </cell>
          <cell r="N17" t="str">
            <v>課税</v>
          </cell>
        </row>
        <row r="18">
          <cell r="F18" t="str">
            <v>0000313</v>
          </cell>
          <cell r="G18" t="str">
            <v>初期費用</v>
          </cell>
          <cell r="H18" t="str">
            <v>フィルタ追加料金</v>
          </cell>
          <cell r="I18">
            <v>8</v>
          </cell>
          <cell r="N18" t="str">
            <v>課税</v>
          </cell>
        </row>
        <row r="19">
          <cell r="F19" t="str">
            <v>0000316</v>
          </cell>
          <cell r="G19" t="str">
            <v>登録料</v>
          </cell>
          <cell r="H19" t="str">
            <v>ＩＰ電話登録料（外付け型）</v>
          </cell>
          <cell r="I19">
            <v>13</v>
          </cell>
          <cell r="N19" t="str">
            <v>課税</v>
          </cell>
        </row>
        <row r="20">
          <cell r="F20" t="str">
            <v>0000402</v>
          </cell>
          <cell r="G20" t="str">
            <v>機器販売</v>
          </cell>
          <cell r="H20" t="str">
            <v>ＡＤＳＬモデム（ＵＳＢ）</v>
          </cell>
          <cell r="I20">
            <v>12</v>
          </cell>
          <cell r="N20" t="str">
            <v>課税</v>
          </cell>
        </row>
        <row r="21">
          <cell r="F21" t="str">
            <v>0000502</v>
          </cell>
          <cell r="G21" t="str">
            <v>機器販売</v>
          </cell>
          <cell r="H21" t="str">
            <v>ＡＤＳＬモデム（１０Ｂａｓｅ－Ｔ）</v>
          </cell>
          <cell r="I21">
            <v>17</v>
          </cell>
          <cell r="N21" t="str">
            <v>課税</v>
          </cell>
        </row>
        <row r="22">
          <cell r="F22" t="str">
            <v>0000602</v>
          </cell>
          <cell r="G22" t="str">
            <v>機器販売</v>
          </cell>
          <cell r="H22" t="str">
            <v>ＡＤＳＬモデム（１０Ｂａｓｅ－Ｔ）</v>
          </cell>
          <cell r="I22">
            <v>17</v>
          </cell>
          <cell r="N22" t="str">
            <v>課税</v>
          </cell>
        </row>
        <row r="23">
          <cell r="F23" t="str">
            <v>0000702</v>
          </cell>
          <cell r="G23" t="str">
            <v>機器販売</v>
          </cell>
          <cell r="H23" t="str">
            <v>スプリッタ</v>
          </cell>
          <cell r="I23">
            <v>5</v>
          </cell>
          <cell r="N23" t="str">
            <v>課税</v>
          </cell>
        </row>
        <row r="24">
          <cell r="F24" t="str">
            <v>0000802</v>
          </cell>
          <cell r="G24" t="str">
            <v>機器販売</v>
          </cell>
          <cell r="H24" t="str">
            <v>ＡＤＳＬモデム（ＵＳＢ）</v>
          </cell>
          <cell r="I24">
            <v>12</v>
          </cell>
          <cell r="N24" t="str">
            <v>課税</v>
          </cell>
        </row>
        <row r="25">
          <cell r="F25" t="str">
            <v>0000902</v>
          </cell>
          <cell r="G25" t="str">
            <v>機器販売</v>
          </cell>
          <cell r="H25" t="str">
            <v>ＡＤＳＬモデム（ＵＳＢ）</v>
          </cell>
          <cell r="I25">
            <v>12</v>
          </cell>
          <cell r="N25" t="str">
            <v>課税</v>
          </cell>
        </row>
        <row r="26">
          <cell r="F26" t="str">
            <v>0001002</v>
          </cell>
          <cell r="G26" t="str">
            <v>工事料</v>
          </cell>
          <cell r="H26" t="str">
            <v>ＡＤＳＬモデム設置工事</v>
          </cell>
          <cell r="I26">
            <v>11</v>
          </cell>
          <cell r="J26" t="str">
            <v>なし</v>
          </cell>
          <cell r="K26">
            <v>4</v>
          </cell>
          <cell r="L26" t="str">
            <v>対象</v>
          </cell>
          <cell r="M26" t="str">
            <v>対象</v>
          </cell>
          <cell r="N26" t="str">
            <v>課税</v>
          </cell>
        </row>
        <row r="27">
          <cell r="F27" t="str">
            <v>0001007</v>
          </cell>
          <cell r="G27" t="str">
            <v>変更料</v>
          </cell>
          <cell r="H27" t="str">
            <v>グループ名変更料</v>
          </cell>
          <cell r="I27">
            <v>8</v>
          </cell>
          <cell r="N27" t="str">
            <v>課税</v>
          </cell>
        </row>
        <row r="28">
          <cell r="F28" t="str">
            <v>0001016</v>
          </cell>
          <cell r="G28" t="str">
            <v>工事料</v>
          </cell>
          <cell r="H28" t="str">
            <v>宅内機器設置工事料</v>
          </cell>
          <cell r="I28">
            <v>9</v>
          </cell>
          <cell r="N28" t="str">
            <v>課税</v>
          </cell>
        </row>
        <row r="29">
          <cell r="F29" t="str">
            <v>0001102</v>
          </cell>
          <cell r="G29" t="str">
            <v>工事料</v>
          </cell>
          <cell r="H29" t="str">
            <v>ＮＴＴ（電話共用（交換機工事））</v>
          </cell>
          <cell r="I29">
            <v>16</v>
          </cell>
          <cell r="J29" t="str">
            <v>なし</v>
          </cell>
          <cell r="K29">
            <v>5</v>
          </cell>
          <cell r="L29" t="str">
            <v>対象</v>
          </cell>
          <cell r="M29" t="str">
            <v>対象</v>
          </cell>
          <cell r="N29" t="str">
            <v>課税</v>
          </cell>
        </row>
        <row r="30">
          <cell r="F30" t="str">
            <v>0001113</v>
          </cell>
          <cell r="G30" t="str">
            <v>工事料</v>
          </cell>
          <cell r="H30" t="str">
            <v>モデム設置派遣工事費</v>
          </cell>
          <cell r="I30">
            <v>10</v>
          </cell>
          <cell r="N30" t="str">
            <v>課税</v>
          </cell>
        </row>
        <row r="31">
          <cell r="F31" t="str">
            <v>0001116</v>
          </cell>
          <cell r="G31" t="str">
            <v>変更料</v>
          </cell>
          <cell r="H31" t="str">
            <v>宅内機器変更手数料</v>
          </cell>
          <cell r="I31">
            <v>9</v>
          </cell>
          <cell r="N31" t="str">
            <v>課税</v>
          </cell>
        </row>
        <row r="32">
          <cell r="F32" t="str">
            <v>0001202</v>
          </cell>
          <cell r="G32" t="str">
            <v>工事料</v>
          </cell>
          <cell r="H32" t="str">
            <v>ＮＴＴ（電話共用（交換機工事他））</v>
          </cell>
          <cell r="I32">
            <v>17</v>
          </cell>
          <cell r="J32" t="str">
            <v>なし</v>
          </cell>
          <cell r="K32">
            <v>6</v>
          </cell>
          <cell r="L32" t="str">
            <v>対象</v>
          </cell>
          <cell r="M32" t="str">
            <v>対象</v>
          </cell>
          <cell r="N32" t="str">
            <v>課税</v>
          </cell>
        </row>
        <row r="33">
          <cell r="F33" t="str">
            <v>0001213</v>
          </cell>
          <cell r="G33" t="str">
            <v>工事料</v>
          </cell>
          <cell r="H33" t="str">
            <v>モデム撤去派遣工事料</v>
          </cell>
          <cell r="I33">
            <v>10</v>
          </cell>
          <cell r="N33" t="str">
            <v>課税</v>
          </cell>
        </row>
        <row r="34">
          <cell r="F34" t="str">
            <v>0001302</v>
          </cell>
          <cell r="G34" t="str">
            <v>工事料</v>
          </cell>
          <cell r="H34" t="str">
            <v>ＮＴＴ（ＡＤＳＬ専用（交換機工事））</v>
          </cell>
          <cell r="I34">
            <v>18</v>
          </cell>
          <cell r="N34" t="str">
            <v>課税</v>
          </cell>
        </row>
        <row r="35">
          <cell r="F35" t="str">
            <v>0001313</v>
          </cell>
          <cell r="G35" t="str">
            <v>工事料</v>
          </cell>
          <cell r="H35" t="str">
            <v>モデム変更工事費</v>
          </cell>
          <cell r="I35">
            <v>8</v>
          </cell>
          <cell r="N35" t="str">
            <v>課税</v>
          </cell>
        </row>
        <row r="36">
          <cell r="F36" t="str">
            <v>0001402</v>
          </cell>
          <cell r="G36" t="str">
            <v>工事料</v>
          </cell>
          <cell r="H36" t="str">
            <v>ＮＴＴ（ＡＤＳＬ専用（交換機工事他））</v>
          </cell>
          <cell r="I36">
            <v>19</v>
          </cell>
          <cell r="N36" t="str">
            <v>課税</v>
          </cell>
        </row>
        <row r="37">
          <cell r="F37" t="str">
            <v>0001413</v>
          </cell>
          <cell r="G37" t="str">
            <v>工事料</v>
          </cell>
          <cell r="H37" t="str">
            <v>回線変更工事費</v>
          </cell>
          <cell r="I37">
            <v>7</v>
          </cell>
          <cell r="N37" t="str">
            <v>課税</v>
          </cell>
        </row>
        <row r="38">
          <cell r="F38" t="str">
            <v>0001502</v>
          </cell>
          <cell r="G38" t="str">
            <v>工事料</v>
          </cell>
          <cell r="H38" t="str">
            <v>モデム撤去工事料</v>
          </cell>
          <cell r="I38">
            <v>8</v>
          </cell>
          <cell r="N38" t="str">
            <v>課税</v>
          </cell>
        </row>
        <row r="39">
          <cell r="F39" t="str">
            <v>0001513</v>
          </cell>
          <cell r="G39" t="str">
            <v>工事料</v>
          </cell>
          <cell r="H39" t="str">
            <v>個別工事費</v>
          </cell>
          <cell r="I39">
            <v>5</v>
          </cell>
          <cell r="N39" t="str">
            <v>課税</v>
          </cell>
        </row>
        <row r="40">
          <cell r="F40" t="str">
            <v>0001602</v>
          </cell>
          <cell r="G40" t="str">
            <v>工事料</v>
          </cell>
          <cell r="H40" t="str">
            <v>回線変更工事料</v>
          </cell>
          <cell r="I40">
            <v>7</v>
          </cell>
          <cell r="N40" t="str">
            <v>課税</v>
          </cell>
        </row>
        <row r="41">
          <cell r="F41" t="str">
            <v>0001613</v>
          </cell>
          <cell r="G41" t="str">
            <v>工事料</v>
          </cell>
          <cell r="H41" t="str">
            <v>サテライト工事費</v>
          </cell>
          <cell r="I41">
            <v>8</v>
          </cell>
          <cell r="N41" t="str">
            <v>課税</v>
          </cell>
        </row>
        <row r="42">
          <cell r="F42" t="str">
            <v>0001702</v>
          </cell>
          <cell r="G42" t="str">
            <v>工事料</v>
          </cell>
          <cell r="H42" t="str">
            <v>ＡＤＳＬモデムタイプ変更工事料</v>
          </cell>
          <cell r="I42">
            <v>15</v>
          </cell>
          <cell r="N42" t="str">
            <v>課税</v>
          </cell>
        </row>
        <row r="43">
          <cell r="F43" t="str">
            <v>0001802</v>
          </cell>
          <cell r="G43" t="str">
            <v>工事料</v>
          </cell>
          <cell r="H43" t="str">
            <v>スプリッタ追加工事料</v>
          </cell>
          <cell r="I43">
            <v>10</v>
          </cell>
          <cell r="N43" t="str">
            <v>課税</v>
          </cell>
        </row>
        <row r="44">
          <cell r="F44" t="str">
            <v>0001902</v>
          </cell>
          <cell r="G44" t="str">
            <v>機器販売</v>
          </cell>
          <cell r="H44" t="str">
            <v>スプリッタ追加販売料</v>
          </cell>
          <cell r="I44">
            <v>10</v>
          </cell>
          <cell r="N44" t="str">
            <v>課税</v>
          </cell>
        </row>
        <row r="45">
          <cell r="F45" t="str">
            <v>0002002</v>
          </cell>
          <cell r="G45" t="str">
            <v>工事料</v>
          </cell>
          <cell r="H45" t="str">
            <v>ＡＤＳＬモデム追加設置工事料</v>
          </cell>
          <cell r="I45">
            <v>14</v>
          </cell>
          <cell r="N45" t="str">
            <v>課税</v>
          </cell>
        </row>
        <row r="46">
          <cell r="F46" t="str">
            <v>0002102</v>
          </cell>
          <cell r="G46" t="str">
            <v>工事料</v>
          </cell>
          <cell r="H46" t="str">
            <v>委託工事料（スプリッタ）</v>
          </cell>
          <cell r="I46">
            <v>12</v>
          </cell>
          <cell r="N46" t="str">
            <v>課税</v>
          </cell>
        </row>
        <row r="47">
          <cell r="F47" t="str">
            <v>0002202</v>
          </cell>
          <cell r="G47" t="str">
            <v>工事料</v>
          </cell>
          <cell r="H47" t="str">
            <v>保安器交換工事料</v>
          </cell>
          <cell r="I47">
            <v>8</v>
          </cell>
          <cell r="N47" t="str">
            <v>課税</v>
          </cell>
        </row>
        <row r="48">
          <cell r="F48" t="str">
            <v>0002302</v>
          </cell>
          <cell r="G48" t="str">
            <v>工事料</v>
          </cell>
          <cell r="H48" t="str">
            <v>光収容変更工事料</v>
          </cell>
          <cell r="I48">
            <v>8</v>
          </cell>
          <cell r="N48" t="str">
            <v>課税</v>
          </cell>
        </row>
        <row r="49">
          <cell r="F49" t="str">
            <v>0002402</v>
          </cell>
          <cell r="G49" t="str">
            <v>工事料</v>
          </cell>
          <cell r="H49" t="str">
            <v>ＮＴＴ回線調整工事料（基本）</v>
          </cell>
          <cell r="I49">
            <v>14</v>
          </cell>
          <cell r="N49" t="str">
            <v>課税</v>
          </cell>
        </row>
        <row r="50">
          <cell r="F50" t="str">
            <v>0002502</v>
          </cell>
          <cell r="G50" t="str">
            <v>工事料</v>
          </cell>
          <cell r="H50" t="str">
            <v>ＮＴＴ回線調整工事料（回線収容替え）</v>
          </cell>
          <cell r="I50">
            <v>18</v>
          </cell>
          <cell r="N50" t="str">
            <v>課税</v>
          </cell>
        </row>
        <row r="51">
          <cell r="F51" t="str">
            <v>0002602</v>
          </cell>
          <cell r="G51" t="str">
            <v>工事料</v>
          </cell>
          <cell r="H51" t="str">
            <v>ＮＴＴ回線調整工事料（ＢＴ外し）</v>
          </cell>
          <cell r="I51">
            <v>16</v>
          </cell>
          <cell r="N51" t="str">
            <v>課税</v>
          </cell>
        </row>
        <row r="52">
          <cell r="F52" t="str">
            <v>0002702</v>
          </cell>
          <cell r="G52" t="str">
            <v>工事料</v>
          </cell>
          <cell r="H52" t="str">
            <v>回線申込手続費</v>
          </cell>
          <cell r="I52">
            <v>7</v>
          </cell>
          <cell r="N52" t="str">
            <v>課税</v>
          </cell>
        </row>
        <row r="53">
          <cell r="F53" t="str">
            <v>0002802</v>
          </cell>
          <cell r="G53" t="str">
            <v>工事料</v>
          </cell>
          <cell r="H53" t="str">
            <v>プロトコル変更工事料</v>
          </cell>
          <cell r="I53">
            <v>10</v>
          </cell>
          <cell r="N53" t="str">
            <v>課税</v>
          </cell>
        </row>
        <row r="54">
          <cell r="F54" t="str">
            <v>0002902</v>
          </cell>
          <cell r="G54" t="str">
            <v>工事料</v>
          </cell>
          <cell r="H54" t="str">
            <v>その他工事料</v>
          </cell>
          <cell r="I54">
            <v>6</v>
          </cell>
          <cell r="N54" t="str">
            <v>課税</v>
          </cell>
        </row>
        <row r="55">
          <cell r="F55" t="str">
            <v>0003102</v>
          </cell>
          <cell r="G55" t="str">
            <v>違約金</v>
          </cell>
          <cell r="H55" t="str">
            <v>モデム未回収</v>
          </cell>
          <cell r="I55">
            <v>6</v>
          </cell>
          <cell r="N55" t="str">
            <v>課税</v>
          </cell>
        </row>
        <row r="56">
          <cell r="F56" t="str">
            <v>0003116</v>
          </cell>
          <cell r="G56" t="str">
            <v>違約金</v>
          </cell>
          <cell r="H56" t="str">
            <v>ＩＰ電話用宅内機器違約金</v>
          </cell>
          <cell r="I56">
            <v>12</v>
          </cell>
          <cell r="N56" t="str">
            <v>課税</v>
          </cell>
        </row>
        <row r="57">
          <cell r="F57" t="str">
            <v>0003202</v>
          </cell>
          <cell r="G57" t="str">
            <v>違約金</v>
          </cell>
          <cell r="H57" t="str">
            <v>モデム未回収</v>
          </cell>
          <cell r="I57">
            <v>6</v>
          </cell>
          <cell r="N57" t="str">
            <v>課税</v>
          </cell>
        </row>
        <row r="58">
          <cell r="F58" t="str">
            <v>0004001</v>
          </cell>
          <cell r="G58" t="str">
            <v>通信料</v>
          </cell>
          <cell r="H58" t="str">
            <v>ＤＩＯＮ月額利用料</v>
          </cell>
          <cell r="I58">
            <v>9</v>
          </cell>
          <cell r="J58" t="str">
            <v>なし</v>
          </cell>
          <cell r="K58" t="str">
            <v>3</v>
          </cell>
          <cell r="L58" t="str">
            <v>対象</v>
          </cell>
          <cell r="M58" t="str">
            <v>対象</v>
          </cell>
          <cell r="N58" t="str">
            <v>課税</v>
          </cell>
        </row>
        <row r="59">
          <cell r="F59" t="str">
            <v>0004002</v>
          </cell>
          <cell r="G59" t="str">
            <v>利用料</v>
          </cell>
          <cell r="H59" t="str">
            <v>月額利用料（ＡＤＳＬ電話共用）</v>
          </cell>
          <cell r="I59">
            <v>15</v>
          </cell>
          <cell r="N59" t="str">
            <v>課税</v>
          </cell>
        </row>
        <row r="60">
          <cell r="F60" t="str">
            <v>0004003</v>
          </cell>
          <cell r="G60" t="str">
            <v>通信料</v>
          </cell>
          <cell r="H60" t="str">
            <v>月額利用料（Ｎｅｗｅｂ）</v>
          </cell>
          <cell r="I60">
            <v>12</v>
          </cell>
          <cell r="N60" t="str">
            <v>課税</v>
          </cell>
        </row>
        <row r="61">
          <cell r="F61" t="str">
            <v>0004005</v>
          </cell>
          <cell r="G61" t="str">
            <v>通信料</v>
          </cell>
          <cell r="H61" t="str">
            <v>月額利用料（メールインワンＦＡＸ）</v>
          </cell>
          <cell r="I61">
            <v>17</v>
          </cell>
          <cell r="N61" t="str">
            <v>課税</v>
          </cell>
        </row>
        <row r="62">
          <cell r="F62" t="str">
            <v>0004006</v>
          </cell>
          <cell r="G62" t="str">
            <v>通信料</v>
          </cell>
          <cell r="H62" t="str">
            <v>月額利用料（メールインワンＦＡＸ）</v>
          </cell>
          <cell r="I62">
            <v>17</v>
          </cell>
          <cell r="N62" t="str">
            <v>課税</v>
          </cell>
        </row>
        <row r="63">
          <cell r="F63" t="str">
            <v>0004010</v>
          </cell>
          <cell r="G63" t="str">
            <v>利用料</v>
          </cell>
          <cell r="H63" t="str">
            <v>月額基本料（ｅ＊Ｔｅｍｐｏ）</v>
          </cell>
          <cell r="I63">
            <v>14</v>
          </cell>
          <cell r="N63" t="str">
            <v>課税</v>
          </cell>
        </row>
        <row r="64">
          <cell r="F64" t="str">
            <v>0004011</v>
          </cell>
          <cell r="G64" t="str">
            <v>利用料</v>
          </cell>
          <cell r="H64" t="str">
            <v>月額基本料（ショッピングパレード）</v>
          </cell>
          <cell r="I64">
            <v>17</v>
          </cell>
          <cell r="N64" t="str">
            <v>課税</v>
          </cell>
        </row>
        <row r="65">
          <cell r="F65" t="str">
            <v>0004013</v>
          </cell>
          <cell r="G65" t="str">
            <v>利用料</v>
          </cell>
          <cell r="H65" t="str">
            <v>月額利用料（”Ｆ”マンション）</v>
          </cell>
          <cell r="I65">
            <v>15</v>
          </cell>
          <cell r="N65" t="str">
            <v>課税</v>
          </cell>
        </row>
        <row r="66">
          <cell r="F66" t="str">
            <v>0004016</v>
          </cell>
          <cell r="G66" t="str">
            <v>利用料</v>
          </cell>
          <cell r="H66" t="str">
            <v>月額利用料（ＩＰ電話）</v>
          </cell>
          <cell r="I66">
            <v>11</v>
          </cell>
          <cell r="N66" t="str">
            <v>課税</v>
          </cell>
        </row>
        <row r="67">
          <cell r="F67" t="str">
            <v>0004102</v>
          </cell>
          <cell r="G67" t="str">
            <v>利用料</v>
          </cell>
          <cell r="H67" t="str">
            <v>月額利用料（ＡＤＳＬ専用）</v>
          </cell>
          <cell r="I67">
            <v>13</v>
          </cell>
          <cell r="N67" t="str">
            <v>課税</v>
          </cell>
        </row>
        <row r="68">
          <cell r="F68" t="str">
            <v>0004602</v>
          </cell>
          <cell r="G68" t="str">
            <v>回線使用料</v>
          </cell>
          <cell r="H68" t="str">
            <v>ＮＴＴ回線使用料（電話共用）</v>
          </cell>
          <cell r="I68">
            <v>14</v>
          </cell>
          <cell r="N68" t="str">
            <v>課税</v>
          </cell>
        </row>
        <row r="69">
          <cell r="F69" t="str">
            <v>0004702</v>
          </cell>
          <cell r="G69" t="str">
            <v>回線使用料</v>
          </cell>
          <cell r="H69" t="str">
            <v>ＮＴＴ回線使用料（ＡＤＳＬ専用）</v>
          </cell>
          <cell r="I69">
            <v>16</v>
          </cell>
          <cell r="N69" t="str">
            <v>課税</v>
          </cell>
        </row>
        <row r="70">
          <cell r="F70" t="str">
            <v>0005013</v>
          </cell>
          <cell r="G70" t="str">
            <v>利用料</v>
          </cell>
          <cell r="H70" t="str">
            <v>月額料金（”Ｆ”マンション）</v>
          </cell>
          <cell r="I70">
            <v>14</v>
          </cell>
          <cell r="J70" t="str">
            <v>DABINCI利用量</v>
          </cell>
          <cell r="N70" t="str">
            <v>課税</v>
          </cell>
        </row>
        <row r="71">
          <cell r="F71" t="str">
            <v>0006001</v>
          </cell>
          <cell r="G71" t="str">
            <v>割引額</v>
          </cell>
          <cell r="H71" t="str">
            <v>割引キャンペーン</v>
          </cell>
          <cell r="I71">
            <v>8</v>
          </cell>
          <cell r="J71" t="str">
            <v>なし</v>
          </cell>
          <cell r="K71" t="str">
            <v>6</v>
          </cell>
          <cell r="L71" t="str">
            <v>対象</v>
          </cell>
          <cell r="M71" t="str">
            <v>対象</v>
          </cell>
          <cell r="N71" t="str">
            <v>課税</v>
          </cell>
        </row>
        <row r="72">
          <cell r="F72" t="str">
            <v>0006010</v>
          </cell>
          <cell r="G72" t="str">
            <v>割引額</v>
          </cell>
          <cell r="H72" t="str">
            <v>（ボリュームディスカウントプランＡ）</v>
          </cell>
          <cell r="I72">
            <v>18</v>
          </cell>
          <cell r="N72" t="str">
            <v>課税</v>
          </cell>
        </row>
        <row r="73">
          <cell r="F73" t="str">
            <v>0006102</v>
          </cell>
          <cell r="G73" t="str">
            <v>割引額</v>
          </cell>
          <cell r="H73" t="str">
            <v>初期費用割引（ＡＤＳＬキャンペーン）</v>
          </cell>
          <cell r="I73">
            <v>18</v>
          </cell>
          <cell r="N73" t="str">
            <v>課税</v>
          </cell>
        </row>
        <row r="74">
          <cell r="F74" t="str">
            <v>0006110</v>
          </cell>
          <cell r="G74" t="str">
            <v>割引額</v>
          </cell>
          <cell r="H74" t="str">
            <v>（ボリュームディスカウントプランＢ）</v>
          </cell>
          <cell r="I74">
            <v>18</v>
          </cell>
          <cell r="N74" t="str">
            <v>課税</v>
          </cell>
        </row>
        <row r="75">
          <cell r="F75" t="str">
            <v>0006201</v>
          </cell>
          <cell r="G75" t="str">
            <v>割引額</v>
          </cell>
          <cell r="H75" t="str">
            <v>ＤＩＯＮセット割　付加サービス割引</v>
          </cell>
          <cell r="I75">
            <v>17</v>
          </cell>
          <cell r="J75" t="str">
            <v>なし</v>
          </cell>
          <cell r="K75" t="str">
            <v>8</v>
          </cell>
          <cell r="L75" t="str">
            <v>対象</v>
          </cell>
          <cell r="M75" t="str">
            <v>対象</v>
          </cell>
          <cell r="N75" t="str">
            <v>課税</v>
          </cell>
        </row>
        <row r="76">
          <cell r="F76" t="str">
            <v>0006202</v>
          </cell>
          <cell r="G76" t="str">
            <v>割引額</v>
          </cell>
          <cell r="H76" t="str">
            <v>ＤＩＯＮセット割　付加サービス割引</v>
          </cell>
          <cell r="I76">
            <v>17</v>
          </cell>
          <cell r="N76" t="str">
            <v>課税</v>
          </cell>
        </row>
        <row r="77">
          <cell r="F77" t="str">
            <v>0006203</v>
          </cell>
          <cell r="G77" t="str">
            <v>割引額</v>
          </cell>
          <cell r="H77" t="str">
            <v>ＤＩＯＮセット割　付加サービス割引</v>
          </cell>
          <cell r="I77">
            <v>17</v>
          </cell>
          <cell r="N77" t="str">
            <v>課税</v>
          </cell>
        </row>
        <row r="78">
          <cell r="F78" t="str">
            <v>0006210</v>
          </cell>
          <cell r="G78" t="str">
            <v>割引額</v>
          </cell>
          <cell r="H78" t="str">
            <v>割引額（ＥＣ割引パック）</v>
          </cell>
          <cell r="I78">
            <v>12</v>
          </cell>
        </row>
        <row r="79">
          <cell r="F79" t="str">
            <v>0006211</v>
          </cell>
          <cell r="G79" t="str">
            <v>割引額</v>
          </cell>
          <cell r="H79" t="str">
            <v>割引額（ＥＣ割引パック）</v>
          </cell>
          <cell r="I79">
            <v>12</v>
          </cell>
          <cell r="N79" t="str">
            <v>課税</v>
          </cell>
        </row>
        <row r="80">
          <cell r="F80" t="str">
            <v>0006213</v>
          </cell>
          <cell r="G80" t="str">
            <v>割引額</v>
          </cell>
          <cell r="H80" t="str">
            <v>ＤＩＯＮセット割　付加サービス割引</v>
          </cell>
          <cell r="I80">
            <v>17</v>
          </cell>
          <cell r="N80" t="str">
            <v>課税</v>
          </cell>
        </row>
        <row r="81">
          <cell r="F81" t="str">
            <v>0006301</v>
          </cell>
          <cell r="G81" t="str">
            <v>割引額</v>
          </cell>
          <cell r="H81" t="str">
            <v>ＤＩＯＮセット割　定額料割引</v>
          </cell>
          <cell r="I81">
            <v>14</v>
          </cell>
          <cell r="J81" t="str">
            <v>なし</v>
          </cell>
          <cell r="K81" t="str">
            <v>7</v>
          </cell>
          <cell r="L81" t="str">
            <v>対象</v>
          </cell>
          <cell r="M81" t="str">
            <v>対象</v>
          </cell>
          <cell r="N81" t="str">
            <v>課税</v>
          </cell>
        </row>
        <row r="82">
          <cell r="F82" t="str">
            <v>0006302</v>
          </cell>
          <cell r="G82" t="str">
            <v>割引額</v>
          </cell>
          <cell r="H82" t="str">
            <v>ＤＩＯＮセット割　ＡＤＳＬ定額料割引</v>
          </cell>
          <cell r="I82">
            <v>18</v>
          </cell>
          <cell r="N82" t="str">
            <v>課税</v>
          </cell>
        </row>
        <row r="83">
          <cell r="F83" t="str">
            <v>0006303</v>
          </cell>
          <cell r="G83" t="str">
            <v>割引額</v>
          </cell>
          <cell r="H83" t="str">
            <v>ＤＩＯＮセット割</v>
          </cell>
          <cell r="I83">
            <v>8</v>
          </cell>
          <cell r="J83" t="str">
            <v>DABINCI利用量</v>
          </cell>
          <cell r="N83" t="str">
            <v>課税</v>
          </cell>
        </row>
        <row r="84">
          <cell r="F84" t="str">
            <v>0006312</v>
          </cell>
          <cell r="G84" t="str">
            <v>初期費用</v>
          </cell>
          <cell r="H84" t="str">
            <v>ＰａｙＣｏｕｎｔｅｒ</v>
          </cell>
          <cell r="I84">
            <v>10</v>
          </cell>
          <cell r="N84" t="str">
            <v>課税</v>
          </cell>
        </row>
        <row r="85">
          <cell r="F85" t="str">
            <v>0006402</v>
          </cell>
          <cell r="G85" t="str">
            <v>割引額</v>
          </cell>
          <cell r="H85" t="str">
            <v>設定工事　割引料</v>
          </cell>
          <cell r="I85">
            <v>8</v>
          </cell>
          <cell r="N85" t="str">
            <v>課税</v>
          </cell>
        </row>
        <row r="86">
          <cell r="F86" t="str">
            <v>0007002</v>
          </cell>
          <cell r="G86" t="str">
            <v>工事料</v>
          </cell>
          <cell r="H86" t="str">
            <v>接続速度変更工事料</v>
          </cell>
          <cell r="I86">
            <v>9</v>
          </cell>
          <cell r="N86" t="str">
            <v>課税</v>
          </cell>
        </row>
        <row r="87">
          <cell r="F87" t="str">
            <v>0007102</v>
          </cell>
          <cell r="G87" t="str">
            <v>工事料</v>
          </cell>
          <cell r="H87" t="str">
            <v>移転工事料</v>
          </cell>
          <cell r="I87">
            <v>5</v>
          </cell>
          <cell r="N87" t="str">
            <v>課税</v>
          </cell>
        </row>
        <row r="88">
          <cell r="F88" t="str">
            <v>0007202</v>
          </cell>
          <cell r="G88" t="str">
            <v>工事料</v>
          </cell>
          <cell r="H88" t="str">
            <v>プラン変更料</v>
          </cell>
          <cell r="I88">
            <v>6</v>
          </cell>
          <cell r="N88" t="str">
            <v>課税</v>
          </cell>
        </row>
        <row r="89">
          <cell r="F89" t="str">
            <v>0007302</v>
          </cell>
          <cell r="G89" t="str">
            <v>工事料</v>
          </cell>
          <cell r="H89" t="str">
            <v>設定工事　基本料</v>
          </cell>
          <cell r="I89">
            <v>8</v>
          </cell>
          <cell r="N89" t="str">
            <v>課税</v>
          </cell>
        </row>
        <row r="90">
          <cell r="F90" t="str">
            <v>0007402</v>
          </cell>
          <cell r="G90" t="str">
            <v>工事料</v>
          </cell>
          <cell r="H90" t="str">
            <v>設定工事　追加工事料</v>
          </cell>
          <cell r="I90">
            <v>10</v>
          </cell>
          <cell r="N90" t="str">
            <v>課税</v>
          </cell>
        </row>
        <row r="91">
          <cell r="F91" t="str">
            <v>0008002</v>
          </cell>
          <cell r="G91" t="str">
            <v>機器販売</v>
          </cell>
          <cell r="H91" t="str">
            <v>ＡＤＳＬモデム（１０Ｂａｓｅ－Ｔ）</v>
          </cell>
          <cell r="I91">
            <v>17</v>
          </cell>
          <cell r="N91" t="str">
            <v>課税</v>
          </cell>
        </row>
        <row r="92">
          <cell r="F92" t="str">
            <v>0008102</v>
          </cell>
          <cell r="G92" t="str">
            <v>機器販売</v>
          </cell>
          <cell r="H92" t="str">
            <v>ＡＤＳＬモデム（１０Ｂａｓｅ－Ｔ）</v>
          </cell>
          <cell r="I92">
            <v>17</v>
          </cell>
          <cell r="N92" t="str">
            <v>課税</v>
          </cell>
        </row>
        <row r="93">
          <cell r="F93" t="str">
            <v>0008202</v>
          </cell>
          <cell r="G93" t="str">
            <v>その他</v>
          </cell>
          <cell r="H93" t="str">
            <v>設定工事　付属品購入（ＬＡＮボード）</v>
          </cell>
          <cell r="I93">
            <v>18</v>
          </cell>
          <cell r="N93" t="str">
            <v>課税</v>
          </cell>
        </row>
        <row r="94">
          <cell r="F94" t="str">
            <v>0008302</v>
          </cell>
          <cell r="G94" t="str">
            <v>その他</v>
          </cell>
          <cell r="H94" t="str">
            <v>設定工事　付属品購入（ＬＡＮカード）</v>
          </cell>
          <cell r="I94">
            <v>18</v>
          </cell>
          <cell r="N94" t="str">
            <v>課税</v>
          </cell>
        </row>
        <row r="95">
          <cell r="F95" t="str">
            <v>0008402</v>
          </cell>
          <cell r="G95" t="str">
            <v>その他</v>
          </cell>
          <cell r="H95" t="str">
            <v>設定工事　付属品購入（ＬＡＮケーブル）</v>
          </cell>
          <cell r="I95">
            <v>19</v>
          </cell>
          <cell r="N95" t="str">
            <v>課税</v>
          </cell>
        </row>
        <row r="96">
          <cell r="F96" t="str">
            <v>0008502</v>
          </cell>
          <cell r="G96" t="str">
            <v>その他</v>
          </cell>
          <cell r="H96" t="str">
            <v>設定工事　付属品購入（その他）</v>
          </cell>
          <cell r="I96">
            <v>15</v>
          </cell>
          <cell r="N96" t="str">
            <v>課税</v>
          </cell>
        </row>
        <row r="97">
          <cell r="F97" t="str">
            <v>0009001</v>
          </cell>
          <cell r="G97" t="str">
            <v>料金調整</v>
          </cell>
          <cell r="H97" t="str">
            <v>ＤＩＯＮ料金調整</v>
          </cell>
          <cell r="I97">
            <v>8</v>
          </cell>
          <cell r="J97" t="str">
            <v>なし</v>
          </cell>
          <cell r="K97" t="str">
            <v>9000</v>
          </cell>
          <cell r="L97" t="str">
            <v>対象</v>
          </cell>
          <cell r="M97" t="str">
            <v>対象</v>
          </cell>
          <cell r="N97" t="str">
            <v>課税</v>
          </cell>
        </row>
        <row r="98">
          <cell r="F98" t="str">
            <v>0009002</v>
          </cell>
          <cell r="G98" t="str">
            <v>料金調整</v>
          </cell>
          <cell r="H98" t="str">
            <v>ＤＩＯＮ料金調整</v>
          </cell>
          <cell r="I98">
            <v>8</v>
          </cell>
          <cell r="N98" t="str">
            <v>課税</v>
          </cell>
        </row>
        <row r="99">
          <cell r="F99" t="str">
            <v>0009003</v>
          </cell>
          <cell r="G99" t="str">
            <v>料金調整</v>
          </cell>
          <cell r="H99" t="str">
            <v>ＤＩＯＮ料金調整</v>
          </cell>
          <cell r="I99">
            <v>8</v>
          </cell>
          <cell r="N99" t="str">
            <v>課税</v>
          </cell>
        </row>
        <row r="100">
          <cell r="F100" t="str">
            <v>0009004</v>
          </cell>
          <cell r="G100" t="str">
            <v>料金調整</v>
          </cell>
          <cell r="H100" t="str">
            <v>ＤＩＯＮ料金調整</v>
          </cell>
          <cell r="I100">
            <v>8</v>
          </cell>
          <cell r="N100" t="str">
            <v>課税</v>
          </cell>
        </row>
        <row r="101">
          <cell r="F101" t="str">
            <v>0009005</v>
          </cell>
          <cell r="G101" t="str">
            <v>料金調整</v>
          </cell>
          <cell r="H101" t="str">
            <v>調整金</v>
          </cell>
          <cell r="I101">
            <v>3</v>
          </cell>
          <cell r="N101" t="str">
            <v>課税</v>
          </cell>
        </row>
        <row r="102">
          <cell r="F102" t="str">
            <v>0009006</v>
          </cell>
          <cell r="G102" t="str">
            <v>料金調整</v>
          </cell>
          <cell r="H102" t="str">
            <v>調整金</v>
          </cell>
          <cell r="I102">
            <v>3</v>
          </cell>
          <cell r="N102" t="str">
            <v>課税</v>
          </cell>
        </row>
        <row r="103">
          <cell r="F103" t="str">
            <v>0009007</v>
          </cell>
          <cell r="G103" t="str">
            <v>料金調整</v>
          </cell>
          <cell r="H103" t="str">
            <v>課税調整金</v>
          </cell>
          <cell r="I103">
            <v>5</v>
          </cell>
          <cell r="N103" t="str">
            <v>課税</v>
          </cell>
        </row>
        <row r="104">
          <cell r="F104" t="str">
            <v>0009008</v>
          </cell>
          <cell r="G104" t="str">
            <v>料金調整</v>
          </cell>
          <cell r="H104" t="str">
            <v>ＤＩＯＮ料金調整</v>
          </cell>
          <cell r="I104">
            <v>8</v>
          </cell>
          <cell r="N104" t="str">
            <v>課税</v>
          </cell>
        </row>
        <row r="105">
          <cell r="F105" t="str">
            <v>0009009</v>
          </cell>
          <cell r="G105" t="str">
            <v>料金調整</v>
          </cell>
          <cell r="H105" t="str">
            <v>サーバーレンタル料金調整</v>
          </cell>
          <cell r="I105">
            <v>12</v>
          </cell>
          <cell r="N105" t="str">
            <v>課税</v>
          </cell>
        </row>
        <row r="106">
          <cell r="F106" t="str">
            <v>0009010</v>
          </cell>
          <cell r="G106" t="str">
            <v>料金調整</v>
          </cell>
          <cell r="H106" t="str">
            <v>料金調整額</v>
          </cell>
          <cell r="I106">
            <v>5</v>
          </cell>
          <cell r="N106" t="str">
            <v>課税</v>
          </cell>
        </row>
        <row r="107">
          <cell r="F107" t="str">
            <v>0009011</v>
          </cell>
          <cell r="G107" t="str">
            <v>料金調整</v>
          </cell>
          <cell r="H107" t="str">
            <v>料金調整額</v>
          </cell>
          <cell r="I107">
            <v>5</v>
          </cell>
          <cell r="N107" t="str">
            <v>課税</v>
          </cell>
        </row>
        <row r="108">
          <cell r="F108" t="str">
            <v>0009012</v>
          </cell>
          <cell r="G108" t="str">
            <v>料金調整</v>
          </cell>
          <cell r="H108" t="str">
            <v>料金調整額</v>
          </cell>
          <cell r="I108">
            <v>5</v>
          </cell>
          <cell r="N108" t="str">
            <v>課税</v>
          </cell>
        </row>
        <row r="109">
          <cell r="F109" t="str">
            <v>0009013</v>
          </cell>
          <cell r="G109" t="str">
            <v>料金調整</v>
          </cell>
          <cell r="H109" t="str">
            <v>ＤＩＯＮ料金調整</v>
          </cell>
          <cell r="I109">
            <v>8</v>
          </cell>
          <cell r="N109" t="str">
            <v>課税</v>
          </cell>
        </row>
        <row r="110">
          <cell r="F110" t="str">
            <v>0009014</v>
          </cell>
          <cell r="G110" t="str">
            <v>料金調整</v>
          </cell>
          <cell r="H110" t="str">
            <v>料金調整</v>
          </cell>
          <cell r="I110">
            <v>4</v>
          </cell>
          <cell r="N110" t="str">
            <v>課税</v>
          </cell>
        </row>
        <row r="111">
          <cell r="F111" t="str">
            <v>0009015</v>
          </cell>
          <cell r="G111" t="str">
            <v>料金調整</v>
          </cell>
          <cell r="H111" t="str">
            <v>コンテンツコース料金調整</v>
          </cell>
          <cell r="I111">
            <v>12</v>
          </cell>
          <cell r="N111" t="str">
            <v>課税</v>
          </cell>
        </row>
        <row r="112">
          <cell r="F112" t="str">
            <v>0009016</v>
          </cell>
          <cell r="G112" t="str">
            <v>料金調整</v>
          </cell>
          <cell r="H112" t="str">
            <v>ＩＰ電話料金調整</v>
          </cell>
          <cell r="I112">
            <v>8</v>
          </cell>
          <cell r="N112" t="str">
            <v>課税</v>
          </cell>
        </row>
        <row r="113">
          <cell r="F113" t="str">
            <v>0104001</v>
          </cell>
          <cell r="G113" t="str">
            <v>通信料</v>
          </cell>
          <cell r="H113" t="str">
            <v>ＤＩＯＮ月額利用料</v>
          </cell>
          <cell r="I113">
            <v>9</v>
          </cell>
          <cell r="J113" t="str">
            <v>DABINCI利用量</v>
          </cell>
          <cell r="K113" t="str">
            <v>4</v>
          </cell>
          <cell r="L113" t="str">
            <v>対象</v>
          </cell>
          <cell r="M113" t="str">
            <v>対象</v>
          </cell>
          <cell r="N113" t="str">
            <v>課税</v>
          </cell>
        </row>
        <row r="114">
          <cell r="F114" t="str">
            <v>0104003</v>
          </cell>
          <cell r="G114" t="str">
            <v>通信料</v>
          </cell>
          <cell r="H114" t="str">
            <v>月額利用料（Ｎｅｗｅｂ）</v>
          </cell>
          <cell r="I114">
            <v>12</v>
          </cell>
          <cell r="J114" t="str">
            <v>DABINCI利用量</v>
          </cell>
          <cell r="N114" t="str">
            <v>課税</v>
          </cell>
        </row>
        <row r="115">
          <cell r="F115" t="str">
            <v>0104202</v>
          </cell>
          <cell r="G115" t="str">
            <v>レンタル料</v>
          </cell>
          <cell r="H115" t="str">
            <v>ＡＤＳＬモデム（ＵＳＢ）</v>
          </cell>
          <cell r="I115">
            <v>12</v>
          </cell>
          <cell r="N115" t="str">
            <v>課税</v>
          </cell>
        </row>
        <row r="116">
          <cell r="F116" t="str">
            <v>0104302</v>
          </cell>
          <cell r="G116" t="str">
            <v>レンタル料</v>
          </cell>
          <cell r="H116" t="str">
            <v>ＡＤＳＬモデム（１０Ｂａｓｅ－Ｔ）</v>
          </cell>
          <cell r="I116">
            <v>17</v>
          </cell>
          <cell r="N116" t="str">
            <v>課税</v>
          </cell>
        </row>
        <row r="117">
          <cell r="F117" t="str">
            <v>0104402</v>
          </cell>
          <cell r="G117" t="str">
            <v>レンタル料</v>
          </cell>
          <cell r="H117" t="str">
            <v>ＡＤＳＬモデム（ＵＳＢ）</v>
          </cell>
          <cell r="I117">
            <v>12</v>
          </cell>
          <cell r="N117" t="str">
            <v>課税</v>
          </cell>
        </row>
        <row r="118">
          <cell r="F118" t="str">
            <v>0104502</v>
          </cell>
          <cell r="G118" t="str">
            <v>レンタル料</v>
          </cell>
          <cell r="H118" t="str">
            <v>ＡＤＳＬモデム（１０Ｂａｓｅ－Ｔ）</v>
          </cell>
          <cell r="I118">
            <v>17</v>
          </cell>
          <cell r="N118" t="str">
            <v>課税</v>
          </cell>
        </row>
        <row r="119">
          <cell r="F119" t="str">
            <v>0104802</v>
          </cell>
          <cell r="G119" t="str">
            <v>レンタル料</v>
          </cell>
          <cell r="H119" t="str">
            <v>ＩＰ電話用宅内機器レンタル料</v>
          </cell>
          <cell r="I119">
            <v>14</v>
          </cell>
          <cell r="N119" t="str">
            <v>課税</v>
          </cell>
        </row>
        <row r="120">
          <cell r="F120" t="str">
            <v>0105001</v>
          </cell>
          <cell r="G120" t="str">
            <v>通信料</v>
          </cell>
          <cell r="H120" t="str">
            <v>ＤＩＯＮ利用料（従量分）</v>
          </cell>
          <cell r="I120">
            <v>12</v>
          </cell>
          <cell r="J120" t="str">
            <v>DABINCI利用量</v>
          </cell>
          <cell r="K120" t="str">
            <v>5</v>
          </cell>
          <cell r="L120" t="str">
            <v>対象</v>
          </cell>
          <cell r="M120" t="str">
            <v>対象</v>
          </cell>
          <cell r="N120" t="str">
            <v>課税</v>
          </cell>
        </row>
        <row r="121">
          <cell r="F121" t="str">
            <v>0105003</v>
          </cell>
          <cell r="G121" t="str">
            <v>通信料</v>
          </cell>
          <cell r="H121" t="str">
            <v>接続料（Ｎｅｗｅｂ）</v>
          </cell>
          <cell r="I121">
            <v>10</v>
          </cell>
          <cell r="J121" t="str">
            <v>DABINCI利用量</v>
          </cell>
          <cell r="N121" t="str">
            <v>課税</v>
          </cell>
        </row>
        <row r="122">
          <cell r="F122" t="str">
            <v>0105004</v>
          </cell>
          <cell r="G122" t="str">
            <v>通信料</v>
          </cell>
          <cell r="H122" t="str">
            <v>接続料（モバイルＧＢ）</v>
          </cell>
          <cell r="I122">
            <v>11</v>
          </cell>
          <cell r="J122" t="str">
            <v>DABINCI利用量</v>
          </cell>
          <cell r="N122" t="str">
            <v>課税</v>
          </cell>
        </row>
        <row r="123">
          <cell r="F123" t="str">
            <v>0115100</v>
          </cell>
          <cell r="G123" t="str">
            <v>利用料</v>
          </cell>
          <cell r="H123" t="str">
            <v>海外ローミング（ＫＤＤＩＧ）１０円／分</v>
          </cell>
          <cell r="I123">
            <v>19</v>
          </cell>
          <cell r="J123" t="str">
            <v>DABINCI利用量</v>
          </cell>
          <cell r="N123" t="str">
            <v>非課税</v>
          </cell>
        </row>
        <row r="124">
          <cell r="F124" t="str">
            <v>0115200</v>
          </cell>
          <cell r="G124" t="str">
            <v>利用料</v>
          </cell>
          <cell r="H124" t="str">
            <v>海外ローミング（ＧＲＩＣ）２０円／分</v>
          </cell>
          <cell r="I124">
            <v>18</v>
          </cell>
          <cell r="J124" t="str">
            <v>DABINCI利用量</v>
          </cell>
          <cell r="N124" t="str">
            <v>非課税</v>
          </cell>
        </row>
        <row r="125">
          <cell r="F125" t="str">
            <v>0115300</v>
          </cell>
          <cell r="G125" t="str">
            <v>利用料</v>
          </cell>
          <cell r="H125" t="str">
            <v>海外ローミング（ＩＰＡＳＳ）３０円／分</v>
          </cell>
          <cell r="I125">
            <v>19</v>
          </cell>
          <cell r="J125" t="str">
            <v>DABINCI利用量</v>
          </cell>
          <cell r="N125" t="str">
            <v>非課税</v>
          </cell>
        </row>
        <row r="126">
          <cell r="F126" t="str">
            <v>0130000</v>
          </cell>
          <cell r="G126" t="str">
            <v>登録料</v>
          </cell>
          <cell r="H126" t="str">
            <v>パケットサービス</v>
          </cell>
          <cell r="I126">
            <v>8</v>
          </cell>
          <cell r="N126" t="str">
            <v>課税</v>
          </cell>
        </row>
        <row r="127">
          <cell r="F127" t="str">
            <v>0134000</v>
          </cell>
          <cell r="G127" t="str">
            <v>利用料</v>
          </cell>
          <cell r="H127" t="str">
            <v>パケットサービス月額利用料</v>
          </cell>
          <cell r="I127">
            <v>13</v>
          </cell>
          <cell r="N127" t="str">
            <v>課税</v>
          </cell>
        </row>
        <row r="128">
          <cell r="F128" t="str">
            <v>0136102</v>
          </cell>
          <cell r="G128" t="str">
            <v>割引額</v>
          </cell>
          <cell r="H128" t="str">
            <v>ＡｉｒＨ”　ＡＤＳＬセット割引</v>
          </cell>
          <cell r="I128">
            <v>15</v>
          </cell>
          <cell r="N128" t="str">
            <v>課税</v>
          </cell>
        </row>
        <row r="129">
          <cell r="F129" t="str">
            <v>0145400</v>
          </cell>
          <cell r="G129" t="str">
            <v>利用料</v>
          </cell>
          <cell r="H129" t="str">
            <v>モバイルアクセス（５円／分）</v>
          </cell>
          <cell r="I129">
            <v>14</v>
          </cell>
          <cell r="J129" t="str">
            <v>DABINCI利用量</v>
          </cell>
          <cell r="N129" t="str">
            <v>課税</v>
          </cell>
        </row>
        <row r="130">
          <cell r="F130" t="str">
            <v>0301000</v>
          </cell>
          <cell r="G130" t="str">
            <v>変更料</v>
          </cell>
          <cell r="H130" t="str">
            <v>基本メールアカウント</v>
          </cell>
          <cell r="I130">
            <v>10</v>
          </cell>
          <cell r="N130" t="str">
            <v>課税</v>
          </cell>
        </row>
        <row r="131">
          <cell r="F131" t="str">
            <v>0305000</v>
          </cell>
          <cell r="G131" t="str">
            <v>利用料</v>
          </cell>
          <cell r="H131" t="str">
            <v>メール蓄積容量追加</v>
          </cell>
          <cell r="I131">
            <v>9</v>
          </cell>
          <cell r="N131" t="str">
            <v>課税</v>
          </cell>
        </row>
        <row r="132">
          <cell r="F132" t="str">
            <v>0331000</v>
          </cell>
          <cell r="G132" t="str">
            <v>変更料</v>
          </cell>
          <cell r="H132" t="str">
            <v>追加メールアカウント</v>
          </cell>
          <cell r="I132">
            <v>10</v>
          </cell>
          <cell r="N132" t="str">
            <v>課税</v>
          </cell>
        </row>
        <row r="133">
          <cell r="F133" t="str">
            <v>0334000</v>
          </cell>
          <cell r="G133" t="str">
            <v>利用料</v>
          </cell>
          <cell r="H133" t="str">
            <v>メールアドレス追加</v>
          </cell>
          <cell r="I133">
            <v>9</v>
          </cell>
          <cell r="N133" t="str">
            <v>課税</v>
          </cell>
        </row>
        <row r="134">
          <cell r="F134" t="str">
            <v>0335000</v>
          </cell>
          <cell r="G134" t="str">
            <v>利用料</v>
          </cell>
          <cell r="H134" t="str">
            <v>追加メールアドレス蓄積容量追加</v>
          </cell>
          <cell r="I134">
            <v>15</v>
          </cell>
          <cell r="N134" t="str">
            <v>課税</v>
          </cell>
        </row>
        <row r="135">
          <cell r="F135" t="str">
            <v>0340000</v>
          </cell>
          <cell r="G135" t="str">
            <v>登録料</v>
          </cell>
          <cell r="H135" t="str">
            <v>お好み転送サービス</v>
          </cell>
          <cell r="I135">
            <v>9</v>
          </cell>
          <cell r="N135" t="str">
            <v>課税</v>
          </cell>
        </row>
        <row r="136">
          <cell r="F136" t="str">
            <v>0344000</v>
          </cell>
          <cell r="G136" t="str">
            <v>利用料</v>
          </cell>
          <cell r="H136" t="str">
            <v>お好み転送サービス月額利用料</v>
          </cell>
          <cell r="I136">
            <v>14</v>
          </cell>
          <cell r="N136" t="str">
            <v>課税</v>
          </cell>
        </row>
        <row r="137">
          <cell r="F137" t="str">
            <v>0350000</v>
          </cell>
          <cell r="G137" t="str">
            <v>登録料</v>
          </cell>
          <cell r="H137" t="str">
            <v>お好み着信サービス</v>
          </cell>
          <cell r="I137">
            <v>9</v>
          </cell>
          <cell r="N137" t="str">
            <v>課税</v>
          </cell>
        </row>
        <row r="138">
          <cell r="F138" t="str">
            <v>0354000</v>
          </cell>
          <cell r="G138" t="str">
            <v>利用料</v>
          </cell>
          <cell r="H138" t="str">
            <v>お好み着信サービス月額利用料</v>
          </cell>
          <cell r="I138">
            <v>14</v>
          </cell>
          <cell r="N138" t="str">
            <v>課税</v>
          </cell>
        </row>
        <row r="139">
          <cell r="F139" t="str">
            <v>0605000</v>
          </cell>
          <cell r="G139" t="str">
            <v>利用料</v>
          </cell>
          <cell r="H139" t="str">
            <v>ホームページ公開代理容量追加</v>
          </cell>
          <cell r="I139">
            <v>14</v>
          </cell>
          <cell r="N139" t="str">
            <v>課税</v>
          </cell>
        </row>
        <row r="140">
          <cell r="F140" t="str">
            <v>0634000</v>
          </cell>
          <cell r="G140" t="str">
            <v>利用料</v>
          </cell>
          <cell r="H140" t="str">
            <v>ホームページ公開代理ＵＲＬ追加</v>
          </cell>
          <cell r="I140">
            <v>15</v>
          </cell>
          <cell r="N140" t="str">
            <v>課税</v>
          </cell>
        </row>
        <row r="141">
          <cell r="F141" t="str">
            <v>0634009</v>
          </cell>
          <cell r="G141" t="str">
            <v>利用料</v>
          </cell>
          <cell r="H141" t="str">
            <v>サーバーレンタル月額利用料</v>
          </cell>
          <cell r="I141">
            <v>13</v>
          </cell>
          <cell r="J141" t="str">
            <v>DABINCI利用量</v>
          </cell>
          <cell r="N141" t="str">
            <v>課税</v>
          </cell>
        </row>
        <row r="142">
          <cell r="F142" t="str">
            <v>0635000</v>
          </cell>
          <cell r="G142" t="str">
            <v>利用料</v>
          </cell>
          <cell r="H142" t="str">
            <v>追加ホームページ公開代理ＵＲＬ容量追加</v>
          </cell>
          <cell r="I142">
            <v>19</v>
          </cell>
          <cell r="N142" t="str">
            <v>課税</v>
          </cell>
        </row>
        <row r="143">
          <cell r="F143" t="str">
            <v>0635009</v>
          </cell>
          <cell r="G143" t="str">
            <v>利用料</v>
          </cell>
          <cell r="H143" t="str">
            <v>サーバーレンタル容量追加</v>
          </cell>
          <cell r="I143">
            <v>12</v>
          </cell>
          <cell r="J143" t="str">
            <v>DABINCI利用量</v>
          </cell>
          <cell r="N143" t="str">
            <v>課税</v>
          </cell>
        </row>
        <row r="144">
          <cell r="F144" t="str">
            <v>0904007</v>
          </cell>
          <cell r="G144" t="str">
            <v>利用料</v>
          </cell>
          <cell r="H144" t="str">
            <v>ＶＡ基本料金</v>
          </cell>
          <cell r="I144">
            <v>6</v>
          </cell>
          <cell r="J144" t="str">
            <v>DABINCI利用量</v>
          </cell>
          <cell r="N144" t="str">
            <v>課税</v>
          </cell>
        </row>
        <row r="145">
          <cell r="F145" t="str">
            <v>0905007</v>
          </cell>
          <cell r="G145" t="str">
            <v>利用料</v>
          </cell>
          <cell r="H145" t="str">
            <v>ＶＡ超過料金</v>
          </cell>
          <cell r="I145">
            <v>6</v>
          </cell>
          <cell r="J145" t="str">
            <v>DABINCI利用量</v>
          </cell>
          <cell r="N145" t="str">
            <v>課税</v>
          </cell>
        </row>
        <row r="146">
          <cell r="F146" t="str">
            <v>0934007</v>
          </cell>
          <cell r="G146" t="str">
            <v>利用料</v>
          </cell>
          <cell r="H146" t="str">
            <v>明細サービス料</v>
          </cell>
          <cell r="I146">
            <v>7</v>
          </cell>
          <cell r="N146" t="str">
            <v>課税</v>
          </cell>
        </row>
        <row r="147">
          <cell r="F147" t="str">
            <v>0944007</v>
          </cell>
          <cell r="G147" t="str">
            <v>利用料</v>
          </cell>
          <cell r="H147" t="str">
            <v>明細サービス料</v>
          </cell>
          <cell r="I147">
            <v>7</v>
          </cell>
          <cell r="N147" t="str">
            <v>課税</v>
          </cell>
        </row>
        <row r="148">
          <cell r="F148" t="str">
            <v>0954007</v>
          </cell>
          <cell r="G148" t="str">
            <v>利用料</v>
          </cell>
          <cell r="H148" t="str">
            <v>明細サービス料</v>
          </cell>
          <cell r="I148">
            <v>7</v>
          </cell>
          <cell r="N148" t="str">
            <v>課税</v>
          </cell>
        </row>
        <row r="149">
          <cell r="F149" t="str">
            <v>1005005</v>
          </cell>
          <cell r="G149" t="str">
            <v>通信料</v>
          </cell>
          <cell r="H149" t="str">
            <v>メールインワンＦＡＸ通信料（課税）</v>
          </cell>
          <cell r="I149">
            <v>17</v>
          </cell>
          <cell r="N149" t="str">
            <v>課税</v>
          </cell>
        </row>
        <row r="150">
          <cell r="F150" t="str">
            <v>1005006</v>
          </cell>
          <cell r="G150" t="str">
            <v>通信料</v>
          </cell>
          <cell r="H150" t="str">
            <v>メールインワンＦＡＸ通信料（課税）</v>
          </cell>
          <cell r="I150">
            <v>17</v>
          </cell>
          <cell r="N150" t="str">
            <v>課税</v>
          </cell>
        </row>
        <row r="151">
          <cell r="F151" t="str">
            <v>1005105</v>
          </cell>
          <cell r="G151" t="str">
            <v>通信料</v>
          </cell>
          <cell r="H151" t="str">
            <v>メールインワンＦＡＸ通信料（非課税）</v>
          </cell>
          <cell r="I151">
            <v>18</v>
          </cell>
          <cell r="N151" t="str">
            <v>非課税</v>
          </cell>
        </row>
        <row r="152">
          <cell r="F152" t="str">
            <v>1005106</v>
          </cell>
          <cell r="G152" t="str">
            <v>通信料</v>
          </cell>
          <cell r="H152" t="str">
            <v>メールインワンＦＡＸ通信料（非課税）</v>
          </cell>
          <cell r="I152">
            <v>18</v>
          </cell>
          <cell r="N152" t="str">
            <v>非課税</v>
          </cell>
        </row>
        <row r="153">
          <cell r="F153" t="str">
            <v>1034005</v>
          </cell>
          <cell r="G153" t="str">
            <v>通信料</v>
          </cell>
          <cell r="H153" t="str">
            <v>明細月額利用料</v>
          </cell>
          <cell r="I153">
            <v>7</v>
          </cell>
          <cell r="N153" t="str">
            <v>課税</v>
          </cell>
        </row>
        <row r="154">
          <cell r="F154" t="str">
            <v>1034006</v>
          </cell>
          <cell r="G154" t="str">
            <v>通信料</v>
          </cell>
          <cell r="H154" t="str">
            <v>明細月額利用料</v>
          </cell>
          <cell r="I154">
            <v>7</v>
          </cell>
          <cell r="N154" t="str">
            <v>課税</v>
          </cell>
        </row>
        <row r="155">
          <cell r="F155" t="str">
            <v>1104000</v>
          </cell>
          <cell r="G155" t="str">
            <v>利用料</v>
          </cell>
          <cell r="H155" t="str">
            <v>メーリングリスト月額利用料</v>
          </cell>
          <cell r="I155">
            <v>13</v>
          </cell>
          <cell r="N155" t="str">
            <v>課税</v>
          </cell>
        </row>
        <row r="156">
          <cell r="F156" t="str">
            <v>1200000</v>
          </cell>
          <cell r="G156" t="str">
            <v>手数料</v>
          </cell>
          <cell r="H156" t="str">
            <v>ドメイン名申請手数料</v>
          </cell>
          <cell r="I156">
            <v>10</v>
          </cell>
          <cell r="N156" t="str">
            <v>課税</v>
          </cell>
        </row>
        <row r="157">
          <cell r="F157" t="str">
            <v>1204000</v>
          </cell>
          <cell r="G157" t="str">
            <v>管理料</v>
          </cell>
          <cell r="H157" t="str">
            <v>ドメイン名維持管理料</v>
          </cell>
          <cell r="I157">
            <v>10</v>
          </cell>
          <cell r="N157" t="str">
            <v>課税</v>
          </cell>
        </row>
        <row r="158">
          <cell r="F158" t="str">
            <v>1230008</v>
          </cell>
          <cell r="G158" t="str">
            <v>登録料</v>
          </cell>
          <cell r="H158" t="str">
            <v>メール独自ドメイン</v>
          </cell>
          <cell r="I158">
            <v>9</v>
          </cell>
          <cell r="N158" t="str">
            <v>課税</v>
          </cell>
        </row>
        <row r="159">
          <cell r="F159" t="str">
            <v>1234008</v>
          </cell>
          <cell r="G159" t="str">
            <v>利用料</v>
          </cell>
          <cell r="H159" t="str">
            <v>メール独自ドメイン</v>
          </cell>
          <cell r="I159">
            <v>9</v>
          </cell>
          <cell r="N159" t="str">
            <v>課税</v>
          </cell>
        </row>
        <row r="160">
          <cell r="F160" t="str">
            <v>1240008</v>
          </cell>
          <cell r="G160" t="str">
            <v>登録料</v>
          </cell>
          <cell r="H160" t="str">
            <v>メーリングリスト独自ドメイン</v>
          </cell>
          <cell r="I160">
            <v>14</v>
          </cell>
          <cell r="N160" t="str">
            <v>課税</v>
          </cell>
        </row>
        <row r="161">
          <cell r="F161" t="str">
            <v>1244008</v>
          </cell>
          <cell r="G161" t="str">
            <v>利用料</v>
          </cell>
          <cell r="H161" t="str">
            <v>メーリングリスト独自ドメイン</v>
          </cell>
          <cell r="I161">
            <v>14</v>
          </cell>
          <cell r="N161" t="str">
            <v>課税</v>
          </cell>
        </row>
        <row r="162">
          <cell r="F162" t="str">
            <v>1250008</v>
          </cell>
          <cell r="G162" t="str">
            <v>登録料</v>
          </cell>
          <cell r="H162" t="str">
            <v>ホームページ独自ドメイン</v>
          </cell>
          <cell r="I162">
            <v>12</v>
          </cell>
          <cell r="N162" t="str">
            <v>課税</v>
          </cell>
        </row>
        <row r="163">
          <cell r="F163" t="str">
            <v>1254008</v>
          </cell>
          <cell r="G163" t="str">
            <v>利用料</v>
          </cell>
          <cell r="H163" t="str">
            <v>ホームページ独自ドメイン</v>
          </cell>
          <cell r="I163">
            <v>12</v>
          </cell>
          <cell r="N163" t="str">
            <v>課税</v>
          </cell>
        </row>
        <row r="164">
          <cell r="F164" t="str">
            <v>1330009</v>
          </cell>
          <cell r="G164" t="str">
            <v>登録料</v>
          </cell>
          <cell r="H164" t="str">
            <v>アクセスログ提供サービス</v>
          </cell>
          <cell r="I164">
            <v>12</v>
          </cell>
          <cell r="N164" t="str">
            <v>課税</v>
          </cell>
        </row>
        <row r="165">
          <cell r="F165" t="str">
            <v>1334009</v>
          </cell>
          <cell r="G165" t="str">
            <v>利用料</v>
          </cell>
          <cell r="H165" t="str">
            <v>アクセスログ提供サービス月額利用料</v>
          </cell>
          <cell r="I165">
            <v>17</v>
          </cell>
          <cell r="N165" t="str">
            <v>課税</v>
          </cell>
        </row>
        <row r="166">
          <cell r="F166" t="str">
            <v>1340009</v>
          </cell>
          <cell r="G166" t="str">
            <v>登録料</v>
          </cell>
          <cell r="H166" t="str">
            <v>アクセスログ解析サービス</v>
          </cell>
          <cell r="I166">
            <v>12</v>
          </cell>
          <cell r="N166" t="str">
            <v>課税</v>
          </cell>
        </row>
        <row r="167">
          <cell r="F167" t="str">
            <v>1344009</v>
          </cell>
          <cell r="G167" t="str">
            <v>利用料</v>
          </cell>
          <cell r="H167" t="str">
            <v>アクセスログ解析サービス月額利用料</v>
          </cell>
          <cell r="I167">
            <v>17</v>
          </cell>
          <cell r="N167" t="str">
            <v>課税</v>
          </cell>
        </row>
        <row r="168">
          <cell r="F168" t="str">
            <v>1634012</v>
          </cell>
          <cell r="G168" t="str">
            <v>利用料</v>
          </cell>
          <cell r="H168" t="str">
            <v>第１種クレジット決済月額基本料</v>
          </cell>
          <cell r="I168">
            <v>15</v>
          </cell>
          <cell r="N168" t="str">
            <v>課税</v>
          </cell>
        </row>
        <row r="169">
          <cell r="F169" t="str">
            <v>1636212</v>
          </cell>
          <cell r="G169" t="str">
            <v>割引額</v>
          </cell>
          <cell r="H169" t="str">
            <v>（ＥＣ割引パック）</v>
          </cell>
          <cell r="I169">
            <v>9</v>
          </cell>
          <cell r="N169" t="str">
            <v>課税</v>
          </cell>
        </row>
        <row r="170">
          <cell r="F170" t="str">
            <v>1644012</v>
          </cell>
          <cell r="G170" t="str">
            <v>利用料</v>
          </cell>
          <cell r="H170" t="str">
            <v>コンビニ決済月額基本料</v>
          </cell>
          <cell r="I170">
            <v>11</v>
          </cell>
          <cell r="N170" t="str">
            <v>課税</v>
          </cell>
        </row>
        <row r="171">
          <cell r="F171" t="str">
            <v>1646212</v>
          </cell>
          <cell r="G171" t="str">
            <v>割引額</v>
          </cell>
          <cell r="H171" t="str">
            <v>（ＥＣ割引パック）</v>
          </cell>
          <cell r="I171">
            <v>9</v>
          </cell>
          <cell r="N171" t="str">
            <v>課税</v>
          </cell>
        </row>
        <row r="172">
          <cell r="F172" t="str">
            <v>1654012</v>
          </cell>
          <cell r="G172" t="str">
            <v>利用料</v>
          </cell>
          <cell r="H172" t="str">
            <v>プリペイド決済月額基本料</v>
          </cell>
          <cell r="I172">
            <v>12</v>
          </cell>
          <cell r="N172" t="str">
            <v>課税</v>
          </cell>
        </row>
        <row r="173">
          <cell r="F173" t="str">
            <v>1656212</v>
          </cell>
          <cell r="G173" t="str">
            <v>割引額</v>
          </cell>
          <cell r="H173" t="str">
            <v>（ＥＣ割引パック）</v>
          </cell>
          <cell r="I173">
            <v>9</v>
          </cell>
          <cell r="N173" t="str">
            <v>課税</v>
          </cell>
        </row>
        <row r="174">
          <cell r="F174" t="str">
            <v>1664012</v>
          </cell>
          <cell r="G174" t="str">
            <v>利用料</v>
          </cell>
          <cell r="H174" t="str">
            <v>代引決済月額基本料</v>
          </cell>
          <cell r="I174">
            <v>9</v>
          </cell>
          <cell r="N174" t="str">
            <v>課税</v>
          </cell>
        </row>
        <row r="175">
          <cell r="F175" t="str">
            <v>1665012</v>
          </cell>
          <cell r="G175" t="str">
            <v>その他</v>
          </cell>
          <cell r="H175" t="str">
            <v>代引／物流連携運送料金等</v>
          </cell>
          <cell r="I175">
            <v>12</v>
          </cell>
          <cell r="N175" t="str">
            <v>課税</v>
          </cell>
        </row>
        <row r="176">
          <cell r="F176" t="str">
            <v>1666212</v>
          </cell>
          <cell r="G176" t="str">
            <v>割引額</v>
          </cell>
          <cell r="H176" t="str">
            <v>代引決済割引</v>
          </cell>
          <cell r="I176">
            <v>6</v>
          </cell>
          <cell r="N176" t="str">
            <v>課税</v>
          </cell>
        </row>
        <row r="177">
          <cell r="F177" t="str">
            <v>1674012</v>
          </cell>
          <cell r="G177" t="str">
            <v>利用料</v>
          </cell>
          <cell r="H177" t="str">
            <v>ＤＩＯＮ回収代行月額基本料</v>
          </cell>
          <cell r="I177">
            <v>13</v>
          </cell>
          <cell r="N177" t="str">
            <v>課税</v>
          </cell>
        </row>
        <row r="178">
          <cell r="F178" t="str">
            <v>1684012</v>
          </cell>
          <cell r="G178" t="str">
            <v>利用料</v>
          </cell>
          <cell r="H178" t="str">
            <v>第２種クレジット決済月額基本料</v>
          </cell>
          <cell r="I178">
            <v>15</v>
          </cell>
          <cell r="N178" t="str">
            <v>課税</v>
          </cell>
        </row>
        <row r="179">
          <cell r="F179" t="str">
            <v>1685012</v>
          </cell>
          <cell r="G179" t="str">
            <v>利用料</v>
          </cell>
          <cell r="H179" t="str">
            <v>第２種クレジット決済従量料金</v>
          </cell>
          <cell r="I179">
            <v>14</v>
          </cell>
          <cell r="N179" t="str">
            <v>課税</v>
          </cell>
        </row>
        <row r="180">
          <cell r="F180" t="str">
            <v>1686212</v>
          </cell>
          <cell r="G180" t="str">
            <v>割引額</v>
          </cell>
          <cell r="H180" t="str">
            <v>（ＥＣ割引パック）</v>
          </cell>
          <cell r="I180">
            <v>9</v>
          </cell>
          <cell r="N180" t="str">
            <v>課税</v>
          </cell>
        </row>
        <row r="181">
          <cell r="F181" t="str">
            <v>1694012</v>
          </cell>
          <cell r="G181" t="str">
            <v>利用料</v>
          </cell>
          <cell r="H181" t="str">
            <v>物流連携月額基本料</v>
          </cell>
          <cell r="I181">
            <v>9</v>
          </cell>
          <cell r="N181" t="str">
            <v>課税</v>
          </cell>
        </row>
        <row r="182">
          <cell r="F182" t="str">
            <v>1695012</v>
          </cell>
          <cell r="G182" t="str">
            <v>その他</v>
          </cell>
          <cell r="H182" t="str">
            <v>代引／物流連携運送料金等</v>
          </cell>
          <cell r="I182">
            <v>12</v>
          </cell>
          <cell r="N182" t="str">
            <v>課税</v>
          </cell>
        </row>
        <row r="183">
          <cell r="F183" t="str">
            <v>1734000</v>
          </cell>
          <cell r="G183" t="str">
            <v>利用料</v>
          </cell>
          <cell r="H183" t="str">
            <v>ビデオチャット月額利用料</v>
          </cell>
          <cell r="I183">
            <v>12</v>
          </cell>
          <cell r="N183" t="str">
            <v>課税</v>
          </cell>
        </row>
        <row r="184">
          <cell r="F184" t="str">
            <v>1734015</v>
          </cell>
          <cell r="G184" t="str">
            <v>利用料</v>
          </cell>
          <cell r="H184" t="str">
            <v>ビデオチャットサービス月額利用料</v>
          </cell>
          <cell r="I184">
            <v>16</v>
          </cell>
          <cell r="N184" t="str">
            <v>課税</v>
          </cell>
        </row>
        <row r="185">
          <cell r="F185" t="str">
            <v>1735000</v>
          </cell>
          <cell r="G185" t="str">
            <v>利用料</v>
          </cell>
          <cell r="H185" t="str">
            <v>ビデオチャット日額利用料</v>
          </cell>
          <cell r="I185">
            <v>12</v>
          </cell>
          <cell r="J185" t="str">
            <v>DABINCI利用量</v>
          </cell>
          <cell r="N185" t="str">
            <v>課税</v>
          </cell>
        </row>
        <row r="186">
          <cell r="F186" t="str">
            <v>1735015</v>
          </cell>
          <cell r="G186" t="str">
            <v>利用料</v>
          </cell>
          <cell r="H186" t="str">
            <v>ビデオチャットサービス日額利用料</v>
          </cell>
          <cell r="I186">
            <v>16</v>
          </cell>
          <cell r="J186" t="str">
            <v>DABINCI利用量</v>
          </cell>
          <cell r="N186" t="str">
            <v>課税</v>
          </cell>
        </row>
        <row r="187">
          <cell r="F187" t="str">
            <v>1904816</v>
          </cell>
          <cell r="G187" t="str">
            <v>機能使用料</v>
          </cell>
          <cell r="H187" t="str">
            <v>ＩＰ電話サービス機能使用料</v>
          </cell>
          <cell r="I187">
            <v>13</v>
          </cell>
          <cell r="N187" t="str">
            <v>課税</v>
          </cell>
        </row>
        <row r="188">
          <cell r="F188" t="str">
            <v>1904916</v>
          </cell>
          <cell r="G188" t="str">
            <v>レンタル料</v>
          </cell>
          <cell r="H188" t="str">
            <v>ＩＰ電話アダプターレンタル料</v>
          </cell>
          <cell r="I188">
            <v>14</v>
          </cell>
          <cell r="N188" t="str">
            <v>課税</v>
          </cell>
        </row>
        <row r="189">
          <cell r="F189" t="str">
            <v>1905016</v>
          </cell>
          <cell r="G189" t="str">
            <v>通信料</v>
          </cell>
          <cell r="H189" t="str">
            <v>ＩＰ電話サービス国内通話料（課税）</v>
          </cell>
          <cell r="I189">
            <v>17</v>
          </cell>
          <cell r="J189" t="str">
            <v>DABINCI利用量</v>
          </cell>
          <cell r="N189" t="str">
            <v>課税</v>
          </cell>
        </row>
        <row r="190">
          <cell r="F190" t="str">
            <v>1905116</v>
          </cell>
          <cell r="G190" t="str">
            <v>通信料</v>
          </cell>
          <cell r="H190" t="str">
            <v>ＩＰ電話サービス国際通話料（非課税）</v>
          </cell>
          <cell r="I190">
            <v>18</v>
          </cell>
          <cell r="J190" t="str">
            <v>DABINCI利用量</v>
          </cell>
          <cell r="N190" t="str">
            <v>非課税</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kddi.com/smc/fmconline/bbcappl/schema/reg_diff_industries_appl_request" TargetMode="External"/><Relationship Id="rId1" Type="http://schemas.openxmlformats.org/officeDocument/2006/relationships/hyperlink" Target="http://kddi.com/smc/fmconline/bbcappl/schema/reg_diff_industries_appl_response" TargetMode="External"/><Relationship Id="rId4" Type="http://schemas.openxmlformats.org/officeDocument/2006/relationships/drawing" Target="../drawings/drawing2.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92D050"/>
  </sheetPr>
  <dimension ref="B1:F61"/>
  <sheetViews>
    <sheetView workbookViewId="0">
      <pane xSplit="2" ySplit="4" topLeftCell="C47" activePane="bottomRight" state="frozen"/>
      <selection pane="topRight" activeCell="C1" sqref="C1"/>
      <selection pane="bottomLeft" activeCell="A5" sqref="A5"/>
      <selection pane="bottomRight" activeCell="D47" sqref="D47"/>
    </sheetView>
  </sheetViews>
  <sheetFormatPr defaultColWidth="7.81640625" defaultRowHeight="11"/>
  <cols>
    <col min="1" max="1" width="1.26953125" style="9" customWidth="1"/>
    <col min="2" max="2" width="3.81640625" style="9" customWidth="1"/>
    <col min="3" max="3" width="17.6328125" style="9" bestFit="1" customWidth="1"/>
    <col min="4" max="4" width="39.08984375" style="9" customWidth="1"/>
    <col min="5" max="5" width="68.7265625" style="9" customWidth="1"/>
    <col min="6" max="6" width="11" style="9" customWidth="1"/>
    <col min="7" max="16384" width="7.81640625" style="9"/>
  </cols>
  <sheetData>
    <row r="1" spans="2:6" ht="7.5" customHeight="1">
      <c r="D1" s="22"/>
      <c r="E1" s="22"/>
    </row>
    <row r="2" spans="2:6" ht="24" thickBot="1">
      <c r="B2" s="25" t="s">
        <v>88</v>
      </c>
      <c r="C2" s="25"/>
      <c r="D2" s="24"/>
      <c r="E2" s="24"/>
      <c r="F2" s="23"/>
    </row>
    <row r="3" spans="2:6" ht="12" thickTop="1" thickBot="1">
      <c r="D3" s="22"/>
      <c r="E3" s="22"/>
      <c r="F3" s="21"/>
    </row>
    <row r="4" spans="2:6">
      <c r="B4" s="20" t="s">
        <v>87</v>
      </c>
      <c r="C4" s="19" t="s">
        <v>86</v>
      </c>
      <c r="D4" s="18" t="s">
        <v>85</v>
      </c>
      <c r="E4" s="18" t="s">
        <v>84</v>
      </c>
      <c r="F4" s="17" t="s">
        <v>83</v>
      </c>
    </row>
    <row r="5" spans="2:6" ht="88">
      <c r="B5" s="16">
        <f t="shared" ref="B5:B48" si="0">ROW()-4</f>
        <v>1</v>
      </c>
      <c r="C5" s="373" t="s">
        <v>82</v>
      </c>
      <c r="D5" s="15" t="s">
        <v>747</v>
      </c>
      <c r="E5" s="15" t="s">
        <v>2649</v>
      </c>
      <c r="F5" s="14">
        <v>1</v>
      </c>
    </row>
    <row r="6" spans="2:6" ht="77">
      <c r="B6" s="16">
        <f t="shared" si="0"/>
        <v>2</v>
      </c>
      <c r="C6" s="374"/>
      <c r="D6" s="15" t="s">
        <v>2651</v>
      </c>
      <c r="E6" s="15" t="s">
        <v>2650</v>
      </c>
      <c r="F6" s="14">
        <v>2</v>
      </c>
    </row>
    <row r="7" spans="2:6" ht="66">
      <c r="B7" s="16">
        <f t="shared" si="0"/>
        <v>3</v>
      </c>
      <c r="C7" s="374"/>
      <c r="D7" s="15" t="s">
        <v>2652</v>
      </c>
      <c r="E7" s="15" t="s">
        <v>543</v>
      </c>
      <c r="F7" s="14">
        <v>3</v>
      </c>
    </row>
    <row r="8" spans="2:6" ht="66">
      <c r="B8" s="16">
        <f t="shared" si="0"/>
        <v>4</v>
      </c>
      <c r="C8" s="374"/>
      <c r="D8" s="15" t="s">
        <v>748</v>
      </c>
      <c r="E8" s="15" t="s">
        <v>761</v>
      </c>
      <c r="F8" s="14">
        <v>4</v>
      </c>
    </row>
    <row r="9" spans="2:6" ht="66">
      <c r="B9" s="16">
        <f t="shared" si="0"/>
        <v>5</v>
      </c>
      <c r="C9" s="374"/>
      <c r="D9" s="15" t="s">
        <v>544</v>
      </c>
      <c r="E9" s="15" t="s">
        <v>542</v>
      </c>
      <c r="F9" s="14">
        <v>5</v>
      </c>
    </row>
    <row r="10" spans="2:6" ht="66">
      <c r="B10" s="16">
        <f t="shared" si="0"/>
        <v>6</v>
      </c>
      <c r="C10" s="374"/>
      <c r="D10" s="15" t="s">
        <v>545</v>
      </c>
      <c r="E10" s="15" t="s">
        <v>543</v>
      </c>
      <c r="F10" s="14">
        <v>6</v>
      </c>
    </row>
    <row r="11" spans="2:6" ht="66">
      <c r="B11" s="16">
        <f t="shared" si="0"/>
        <v>7</v>
      </c>
      <c r="C11" s="374"/>
      <c r="D11" s="15" t="s">
        <v>749</v>
      </c>
      <c r="E11" s="15" t="s">
        <v>761</v>
      </c>
      <c r="F11" s="14">
        <v>7</v>
      </c>
    </row>
    <row r="12" spans="2:6" ht="66">
      <c r="B12" s="16">
        <f t="shared" si="0"/>
        <v>8</v>
      </c>
      <c r="C12" s="374"/>
      <c r="D12" s="15" t="s">
        <v>546</v>
      </c>
      <c r="E12" s="15" t="s">
        <v>542</v>
      </c>
      <c r="F12" s="14">
        <v>8</v>
      </c>
    </row>
    <row r="13" spans="2:6" ht="66">
      <c r="B13" s="16">
        <f t="shared" si="0"/>
        <v>9</v>
      </c>
      <c r="C13" s="374"/>
      <c r="D13" s="15" t="s">
        <v>547</v>
      </c>
      <c r="E13" s="15" t="s">
        <v>543</v>
      </c>
      <c r="F13" s="14">
        <v>9</v>
      </c>
    </row>
    <row r="14" spans="2:6" ht="66">
      <c r="B14" s="16">
        <f t="shared" si="0"/>
        <v>10</v>
      </c>
      <c r="C14" s="374"/>
      <c r="D14" s="15" t="s">
        <v>750</v>
      </c>
      <c r="E14" s="15" t="s">
        <v>761</v>
      </c>
      <c r="F14" s="14">
        <v>10</v>
      </c>
    </row>
    <row r="15" spans="2:6" ht="66">
      <c r="B15" s="16">
        <f t="shared" si="0"/>
        <v>11</v>
      </c>
      <c r="C15" s="374"/>
      <c r="D15" s="15" t="s">
        <v>548</v>
      </c>
      <c r="E15" s="15" t="s">
        <v>542</v>
      </c>
      <c r="F15" s="14">
        <v>11</v>
      </c>
    </row>
    <row r="16" spans="2:6" ht="66">
      <c r="B16" s="16">
        <f t="shared" si="0"/>
        <v>12</v>
      </c>
      <c r="C16" s="374"/>
      <c r="D16" s="15" t="s">
        <v>549</v>
      </c>
      <c r="E16" s="15" t="s">
        <v>543</v>
      </c>
      <c r="F16" s="14">
        <v>12</v>
      </c>
    </row>
    <row r="17" spans="2:6" ht="66">
      <c r="B17" s="16">
        <f t="shared" si="0"/>
        <v>13</v>
      </c>
      <c r="C17" s="374"/>
      <c r="D17" s="15" t="s">
        <v>751</v>
      </c>
      <c r="E17" s="15" t="s">
        <v>761</v>
      </c>
      <c r="F17" s="14">
        <v>13</v>
      </c>
    </row>
    <row r="18" spans="2:6" ht="66">
      <c r="B18" s="16">
        <f t="shared" si="0"/>
        <v>14</v>
      </c>
      <c r="C18" s="374"/>
      <c r="D18" s="15" t="s">
        <v>550</v>
      </c>
      <c r="E18" s="15" t="s">
        <v>542</v>
      </c>
      <c r="F18" s="14">
        <v>14</v>
      </c>
    </row>
    <row r="19" spans="2:6" ht="66">
      <c r="B19" s="16">
        <f t="shared" si="0"/>
        <v>15</v>
      </c>
      <c r="C19" s="374"/>
      <c r="D19" s="15" t="s">
        <v>551</v>
      </c>
      <c r="E19" s="15" t="s">
        <v>543</v>
      </c>
      <c r="F19" s="14">
        <v>15</v>
      </c>
    </row>
    <row r="20" spans="2:6" ht="66">
      <c r="B20" s="16">
        <f t="shared" si="0"/>
        <v>16</v>
      </c>
      <c r="C20" s="374"/>
      <c r="D20" s="15" t="s">
        <v>752</v>
      </c>
      <c r="E20" s="15" t="s">
        <v>761</v>
      </c>
      <c r="F20" s="14">
        <v>16</v>
      </c>
    </row>
    <row r="21" spans="2:6" ht="66">
      <c r="B21" s="16">
        <f t="shared" si="0"/>
        <v>17</v>
      </c>
      <c r="C21" s="374"/>
      <c r="D21" s="15" t="s">
        <v>552</v>
      </c>
      <c r="E21" s="15" t="s">
        <v>542</v>
      </c>
      <c r="F21" s="14">
        <v>17</v>
      </c>
    </row>
    <row r="22" spans="2:6" ht="66">
      <c r="B22" s="16">
        <f t="shared" si="0"/>
        <v>18</v>
      </c>
      <c r="C22" s="374"/>
      <c r="D22" s="15" t="s">
        <v>553</v>
      </c>
      <c r="E22" s="15" t="s">
        <v>543</v>
      </c>
      <c r="F22" s="14">
        <v>18</v>
      </c>
    </row>
    <row r="23" spans="2:6" ht="66">
      <c r="B23" s="16">
        <f t="shared" si="0"/>
        <v>19</v>
      </c>
      <c r="C23" s="374"/>
      <c r="D23" s="15" t="s">
        <v>753</v>
      </c>
      <c r="E23" s="15" t="s">
        <v>761</v>
      </c>
      <c r="F23" s="14">
        <v>19</v>
      </c>
    </row>
    <row r="24" spans="2:6" ht="66">
      <c r="B24" s="16">
        <f t="shared" si="0"/>
        <v>20</v>
      </c>
      <c r="C24" s="374"/>
      <c r="D24" s="15" t="s">
        <v>554</v>
      </c>
      <c r="E24" s="15" t="s">
        <v>542</v>
      </c>
      <c r="F24" s="14">
        <v>20</v>
      </c>
    </row>
    <row r="25" spans="2:6" ht="66">
      <c r="B25" s="16">
        <f t="shared" si="0"/>
        <v>21</v>
      </c>
      <c r="C25" s="374"/>
      <c r="D25" s="15" t="s">
        <v>555</v>
      </c>
      <c r="E25" s="15" t="s">
        <v>543</v>
      </c>
      <c r="F25" s="14">
        <v>21</v>
      </c>
    </row>
    <row r="26" spans="2:6" ht="66">
      <c r="B26" s="16">
        <f t="shared" si="0"/>
        <v>22</v>
      </c>
      <c r="C26" s="374"/>
      <c r="D26" s="15" t="s">
        <v>754</v>
      </c>
      <c r="E26" s="15" t="s">
        <v>761</v>
      </c>
      <c r="F26" s="14">
        <v>22</v>
      </c>
    </row>
    <row r="27" spans="2:6" ht="66">
      <c r="B27" s="16">
        <f t="shared" si="0"/>
        <v>23</v>
      </c>
      <c r="C27" s="374"/>
      <c r="D27" s="15" t="s">
        <v>557</v>
      </c>
      <c r="E27" s="15" t="s">
        <v>542</v>
      </c>
      <c r="F27" s="14">
        <v>23</v>
      </c>
    </row>
    <row r="28" spans="2:6" ht="66">
      <c r="B28" s="16">
        <f t="shared" si="0"/>
        <v>24</v>
      </c>
      <c r="C28" s="374"/>
      <c r="D28" s="15" t="s">
        <v>558</v>
      </c>
      <c r="E28" s="15" t="s">
        <v>543</v>
      </c>
      <c r="F28" s="14">
        <v>24</v>
      </c>
    </row>
    <row r="29" spans="2:6" ht="66">
      <c r="B29" s="16">
        <f t="shared" si="0"/>
        <v>25</v>
      </c>
      <c r="C29" s="374"/>
      <c r="D29" s="15" t="s">
        <v>755</v>
      </c>
      <c r="E29" s="15" t="s">
        <v>761</v>
      </c>
      <c r="F29" s="14">
        <v>25</v>
      </c>
    </row>
    <row r="30" spans="2:6" ht="66">
      <c r="B30" s="16">
        <f t="shared" si="0"/>
        <v>26</v>
      </c>
      <c r="C30" s="374"/>
      <c r="D30" s="15" t="s">
        <v>556</v>
      </c>
      <c r="E30" s="15" t="s">
        <v>542</v>
      </c>
      <c r="F30" s="14">
        <v>26</v>
      </c>
    </row>
    <row r="31" spans="2:6" ht="66">
      <c r="B31" s="16">
        <f t="shared" si="0"/>
        <v>27</v>
      </c>
      <c r="C31" s="374"/>
      <c r="D31" s="15" t="s">
        <v>559</v>
      </c>
      <c r="E31" s="15" t="s">
        <v>543</v>
      </c>
      <c r="F31" s="14">
        <v>27</v>
      </c>
    </row>
    <row r="32" spans="2:6" ht="66">
      <c r="B32" s="16">
        <f t="shared" si="0"/>
        <v>28</v>
      </c>
      <c r="C32" s="374"/>
      <c r="D32" s="15" t="s">
        <v>756</v>
      </c>
      <c r="E32" s="15" t="s">
        <v>761</v>
      </c>
      <c r="F32" s="14">
        <v>28</v>
      </c>
    </row>
    <row r="33" spans="2:6" ht="66">
      <c r="B33" s="16">
        <f t="shared" si="0"/>
        <v>29</v>
      </c>
      <c r="C33" s="374"/>
      <c r="D33" s="15" t="s">
        <v>560</v>
      </c>
      <c r="E33" s="15" t="s">
        <v>542</v>
      </c>
      <c r="F33" s="14">
        <v>29</v>
      </c>
    </row>
    <row r="34" spans="2:6" ht="66">
      <c r="B34" s="16">
        <f t="shared" si="0"/>
        <v>30</v>
      </c>
      <c r="C34" s="374"/>
      <c r="D34" s="15" t="s">
        <v>561</v>
      </c>
      <c r="E34" s="15" t="s">
        <v>543</v>
      </c>
      <c r="F34" s="14">
        <v>30</v>
      </c>
    </row>
    <row r="35" spans="2:6" ht="66">
      <c r="B35" s="16">
        <f t="shared" si="0"/>
        <v>31</v>
      </c>
      <c r="C35" s="374"/>
      <c r="D35" s="15" t="s">
        <v>757</v>
      </c>
      <c r="E35" s="15" t="s">
        <v>761</v>
      </c>
      <c r="F35" s="14">
        <v>31</v>
      </c>
    </row>
    <row r="36" spans="2:6" ht="66">
      <c r="B36" s="16">
        <f t="shared" si="0"/>
        <v>32</v>
      </c>
      <c r="C36" s="374"/>
      <c r="D36" s="15" t="s">
        <v>562</v>
      </c>
      <c r="E36" s="15" t="s">
        <v>542</v>
      </c>
      <c r="F36" s="14">
        <v>32</v>
      </c>
    </row>
    <row r="37" spans="2:6" ht="66">
      <c r="B37" s="16">
        <f t="shared" si="0"/>
        <v>33</v>
      </c>
      <c r="C37" s="374"/>
      <c r="D37" s="15" t="s">
        <v>563</v>
      </c>
      <c r="E37" s="15" t="s">
        <v>543</v>
      </c>
      <c r="F37" s="14">
        <v>33</v>
      </c>
    </row>
    <row r="38" spans="2:6" ht="66">
      <c r="B38" s="16">
        <f t="shared" si="0"/>
        <v>34</v>
      </c>
      <c r="C38" s="374"/>
      <c r="D38" s="15" t="s">
        <v>758</v>
      </c>
      <c r="E38" s="15" t="s">
        <v>761</v>
      </c>
      <c r="F38" s="14">
        <v>34</v>
      </c>
    </row>
    <row r="39" spans="2:6" ht="66">
      <c r="B39" s="16">
        <f t="shared" si="0"/>
        <v>35</v>
      </c>
      <c r="C39" s="374"/>
      <c r="D39" s="15" t="s">
        <v>564</v>
      </c>
      <c r="E39" s="15" t="s">
        <v>542</v>
      </c>
      <c r="F39" s="14">
        <v>35</v>
      </c>
    </row>
    <row r="40" spans="2:6" ht="66">
      <c r="B40" s="16">
        <f t="shared" si="0"/>
        <v>36</v>
      </c>
      <c r="C40" s="374"/>
      <c r="D40" s="15" t="s">
        <v>565</v>
      </c>
      <c r="E40" s="15" t="s">
        <v>543</v>
      </c>
      <c r="F40" s="14">
        <v>36</v>
      </c>
    </row>
    <row r="41" spans="2:6" ht="66">
      <c r="B41" s="16">
        <f t="shared" si="0"/>
        <v>37</v>
      </c>
      <c r="C41" s="374"/>
      <c r="D41" s="15" t="s">
        <v>759</v>
      </c>
      <c r="E41" s="15" t="s">
        <v>761</v>
      </c>
      <c r="F41" s="14">
        <v>37</v>
      </c>
    </row>
    <row r="42" spans="2:6" ht="66">
      <c r="B42" s="16">
        <f t="shared" si="0"/>
        <v>38</v>
      </c>
      <c r="C42" s="374"/>
      <c r="D42" s="15" t="s">
        <v>566</v>
      </c>
      <c r="E42" s="15" t="s">
        <v>542</v>
      </c>
      <c r="F42" s="14">
        <v>38</v>
      </c>
    </row>
    <row r="43" spans="2:6" ht="66">
      <c r="B43" s="16">
        <f t="shared" si="0"/>
        <v>39</v>
      </c>
      <c r="C43" s="374"/>
      <c r="D43" s="15" t="s">
        <v>567</v>
      </c>
      <c r="E43" s="15" t="s">
        <v>543</v>
      </c>
      <c r="F43" s="14">
        <v>39</v>
      </c>
    </row>
    <row r="44" spans="2:6" ht="66">
      <c r="B44" s="16">
        <f t="shared" si="0"/>
        <v>40</v>
      </c>
      <c r="C44" s="374"/>
      <c r="D44" s="15" t="s">
        <v>760</v>
      </c>
      <c r="E44" s="15" t="s">
        <v>761</v>
      </c>
      <c r="F44" s="14">
        <v>40</v>
      </c>
    </row>
    <row r="45" spans="2:6" ht="66">
      <c r="B45" s="16">
        <f t="shared" si="0"/>
        <v>41</v>
      </c>
      <c r="C45" s="374"/>
      <c r="D45" s="15" t="s">
        <v>568</v>
      </c>
      <c r="E45" s="15" t="s">
        <v>542</v>
      </c>
      <c r="F45" s="14">
        <v>41</v>
      </c>
    </row>
    <row r="46" spans="2:6" ht="66">
      <c r="B46" s="16">
        <f t="shared" si="0"/>
        <v>42</v>
      </c>
      <c r="C46" s="374"/>
      <c r="D46" s="15" t="s">
        <v>569</v>
      </c>
      <c r="E46" s="15" t="s">
        <v>543</v>
      </c>
      <c r="F46" s="14">
        <v>42</v>
      </c>
    </row>
    <row r="47" spans="2:6" ht="55">
      <c r="B47" s="16">
        <f t="shared" si="0"/>
        <v>43</v>
      </c>
      <c r="C47" s="375"/>
      <c r="D47" s="15" t="s">
        <v>2653</v>
      </c>
      <c r="E47" s="15" t="s">
        <v>81</v>
      </c>
      <c r="F47" s="14">
        <v>43</v>
      </c>
    </row>
    <row r="48" spans="2:6" ht="11.5" thickBot="1">
      <c r="B48" s="13">
        <f t="shared" si="0"/>
        <v>44</v>
      </c>
      <c r="C48" s="12"/>
      <c r="D48" s="11"/>
      <c r="E48" s="11"/>
      <c r="F48" s="10"/>
    </row>
    <row r="49" ht="26.25" customHeight="1"/>
    <row r="50" ht="11.25" customHeight="1"/>
    <row r="51" ht="11.25" customHeight="1"/>
    <row r="52" ht="11.25" customHeight="1"/>
    <row r="53" ht="11.25" customHeight="1"/>
    <row r="54" ht="11.25" customHeight="1"/>
    <row r="55" ht="11.25" customHeight="1"/>
    <row r="56" ht="11.25" customHeight="1"/>
    <row r="57" ht="11.25" customHeight="1"/>
    <row r="58" ht="11.25" customHeight="1"/>
    <row r="59" ht="11.25" customHeight="1"/>
    <row r="60" ht="11.25" customHeight="1"/>
    <row r="61" ht="11.25" customHeight="1"/>
  </sheetData>
  <phoneticPr fontId="3"/>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70C0"/>
  </sheetPr>
  <dimension ref="A1:BK208"/>
  <sheetViews>
    <sheetView view="pageBreakPreview" zoomScaleNormal="100" zoomScaleSheetLayoutView="75" workbookViewId="0">
      <pane xSplit="20" ySplit="7" topLeftCell="U92" activePane="bottomRight" state="frozen"/>
      <selection pane="topRight"/>
      <selection pane="bottomLeft"/>
      <selection pane="bottomRight" activeCell="X128" sqref="X128"/>
    </sheetView>
  </sheetViews>
  <sheetFormatPr defaultColWidth="2.6328125" defaultRowHeight="15.25" customHeight="1"/>
  <cols>
    <col min="1" max="4" width="2.6328125" style="26" customWidth="1"/>
    <col min="5" max="5" width="3.7265625" style="26" customWidth="1"/>
    <col min="6" max="14" width="2.6328125" style="26" customWidth="1"/>
    <col min="15" max="15" width="2.7265625" style="26" customWidth="1"/>
    <col min="16" max="18" width="2.6328125" style="26" customWidth="1"/>
    <col min="19" max="19" width="10.08984375" style="26" customWidth="1"/>
    <col min="20" max="20" width="31.453125" style="26" customWidth="1"/>
    <col min="21" max="63" width="2.6328125" style="26" customWidth="1"/>
    <col min="64" max="16384" width="2.6328125" style="26"/>
  </cols>
  <sheetData>
    <row r="1" spans="1:63" ht="15.25" customHeight="1" thickBot="1"/>
    <row r="2" spans="1:63" ht="19.5" customHeight="1">
      <c r="A2" s="171" t="s">
        <v>293</v>
      </c>
      <c r="B2" s="170"/>
      <c r="C2" s="170"/>
      <c r="D2" s="169"/>
      <c r="E2" s="386" t="s">
        <v>292</v>
      </c>
      <c r="F2" s="387"/>
      <c r="G2" s="387"/>
      <c r="H2" s="387"/>
      <c r="I2" s="387"/>
      <c r="J2" s="387"/>
      <c r="K2" s="387"/>
      <c r="L2" s="387"/>
      <c r="M2" s="387"/>
      <c r="N2" s="387"/>
      <c r="O2" s="388"/>
      <c r="P2" s="168" t="s">
        <v>291</v>
      </c>
      <c r="Q2" s="167"/>
      <c r="R2" s="167"/>
      <c r="S2" s="166"/>
      <c r="T2" s="165" t="s">
        <v>290</v>
      </c>
      <c r="U2" s="164" t="s">
        <v>289</v>
      </c>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row>
    <row r="3" spans="1:63" ht="19.5" customHeight="1">
      <c r="A3" s="161" t="s">
        <v>288</v>
      </c>
      <c r="B3" s="160"/>
      <c r="C3" s="160"/>
      <c r="D3" s="159"/>
      <c r="E3" s="389" t="s">
        <v>287</v>
      </c>
      <c r="F3" s="390"/>
      <c r="G3" s="390"/>
      <c r="H3" s="390"/>
      <c r="I3" s="390"/>
      <c r="J3" s="390"/>
      <c r="K3" s="390"/>
      <c r="L3" s="390"/>
      <c r="M3" s="390"/>
      <c r="N3" s="390"/>
      <c r="O3" s="391"/>
      <c r="P3" s="158"/>
      <c r="Q3" s="157"/>
      <c r="R3" s="157"/>
      <c r="S3" s="156"/>
      <c r="T3" s="155" t="s">
        <v>286</v>
      </c>
      <c r="U3" s="162" t="s">
        <v>285</v>
      </c>
      <c r="V3" s="162"/>
      <c r="W3" s="162"/>
      <c r="X3" s="162"/>
      <c r="Y3" s="162"/>
      <c r="Z3" s="162"/>
      <c r="AA3" s="162"/>
      <c r="AB3" s="162"/>
      <c r="AC3" s="162"/>
      <c r="AD3" s="162"/>
      <c r="AE3" s="162"/>
      <c r="AF3" s="162"/>
      <c r="AG3" s="162"/>
      <c r="AH3" s="162"/>
      <c r="AI3" s="162"/>
      <c r="AJ3" s="162"/>
      <c r="AK3" s="162"/>
      <c r="AL3" s="162"/>
      <c r="AM3" s="162"/>
      <c r="AN3" s="162"/>
      <c r="AO3" s="162"/>
      <c r="AP3" s="162"/>
      <c r="AQ3" s="162"/>
      <c r="AR3" s="162"/>
      <c r="AS3" s="162"/>
      <c r="AT3" s="162"/>
      <c r="AU3" s="162"/>
      <c r="AV3" s="162"/>
      <c r="AW3" s="162"/>
      <c r="AX3" s="162"/>
      <c r="AY3" s="162"/>
      <c r="AZ3" s="162"/>
      <c r="BA3" s="162"/>
      <c r="BB3" s="162"/>
      <c r="BC3" s="162"/>
      <c r="BD3" s="162"/>
      <c r="BE3" s="162"/>
      <c r="BF3" s="162"/>
      <c r="BG3" s="162"/>
      <c r="BH3" s="162"/>
      <c r="BI3" s="162"/>
      <c r="BJ3" s="162"/>
      <c r="BK3" s="162"/>
    </row>
    <row r="4" spans="1:63" ht="20.149999999999999" customHeight="1">
      <c r="A4" s="161" t="s">
        <v>284</v>
      </c>
      <c r="B4" s="160"/>
      <c r="C4" s="160"/>
      <c r="D4" s="159"/>
      <c r="E4" s="389" t="s">
        <v>283</v>
      </c>
      <c r="F4" s="390"/>
      <c r="G4" s="390"/>
      <c r="H4" s="390"/>
      <c r="I4" s="390"/>
      <c r="J4" s="390"/>
      <c r="K4" s="390"/>
      <c r="L4" s="390"/>
      <c r="M4" s="390"/>
      <c r="N4" s="390"/>
      <c r="O4" s="391"/>
      <c r="P4" s="158"/>
      <c r="Q4" s="157"/>
      <c r="R4" s="157"/>
      <c r="S4" s="156"/>
      <c r="T4" s="155" t="s">
        <v>282</v>
      </c>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row>
    <row r="5" spans="1:63" ht="19" customHeight="1" thickBot="1">
      <c r="A5" s="153" t="s">
        <v>281</v>
      </c>
      <c r="B5" s="148"/>
      <c r="C5" s="148"/>
      <c r="D5" s="147"/>
      <c r="E5" s="152"/>
      <c r="F5" s="151"/>
      <c r="G5" s="151"/>
      <c r="H5" s="151"/>
      <c r="I5" s="151"/>
      <c r="J5" s="151"/>
      <c r="K5" s="151"/>
      <c r="L5" s="151"/>
      <c r="M5" s="151"/>
      <c r="N5" s="151"/>
      <c r="O5" s="150"/>
      <c r="P5" s="149"/>
      <c r="Q5" s="148"/>
      <c r="R5" s="148"/>
      <c r="S5" s="147"/>
      <c r="T5" s="146" t="s">
        <v>280</v>
      </c>
      <c r="U5" s="145"/>
      <c r="V5" s="145"/>
      <c r="W5" s="145"/>
      <c r="X5" s="145"/>
      <c r="Y5" s="145"/>
      <c r="Z5" s="145"/>
      <c r="AA5" s="145"/>
      <c r="AB5" s="145"/>
      <c r="AC5" s="145"/>
      <c r="AD5" s="145"/>
      <c r="AE5" s="145"/>
      <c r="AF5" s="145"/>
      <c r="AG5" s="145"/>
      <c r="AH5" s="145"/>
      <c r="AI5" s="145"/>
      <c r="AJ5" s="145"/>
      <c r="AK5" s="145"/>
      <c r="AL5" s="145"/>
      <c r="AM5" s="145"/>
      <c r="AN5" s="145"/>
      <c r="AO5" s="145"/>
      <c r="AP5" s="145"/>
      <c r="AQ5" s="145"/>
      <c r="AR5" s="145"/>
      <c r="AS5" s="145"/>
      <c r="AT5" s="145"/>
      <c r="AU5" s="145"/>
      <c r="AV5" s="145"/>
      <c r="AW5" s="145"/>
      <c r="AX5" s="145"/>
      <c r="AY5" s="145"/>
      <c r="AZ5" s="145"/>
      <c r="BA5" s="145"/>
      <c r="BB5" s="145"/>
      <c r="BC5" s="145"/>
      <c r="BD5" s="145"/>
      <c r="BE5" s="145"/>
      <c r="BF5" s="145"/>
      <c r="BG5" s="145"/>
      <c r="BH5" s="145"/>
      <c r="BI5" s="145"/>
      <c r="BJ5" s="145"/>
      <c r="BK5" s="145"/>
    </row>
    <row r="6" spans="1:63" ht="15.25" customHeight="1">
      <c r="A6" s="144"/>
      <c r="B6" s="143"/>
      <c r="C6" s="143"/>
      <c r="D6" s="143"/>
      <c r="E6" s="143"/>
      <c r="F6" s="143"/>
      <c r="G6" s="143"/>
      <c r="H6" s="143"/>
      <c r="I6" s="143"/>
      <c r="J6" s="143"/>
      <c r="K6" s="143"/>
      <c r="L6" s="143"/>
      <c r="M6" s="143"/>
      <c r="N6" s="143"/>
      <c r="O6" s="143"/>
      <c r="P6" s="143"/>
      <c r="Q6" s="143"/>
      <c r="R6" s="143"/>
      <c r="S6" s="143"/>
      <c r="T6" s="143"/>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row>
    <row r="7" spans="1:63" ht="16.5" customHeight="1" thickBot="1">
      <c r="A7" s="142"/>
      <c r="B7" s="141"/>
      <c r="C7" s="141"/>
      <c r="D7" s="141"/>
      <c r="E7" s="141"/>
      <c r="F7" s="141"/>
      <c r="G7" s="141"/>
      <c r="H7" s="141"/>
      <c r="I7" s="141"/>
      <c r="J7" s="141"/>
      <c r="K7" s="141"/>
      <c r="L7" s="141"/>
      <c r="M7" s="141"/>
      <c r="N7" s="141"/>
      <c r="O7" s="141"/>
      <c r="P7" s="141"/>
      <c r="Q7" s="141"/>
      <c r="R7" s="141"/>
      <c r="S7" s="141"/>
      <c r="T7" s="140"/>
      <c r="U7" s="139" t="s">
        <v>57</v>
      </c>
      <c r="V7" s="139" t="s">
        <v>65</v>
      </c>
      <c r="W7" s="139" t="s">
        <v>70</v>
      </c>
      <c r="X7" s="139" t="s">
        <v>78</v>
      </c>
      <c r="Y7" s="139" t="s">
        <v>77</v>
      </c>
      <c r="Z7" s="139" t="s">
        <v>505</v>
      </c>
      <c r="AA7" s="139" t="s">
        <v>506</v>
      </c>
      <c r="AB7" s="139" t="s">
        <v>276</v>
      </c>
      <c r="AC7" s="139" t="s">
        <v>507</v>
      </c>
      <c r="AD7" s="139" t="s">
        <v>48</v>
      </c>
      <c r="AE7" s="139" t="s">
        <v>508</v>
      </c>
      <c r="AF7" s="139" t="s">
        <v>509</v>
      </c>
      <c r="AG7" s="139" t="s">
        <v>510</v>
      </c>
      <c r="AH7" s="139" t="s">
        <v>511</v>
      </c>
      <c r="AI7" s="139" t="s">
        <v>512</v>
      </c>
      <c r="AJ7" s="139" t="s">
        <v>513</v>
      </c>
      <c r="AK7" s="139" t="s">
        <v>514</v>
      </c>
      <c r="AL7" s="139" t="s">
        <v>515</v>
      </c>
      <c r="AM7" s="139" t="s">
        <v>516</v>
      </c>
      <c r="AN7" s="139" t="s">
        <v>80</v>
      </c>
      <c r="AO7" s="139" t="s">
        <v>517</v>
      </c>
      <c r="AP7" s="139" t="s">
        <v>518</v>
      </c>
      <c r="AQ7" s="139" t="s">
        <v>519</v>
      </c>
      <c r="AR7" s="139" t="s">
        <v>520</v>
      </c>
      <c r="AS7" s="139" t="s">
        <v>521</v>
      </c>
      <c r="AT7" s="139" t="s">
        <v>522</v>
      </c>
      <c r="AU7" s="139" t="s">
        <v>523</v>
      </c>
      <c r="AV7" s="139" t="s">
        <v>524</v>
      </c>
      <c r="AW7" s="139" t="s">
        <v>525</v>
      </c>
      <c r="AX7" s="139" t="s">
        <v>526</v>
      </c>
      <c r="AY7" s="139" t="s">
        <v>527</v>
      </c>
      <c r="AZ7" s="139" t="s">
        <v>528</v>
      </c>
      <c r="BA7" s="139" t="s">
        <v>529</v>
      </c>
      <c r="BB7" s="139" t="s">
        <v>530</v>
      </c>
      <c r="BC7" s="139" t="s">
        <v>531</v>
      </c>
      <c r="BD7" s="139" t="s">
        <v>532</v>
      </c>
      <c r="BE7" s="139" t="s">
        <v>533</v>
      </c>
      <c r="BF7" s="139" t="s">
        <v>534</v>
      </c>
      <c r="BG7" s="139" t="s">
        <v>535</v>
      </c>
      <c r="BH7" s="139" t="s">
        <v>536</v>
      </c>
      <c r="BI7" s="139" t="s">
        <v>537</v>
      </c>
      <c r="BJ7" s="139" t="s">
        <v>538</v>
      </c>
      <c r="BK7" s="139" t="s">
        <v>539</v>
      </c>
    </row>
    <row r="8" spans="1:63" s="27" customFormat="1" ht="15.25" customHeight="1" thickTop="1">
      <c r="A8" s="138" t="s">
        <v>279</v>
      </c>
      <c r="B8" s="137"/>
      <c r="C8" s="137"/>
      <c r="D8" s="137"/>
      <c r="E8" s="137"/>
      <c r="F8" s="137"/>
      <c r="G8" s="137"/>
      <c r="H8" s="136"/>
      <c r="I8" s="136"/>
      <c r="J8" s="135"/>
      <c r="K8" s="135"/>
      <c r="L8" s="135"/>
      <c r="M8" s="135"/>
      <c r="N8" s="135"/>
      <c r="O8" s="135"/>
      <c r="P8" s="135"/>
      <c r="Q8" s="135"/>
      <c r="R8" s="135"/>
      <c r="S8" s="135"/>
      <c r="T8" s="134"/>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row>
    <row r="9" spans="1:63" s="27" customFormat="1" ht="15.25" customHeight="1">
      <c r="A9" s="64"/>
      <c r="B9" s="120" t="s">
        <v>278</v>
      </c>
      <c r="C9" s="119"/>
      <c r="D9" s="112"/>
      <c r="E9" s="112"/>
      <c r="F9" s="112"/>
      <c r="G9" s="112"/>
      <c r="H9" s="112"/>
      <c r="I9" s="118"/>
      <c r="J9" s="112"/>
      <c r="K9" s="118"/>
      <c r="L9" s="118"/>
      <c r="M9" s="112"/>
      <c r="N9" s="112"/>
      <c r="O9" s="112"/>
      <c r="P9" s="112"/>
      <c r="Q9" s="112"/>
      <c r="R9" s="118"/>
      <c r="S9" s="112"/>
      <c r="T9" s="117"/>
      <c r="U9" s="110"/>
      <c r="V9" s="110"/>
      <c r="W9" s="109"/>
      <c r="X9" s="109"/>
      <c r="Y9" s="110"/>
      <c r="Z9" s="109"/>
      <c r="AA9" s="109"/>
      <c r="AB9" s="110"/>
      <c r="AC9" s="109"/>
      <c r="AD9" s="109"/>
      <c r="AE9" s="110"/>
      <c r="AF9" s="109"/>
      <c r="AG9" s="109"/>
      <c r="AH9" s="110"/>
      <c r="AI9" s="109"/>
      <c r="AJ9" s="109"/>
      <c r="AK9" s="110"/>
      <c r="AL9" s="109"/>
      <c r="AM9" s="109"/>
      <c r="AN9" s="110"/>
      <c r="AO9" s="109"/>
      <c r="AP9" s="109"/>
      <c r="AQ9" s="110"/>
      <c r="AR9" s="109"/>
      <c r="AS9" s="109"/>
      <c r="AT9" s="110"/>
      <c r="AU9" s="109"/>
      <c r="AV9" s="109"/>
      <c r="AW9" s="110"/>
      <c r="AX9" s="109"/>
      <c r="AY9" s="109"/>
      <c r="AZ9" s="110"/>
      <c r="BA9" s="109"/>
      <c r="BB9" s="109"/>
      <c r="BC9" s="110"/>
      <c r="BD9" s="109"/>
      <c r="BE9" s="109"/>
      <c r="BF9" s="110"/>
      <c r="BG9" s="109"/>
      <c r="BH9" s="109"/>
      <c r="BI9" s="110"/>
      <c r="BJ9" s="109"/>
      <c r="BK9" s="109"/>
    </row>
    <row r="10" spans="1:63" s="27" customFormat="1" ht="12">
      <c r="A10" s="64"/>
      <c r="B10" s="63"/>
      <c r="C10" s="123" t="s">
        <v>277</v>
      </c>
      <c r="D10" s="122"/>
      <c r="E10" s="122"/>
      <c r="F10" s="122"/>
      <c r="G10" s="122"/>
      <c r="H10" s="122"/>
      <c r="I10" s="122"/>
      <c r="J10" s="122"/>
      <c r="K10" s="122"/>
      <c r="L10" s="122"/>
      <c r="M10" s="122"/>
      <c r="N10" s="122"/>
      <c r="O10" s="122"/>
      <c r="P10" s="122"/>
      <c r="Q10" s="122"/>
      <c r="R10" s="121"/>
      <c r="S10" s="104" t="s">
        <v>276</v>
      </c>
      <c r="T10" s="103"/>
      <c r="U10" s="57" t="s">
        <v>23</v>
      </c>
      <c r="V10" s="57" t="s">
        <v>23</v>
      </c>
      <c r="W10" s="57" t="s">
        <v>23</v>
      </c>
      <c r="X10" s="57" t="s">
        <v>23</v>
      </c>
      <c r="Y10" s="57" t="s">
        <v>23</v>
      </c>
      <c r="Z10" s="57" t="s">
        <v>23</v>
      </c>
      <c r="AA10" s="57" t="s">
        <v>23</v>
      </c>
      <c r="AB10" s="57" t="s">
        <v>23</v>
      </c>
      <c r="AC10" s="57" t="s">
        <v>23</v>
      </c>
      <c r="AD10" s="57" t="s">
        <v>23</v>
      </c>
      <c r="AE10" s="57" t="s">
        <v>23</v>
      </c>
      <c r="AF10" s="57" t="s">
        <v>23</v>
      </c>
      <c r="AG10" s="57" t="s">
        <v>23</v>
      </c>
      <c r="AH10" s="57" t="s">
        <v>23</v>
      </c>
      <c r="AI10" s="57" t="s">
        <v>23</v>
      </c>
      <c r="AJ10" s="57" t="s">
        <v>23</v>
      </c>
      <c r="AK10" s="57" t="s">
        <v>23</v>
      </c>
      <c r="AL10" s="57" t="s">
        <v>23</v>
      </c>
      <c r="AM10" s="57" t="s">
        <v>23</v>
      </c>
      <c r="AN10" s="57" t="s">
        <v>23</v>
      </c>
      <c r="AO10" s="57" t="s">
        <v>23</v>
      </c>
      <c r="AP10" s="57" t="s">
        <v>23</v>
      </c>
      <c r="AQ10" s="57" t="s">
        <v>23</v>
      </c>
      <c r="AR10" s="57" t="s">
        <v>23</v>
      </c>
      <c r="AS10" s="57" t="s">
        <v>23</v>
      </c>
      <c r="AT10" s="57" t="s">
        <v>23</v>
      </c>
      <c r="AU10" s="57" t="s">
        <v>23</v>
      </c>
      <c r="AV10" s="57" t="s">
        <v>23</v>
      </c>
      <c r="AW10" s="57" t="s">
        <v>23</v>
      </c>
      <c r="AX10" s="57" t="s">
        <v>23</v>
      </c>
      <c r="AY10" s="57" t="s">
        <v>23</v>
      </c>
      <c r="AZ10" s="57" t="s">
        <v>23</v>
      </c>
      <c r="BA10" s="57" t="s">
        <v>23</v>
      </c>
      <c r="BB10" s="57" t="s">
        <v>23</v>
      </c>
      <c r="BC10" s="57" t="s">
        <v>23</v>
      </c>
      <c r="BD10" s="57" t="s">
        <v>23</v>
      </c>
      <c r="BE10" s="57" t="s">
        <v>23</v>
      </c>
      <c r="BF10" s="57" t="s">
        <v>23</v>
      </c>
      <c r="BG10" s="57" t="s">
        <v>23</v>
      </c>
      <c r="BH10" s="57" t="s">
        <v>23</v>
      </c>
      <c r="BI10" s="57" t="s">
        <v>23</v>
      </c>
      <c r="BJ10" s="57" t="s">
        <v>23</v>
      </c>
      <c r="BK10" s="57" t="s">
        <v>23</v>
      </c>
    </row>
    <row r="11" spans="1:63" s="27" customFormat="1" ht="12">
      <c r="A11" s="64"/>
      <c r="B11" s="63"/>
      <c r="C11" s="123" t="s">
        <v>275</v>
      </c>
      <c r="D11" s="122"/>
      <c r="E11" s="122"/>
      <c r="F11" s="122"/>
      <c r="G11" s="122"/>
      <c r="H11" s="122"/>
      <c r="I11" s="122"/>
      <c r="J11" s="122"/>
      <c r="K11" s="122"/>
      <c r="L11" s="122"/>
      <c r="M11" s="122"/>
      <c r="N11" s="122"/>
      <c r="O11" s="122"/>
      <c r="P11" s="122"/>
      <c r="Q11" s="122"/>
      <c r="R11" s="121"/>
      <c r="S11" s="104" t="s">
        <v>274</v>
      </c>
      <c r="T11" s="103"/>
      <c r="U11" s="57" t="s">
        <v>23</v>
      </c>
      <c r="V11" s="57" t="s">
        <v>23</v>
      </c>
      <c r="W11" s="57" t="s">
        <v>23</v>
      </c>
      <c r="X11" s="57" t="s">
        <v>23</v>
      </c>
      <c r="Y11" s="57" t="s">
        <v>23</v>
      </c>
      <c r="Z11" s="57" t="s">
        <v>23</v>
      </c>
      <c r="AA11" s="57" t="s">
        <v>23</v>
      </c>
      <c r="AB11" s="57" t="s">
        <v>23</v>
      </c>
      <c r="AC11" s="57" t="s">
        <v>23</v>
      </c>
      <c r="AD11" s="57" t="s">
        <v>23</v>
      </c>
      <c r="AE11" s="57" t="s">
        <v>23</v>
      </c>
      <c r="AF11" s="57" t="s">
        <v>23</v>
      </c>
      <c r="AG11" s="57" t="s">
        <v>23</v>
      </c>
      <c r="AH11" s="57" t="s">
        <v>23</v>
      </c>
      <c r="AI11" s="57" t="s">
        <v>23</v>
      </c>
      <c r="AJ11" s="57" t="s">
        <v>23</v>
      </c>
      <c r="AK11" s="57" t="s">
        <v>23</v>
      </c>
      <c r="AL11" s="57" t="s">
        <v>23</v>
      </c>
      <c r="AM11" s="57" t="s">
        <v>23</v>
      </c>
      <c r="AN11" s="57" t="s">
        <v>23</v>
      </c>
      <c r="AO11" s="57" t="s">
        <v>23</v>
      </c>
      <c r="AP11" s="57" t="s">
        <v>23</v>
      </c>
      <c r="AQ11" s="57" t="s">
        <v>23</v>
      </c>
      <c r="AR11" s="57" t="s">
        <v>23</v>
      </c>
      <c r="AS11" s="57" t="s">
        <v>23</v>
      </c>
      <c r="AT11" s="57" t="s">
        <v>23</v>
      </c>
      <c r="AU11" s="57" t="s">
        <v>23</v>
      </c>
      <c r="AV11" s="57" t="s">
        <v>23</v>
      </c>
      <c r="AW11" s="57" t="s">
        <v>23</v>
      </c>
      <c r="AX11" s="57" t="s">
        <v>23</v>
      </c>
      <c r="AY11" s="57" t="s">
        <v>23</v>
      </c>
      <c r="AZ11" s="57" t="s">
        <v>23</v>
      </c>
      <c r="BA11" s="57" t="s">
        <v>23</v>
      </c>
      <c r="BB11" s="57" t="s">
        <v>23</v>
      </c>
      <c r="BC11" s="57" t="s">
        <v>23</v>
      </c>
      <c r="BD11" s="57" t="s">
        <v>23</v>
      </c>
      <c r="BE11" s="57" t="s">
        <v>23</v>
      </c>
      <c r="BF11" s="57" t="s">
        <v>23</v>
      </c>
      <c r="BG11" s="57" t="s">
        <v>23</v>
      </c>
      <c r="BH11" s="57" t="s">
        <v>23</v>
      </c>
      <c r="BI11" s="57" t="s">
        <v>23</v>
      </c>
      <c r="BJ11" s="57" t="s">
        <v>23</v>
      </c>
      <c r="BK11" s="57" t="s">
        <v>23</v>
      </c>
    </row>
    <row r="12" spans="1:63" s="27" customFormat="1" ht="12">
      <c r="A12" s="64"/>
      <c r="B12" s="63"/>
      <c r="C12" s="123" t="s">
        <v>273</v>
      </c>
      <c r="D12" s="122"/>
      <c r="E12" s="122"/>
      <c r="F12" s="122"/>
      <c r="G12" s="122"/>
      <c r="H12" s="122"/>
      <c r="I12" s="122"/>
      <c r="J12" s="122"/>
      <c r="K12" s="122"/>
      <c r="L12" s="122"/>
      <c r="M12" s="122"/>
      <c r="N12" s="122"/>
      <c r="O12" s="122"/>
      <c r="P12" s="122"/>
      <c r="Q12" s="122"/>
      <c r="R12" s="121"/>
      <c r="S12" s="104" t="s">
        <v>272</v>
      </c>
      <c r="T12" s="103"/>
      <c r="U12" s="57" t="s">
        <v>23</v>
      </c>
      <c r="V12" s="57" t="s">
        <v>23</v>
      </c>
      <c r="W12" s="57" t="s">
        <v>23</v>
      </c>
      <c r="X12" s="57" t="s">
        <v>23</v>
      </c>
      <c r="Y12" s="57" t="s">
        <v>23</v>
      </c>
      <c r="Z12" s="57" t="s">
        <v>23</v>
      </c>
      <c r="AA12" s="57" t="s">
        <v>23</v>
      </c>
      <c r="AB12" s="57" t="s">
        <v>23</v>
      </c>
      <c r="AC12" s="57" t="s">
        <v>23</v>
      </c>
      <c r="AD12" s="57" t="s">
        <v>23</v>
      </c>
      <c r="AE12" s="57" t="s">
        <v>23</v>
      </c>
      <c r="AF12" s="57" t="s">
        <v>23</v>
      </c>
      <c r="AG12" s="57" t="s">
        <v>23</v>
      </c>
      <c r="AH12" s="57" t="s">
        <v>23</v>
      </c>
      <c r="AI12" s="57" t="s">
        <v>23</v>
      </c>
      <c r="AJ12" s="57" t="s">
        <v>23</v>
      </c>
      <c r="AK12" s="57" t="s">
        <v>23</v>
      </c>
      <c r="AL12" s="57" t="s">
        <v>23</v>
      </c>
      <c r="AM12" s="57" t="s">
        <v>23</v>
      </c>
      <c r="AN12" s="57" t="s">
        <v>23</v>
      </c>
      <c r="AO12" s="57" t="s">
        <v>23</v>
      </c>
      <c r="AP12" s="57" t="s">
        <v>23</v>
      </c>
      <c r="AQ12" s="57" t="s">
        <v>23</v>
      </c>
      <c r="AR12" s="57" t="s">
        <v>23</v>
      </c>
      <c r="AS12" s="57" t="s">
        <v>23</v>
      </c>
      <c r="AT12" s="57" t="s">
        <v>23</v>
      </c>
      <c r="AU12" s="57" t="s">
        <v>23</v>
      </c>
      <c r="AV12" s="57" t="s">
        <v>23</v>
      </c>
      <c r="AW12" s="57" t="s">
        <v>23</v>
      </c>
      <c r="AX12" s="57" t="s">
        <v>23</v>
      </c>
      <c r="AY12" s="57" t="s">
        <v>23</v>
      </c>
      <c r="AZ12" s="57" t="s">
        <v>23</v>
      </c>
      <c r="BA12" s="57" t="s">
        <v>23</v>
      </c>
      <c r="BB12" s="57" t="s">
        <v>23</v>
      </c>
      <c r="BC12" s="57" t="s">
        <v>23</v>
      </c>
      <c r="BD12" s="57" t="s">
        <v>23</v>
      </c>
      <c r="BE12" s="57" t="s">
        <v>23</v>
      </c>
      <c r="BF12" s="57" t="s">
        <v>23</v>
      </c>
      <c r="BG12" s="57" t="s">
        <v>23</v>
      </c>
      <c r="BH12" s="57" t="s">
        <v>23</v>
      </c>
      <c r="BI12" s="57" t="s">
        <v>23</v>
      </c>
      <c r="BJ12" s="57" t="s">
        <v>23</v>
      </c>
      <c r="BK12" s="57" t="s">
        <v>23</v>
      </c>
    </row>
    <row r="13" spans="1:63" s="27" customFormat="1" ht="12">
      <c r="A13" s="64"/>
      <c r="B13" s="63"/>
      <c r="C13" s="123" t="s">
        <v>271</v>
      </c>
      <c r="D13" s="122"/>
      <c r="E13" s="122"/>
      <c r="F13" s="122"/>
      <c r="G13" s="122"/>
      <c r="H13" s="122"/>
      <c r="I13" s="122"/>
      <c r="J13" s="122"/>
      <c r="K13" s="122"/>
      <c r="L13" s="122"/>
      <c r="M13" s="122"/>
      <c r="N13" s="122"/>
      <c r="O13" s="122"/>
      <c r="P13" s="122"/>
      <c r="Q13" s="122"/>
      <c r="R13" s="121"/>
      <c r="S13" s="104" t="s">
        <v>270</v>
      </c>
      <c r="T13" s="103"/>
      <c r="U13" s="57" t="s">
        <v>23</v>
      </c>
      <c r="V13" s="57" t="s">
        <v>23</v>
      </c>
      <c r="W13" s="57" t="s">
        <v>23</v>
      </c>
      <c r="X13" s="57" t="s">
        <v>23</v>
      </c>
      <c r="Y13" s="57" t="s">
        <v>23</v>
      </c>
      <c r="Z13" s="57" t="s">
        <v>23</v>
      </c>
      <c r="AA13" s="57" t="s">
        <v>23</v>
      </c>
      <c r="AB13" s="57" t="s">
        <v>23</v>
      </c>
      <c r="AC13" s="57" t="s">
        <v>23</v>
      </c>
      <c r="AD13" s="57" t="s">
        <v>23</v>
      </c>
      <c r="AE13" s="57" t="s">
        <v>23</v>
      </c>
      <c r="AF13" s="57" t="s">
        <v>23</v>
      </c>
      <c r="AG13" s="57" t="s">
        <v>23</v>
      </c>
      <c r="AH13" s="57" t="s">
        <v>23</v>
      </c>
      <c r="AI13" s="57" t="s">
        <v>23</v>
      </c>
      <c r="AJ13" s="57" t="s">
        <v>23</v>
      </c>
      <c r="AK13" s="57" t="s">
        <v>23</v>
      </c>
      <c r="AL13" s="57" t="s">
        <v>23</v>
      </c>
      <c r="AM13" s="57" t="s">
        <v>23</v>
      </c>
      <c r="AN13" s="57" t="s">
        <v>23</v>
      </c>
      <c r="AO13" s="57" t="s">
        <v>23</v>
      </c>
      <c r="AP13" s="57" t="s">
        <v>23</v>
      </c>
      <c r="AQ13" s="57" t="s">
        <v>23</v>
      </c>
      <c r="AR13" s="57" t="s">
        <v>23</v>
      </c>
      <c r="AS13" s="57" t="s">
        <v>23</v>
      </c>
      <c r="AT13" s="57" t="s">
        <v>23</v>
      </c>
      <c r="AU13" s="57" t="s">
        <v>23</v>
      </c>
      <c r="AV13" s="57" t="s">
        <v>23</v>
      </c>
      <c r="AW13" s="57" t="s">
        <v>23</v>
      </c>
      <c r="AX13" s="57" t="s">
        <v>23</v>
      </c>
      <c r="AY13" s="57" t="s">
        <v>23</v>
      </c>
      <c r="AZ13" s="57" t="s">
        <v>23</v>
      </c>
      <c r="BA13" s="57" t="s">
        <v>23</v>
      </c>
      <c r="BB13" s="57" t="s">
        <v>23</v>
      </c>
      <c r="BC13" s="57" t="s">
        <v>23</v>
      </c>
      <c r="BD13" s="57" t="s">
        <v>23</v>
      </c>
      <c r="BE13" s="57" t="s">
        <v>23</v>
      </c>
      <c r="BF13" s="57" t="s">
        <v>23</v>
      </c>
      <c r="BG13" s="57" t="s">
        <v>23</v>
      </c>
      <c r="BH13" s="57" t="s">
        <v>23</v>
      </c>
      <c r="BI13" s="57" t="s">
        <v>23</v>
      </c>
      <c r="BJ13" s="57" t="s">
        <v>23</v>
      </c>
      <c r="BK13" s="57" t="s">
        <v>23</v>
      </c>
    </row>
    <row r="14" spans="1:63" s="27" customFormat="1" ht="12">
      <c r="A14" s="64"/>
      <c r="B14" s="63"/>
      <c r="C14" s="123" t="s">
        <v>269</v>
      </c>
      <c r="D14" s="122"/>
      <c r="E14" s="122"/>
      <c r="F14" s="122"/>
      <c r="G14" s="122"/>
      <c r="H14" s="122"/>
      <c r="I14" s="122"/>
      <c r="J14" s="122"/>
      <c r="K14" s="122"/>
      <c r="L14" s="122"/>
      <c r="M14" s="122"/>
      <c r="N14" s="122"/>
      <c r="O14" s="122"/>
      <c r="P14" s="122"/>
      <c r="Q14" s="122"/>
      <c r="R14" s="121"/>
      <c r="S14" s="104" t="s">
        <v>268</v>
      </c>
      <c r="T14" s="103"/>
      <c r="U14" s="57" t="s">
        <v>23</v>
      </c>
      <c r="V14" s="57" t="s">
        <v>23</v>
      </c>
      <c r="W14" s="57" t="s">
        <v>23</v>
      </c>
      <c r="X14" s="57" t="s">
        <v>23</v>
      </c>
      <c r="Y14" s="57" t="s">
        <v>23</v>
      </c>
      <c r="Z14" s="57" t="s">
        <v>23</v>
      </c>
      <c r="AA14" s="57" t="s">
        <v>23</v>
      </c>
      <c r="AB14" s="57" t="s">
        <v>23</v>
      </c>
      <c r="AC14" s="57" t="s">
        <v>23</v>
      </c>
      <c r="AD14" s="57" t="s">
        <v>23</v>
      </c>
      <c r="AE14" s="57" t="s">
        <v>23</v>
      </c>
      <c r="AF14" s="57" t="s">
        <v>23</v>
      </c>
      <c r="AG14" s="57" t="s">
        <v>23</v>
      </c>
      <c r="AH14" s="57" t="s">
        <v>23</v>
      </c>
      <c r="AI14" s="57" t="s">
        <v>23</v>
      </c>
      <c r="AJ14" s="57" t="s">
        <v>23</v>
      </c>
      <c r="AK14" s="57" t="s">
        <v>23</v>
      </c>
      <c r="AL14" s="57" t="s">
        <v>23</v>
      </c>
      <c r="AM14" s="57" t="s">
        <v>23</v>
      </c>
      <c r="AN14" s="57" t="s">
        <v>23</v>
      </c>
      <c r="AO14" s="57" t="s">
        <v>23</v>
      </c>
      <c r="AP14" s="57" t="s">
        <v>23</v>
      </c>
      <c r="AQ14" s="57" t="s">
        <v>23</v>
      </c>
      <c r="AR14" s="57" t="s">
        <v>23</v>
      </c>
      <c r="AS14" s="57" t="s">
        <v>23</v>
      </c>
      <c r="AT14" s="57" t="s">
        <v>23</v>
      </c>
      <c r="AU14" s="57" t="s">
        <v>23</v>
      </c>
      <c r="AV14" s="57" t="s">
        <v>23</v>
      </c>
      <c r="AW14" s="57" t="s">
        <v>23</v>
      </c>
      <c r="AX14" s="57" t="s">
        <v>23</v>
      </c>
      <c r="AY14" s="57" t="s">
        <v>23</v>
      </c>
      <c r="AZ14" s="57" t="s">
        <v>23</v>
      </c>
      <c r="BA14" s="57" t="s">
        <v>23</v>
      </c>
      <c r="BB14" s="57" t="s">
        <v>23</v>
      </c>
      <c r="BC14" s="57" t="s">
        <v>23</v>
      </c>
      <c r="BD14" s="57" t="s">
        <v>23</v>
      </c>
      <c r="BE14" s="57" t="s">
        <v>23</v>
      </c>
      <c r="BF14" s="57" t="s">
        <v>23</v>
      </c>
      <c r="BG14" s="57" t="s">
        <v>23</v>
      </c>
      <c r="BH14" s="57" t="s">
        <v>23</v>
      </c>
      <c r="BI14" s="57" t="s">
        <v>23</v>
      </c>
      <c r="BJ14" s="57" t="s">
        <v>23</v>
      </c>
      <c r="BK14" s="57" t="s">
        <v>23</v>
      </c>
    </row>
    <row r="15" spans="1:63" s="27" customFormat="1" ht="12">
      <c r="A15" s="64"/>
      <c r="B15" s="63"/>
      <c r="C15" s="123" t="s">
        <v>267</v>
      </c>
      <c r="D15" s="122"/>
      <c r="E15" s="122"/>
      <c r="F15" s="122"/>
      <c r="G15" s="122"/>
      <c r="H15" s="122"/>
      <c r="I15" s="122"/>
      <c r="J15" s="122"/>
      <c r="K15" s="122"/>
      <c r="L15" s="122"/>
      <c r="M15" s="122"/>
      <c r="N15" s="122"/>
      <c r="O15" s="122"/>
      <c r="P15" s="122"/>
      <c r="Q15" s="122"/>
      <c r="R15" s="121"/>
      <c r="S15" s="104" t="s">
        <v>266</v>
      </c>
      <c r="T15" s="103"/>
      <c r="U15" s="57" t="s">
        <v>23</v>
      </c>
      <c r="V15" s="57" t="s">
        <v>23</v>
      </c>
      <c r="W15" s="57" t="s">
        <v>23</v>
      </c>
      <c r="X15" s="57" t="s">
        <v>23</v>
      </c>
      <c r="Y15" s="57" t="s">
        <v>23</v>
      </c>
      <c r="Z15" s="57" t="s">
        <v>23</v>
      </c>
      <c r="AA15" s="57" t="s">
        <v>23</v>
      </c>
      <c r="AB15" s="57" t="s">
        <v>23</v>
      </c>
      <c r="AC15" s="57" t="s">
        <v>23</v>
      </c>
      <c r="AD15" s="57" t="s">
        <v>23</v>
      </c>
      <c r="AE15" s="57" t="s">
        <v>23</v>
      </c>
      <c r="AF15" s="57" t="s">
        <v>23</v>
      </c>
      <c r="AG15" s="57" t="s">
        <v>23</v>
      </c>
      <c r="AH15" s="57" t="s">
        <v>23</v>
      </c>
      <c r="AI15" s="57" t="s">
        <v>23</v>
      </c>
      <c r="AJ15" s="57" t="s">
        <v>23</v>
      </c>
      <c r="AK15" s="57" t="s">
        <v>23</v>
      </c>
      <c r="AL15" s="57" t="s">
        <v>23</v>
      </c>
      <c r="AM15" s="57" t="s">
        <v>23</v>
      </c>
      <c r="AN15" s="57" t="s">
        <v>23</v>
      </c>
      <c r="AO15" s="57" t="s">
        <v>23</v>
      </c>
      <c r="AP15" s="57" t="s">
        <v>23</v>
      </c>
      <c r="AQ15" s="57" t="s">
        <v>23</v>
      </c>
      <c r="AR15" s="57" t="s">
        <v>23</v>
      </c>
      <c r="AS15" s="57" t="s">
        <v>23</v>
      </c>
      <c r="AT15" s="57" t="s">
        <v>23</v>
      </c>
      <c r="AU15" s="57" t="s">
        <v>23</v>
      </c>
      <c r="AV15" s="57" t="s">
        <v>23</v>
      </c>
      <c r="AW15" s="57" t="s">
        <v>23</v>
      </c>
      <c r="AX15" s="57" t="s">
        <v>23</v>
      </c>
      <c r="AY15" s="57" t="s">
        <v>23</v>
      </c>
      <c r="AZ15" s="57" t="s">
        <v>23</v>
      </c>
      <c r="BA15" s="57" t="s">
        <v>23</v>
      </c>
      <c r="BB15" s="57" t="s">
        <v>23</v>
      </c>
      <c r="BC15" s="57" t="s">
        <v>23</v>
      </c>
      <c r="BD15" s="57" t="s">
        <v>23</v>
      </c>
      <c r="BE15" s="57" t="s">
        <v>23</v>
      </c>
      <c r="BF15" s="57" t="s">
        <v>23</v>
      </c>
      <c r="BG15" s="57" t="s">
        <v>23</v>
      </c>
      <c r="BH15" s="57" t="s">
        <v>23</v>
      </c>
      <c r="BI15" s="57" t="s">
        <v>23</v>
      </c>
      <c r="BJ15" s="57" t="s">
        <v>23</v>
      </c>
      <c r="BK15" s="57" t="s">
        <v>23</v>
      </c>
    </row>
    <row r="16" spans="1:63" s="27" customFormat="1" ht="12">
      <c r="A16" s="64"/>
      <c r="B16" s="63"/>
      <c r="C16" s="123" t="s">
        <v>265</v>
      </c>
      <c r="D16" s="122"/>
      <c r="E16" s="122"/>
      <c r="F16" s="122"/>
      <c r="G16" s="122"/>
      <c r="H16" s="122"/>
      <c r="I16" s="122"/>
      <c r="J16" s="122"/>
      <c r="K16" s="122"/>
      <c r="L16" s="122"/>
      <c r="M16" s="122"/>
      <c r="N16" s="122"/>
      <c r="O16" s="122"/>
      <c r="P16" s="122"/>
      <c r="Q16" s="122"/>
      <c r="R16" s="121"/>
      <c r="S16" s="104" t="s">
        <v>264</v>
      </c>
      <c r="T16" s="103"/>
      <c r="U16" s="57" t="s">
        <v>23</v>
      </c>
      <c r="V16" s="57" t="s">
        <v>23</v>
      </c>
      <c r="W16" s="57" t="s">
        <v>23</v>
      </c>
      <c r="X16" s="57" t="s">
        <v>23</v>
      </c>
      <c r="Y16" s="57" t="s">
        <v>23</v>
      </c>
      <c r="Z16" s="57" t="s">
        <v>23</v>
      </c>
      <c r="AA16" s="57" t="s">
        <v>23</v>
      </c>
      <c r="AB16" s="57" t="s">
        <v>23</v>
      </c>
      <c r="AC16" s="57" t="s">
        <v>23</v>
      </c>
      <c r="AD16" s="57" t="s">
        <v>23</v>
      </c>
      <c r="AE16" s="57" t="s">
        <v>23</v>
      </c>
      <c r="AF16" s="57" t="s">
        <v>23</v>
      </c>
      <c r="AG16" s="57" t="s">
        <v>23</v>
      </c>
      <c r="AH16" s="57" t="s">
        <v>23</v>
      </c>
      <c r="AI16" s="57" t="s">
        <v>23</v>
      </c>
      <c r="AJ16" s="57" t="s">
        <v>23</v>
      </c>
      <c r="AK16" s="57" t="s">
        <v>23</v>
      </c>
      <c r="AL16" s="57" t="s">
        <v>23</v>
      </c>
      <c r="AM16" s="57" t="s">
        <v>23</v>
      </c>
      <c r="AN16" s="57" t="s">
        <v>23</v>
      </c>
      <c r="AO16" s="57" t="s">
        <v>23</v>
      </c>
      <c r="AP16" s="57" t="s">
        <v>23</v>
      </c>
      <c r="AQ16" s="57" t="s">
        <v>23</v>
      </c>
      <c r="AR16" s="57" t="s">
        <v>23</v>
      </c>
      <c r="AS16" s="57" t="s">
        <v>23</v>
      </c>
      <c r="AT16" s="57" t="s">
        <v>23</v>
      </c>
      <c r="AU16" s="57" t="s">
        <v>23</v>
      </c>
      <c r="AV16" s="57" t="s">
        <v>23</v>
      </c>
      <c r="AW16" s="57" t="s">
        <v>23</v>
      </c>
      <c r="AX16" s="57" t="s">
        <v>23</v>
      </c>
      <c r="AY16" s="57" t="s">
        <v>23</v>
      </c>
      <c r="AZ16" s="57" t="s">
        <v>23</v>
      </c>
      <c r="BA16" s="57" t="s">
        <v>23</v>
      </c>
      <c r="BB16" s="57" t="s">
        <v>23</v>
      </c>
      <c r="BC16" s="57" t="s">
        <v>23</v>
      </c>
      <c r="BD16" s="57" t="s">
        <v>23</v>
      </c>
      <c r="BE16" s="57" t="s">
        <v>23</v>
      </c>
      <c r="BF16" s="57" t="s">
        <v>23</v>
      </c>
      <c r="BG16" s="57" t="s">
        <v>23</v>
      </c>
      <c r="BH16" s="57" t="s">
        <v>23</v>
      </c>
      <c r="BI16" s="57" t="s">
        <v>23</v>
      </c>
      <c r="BJ16" s="57" t="s">
        <v>23</v>
      </c>
      <c r="BK16" s="57" t="s">
        <v>23</v>
      </c>
    </row>
    <row r="17" spans="1:63" s="27" customFormat="1" ht="12">
      <c r="A17" s="64"/>
      <c r="B17" s="63"/>
      <c r="C17" s="123" t="s">
        <v>263</v>
      </c>
      <c r="D17" s="122"/>
      <c r="E17" s="122"/>
      <c r="F17" s="122"/>
      <c r="G17" s="122"/>
      <c r="H17" s="122"/>
      <c r="I17" s="122"/>
      <c r="J17" s="122"/>
      <c r="K17" s="122"/>
      <c r="L17" s="122"/>
      <c r="M17" s="122"/>
      <c r="N17" s="122"/>
      <c r="O17" s="122"/>
      <c r="P17" s="122"/>
      <c r="Q17" s="122"/>
      <c r="R17" s="121"/>
      <c r="S17" s="104" t="s">
        <v>262</v>
      </c>
      <c r="T17" s="103"/>
      <c r="U17" s="57" t="s">
        <v>23</v>
      </c>
      <c r="V17" s="57" t="s">
        <v>23</v>
      </c>
      <c r="W17" s="57" t="s">
        <v>23</v>
      </c>
      <c r="X17" s="57" t="s">
        <v>23</v>
      </c>
      <c r="Y17" s="57" t="s">
        <v>23</v>
      </c>
      <c r="Z17" s="57" t="s">
        <v>23</v>
      </c>
      <c r="AA17" s="57" t="s">
        <v>23</v>
      </c>
      <c r="AB17" s="57" t="s">
        <v>23</v>
      </c>
      <c r="AC17" s="57" t="s">
        <v>23</v>
      </c>
      <c r="AD17" s="57" t="s">
        <v>23</v>
      </c>
      <c r="AE17" s="57" t="s">
        <v>23</v>
      </c>
      <c r="AF17" s="57" t="s">
        <v>23</v>
      </c>
      <c r="AG17" s="57" t="s">
        <v>23</v>
      </c>
      <c r="AH17" s="57" t="s">
        <v>23</v>
      </c>
      <c r="AI17" s="57" t="s">
        <v>23</v>
      </c>
      <c r="AJ17" s="57" t="s">
        <v>23</v>
      </c>
      <c r="AK17" s="57" t="s">
        <v>23</v>
      </c>
      <c r="AL17" s="57" t="s">
        <v>23</v>
      </c>
      <c r="AM17" s="57" t="s">
        <v>23</v>
      </c>
      <c r="AN17" s="57" t="s">
        <v>23</v>
      </c>
      <c r="AO17" s="57" t="s">
        <v>23</v>
      </c>
      <c r="AP17" s="57" t="s">
        <v>23</v>
      </c>
      <c r="AQ17" s="57" t="s">
        <v>23</v>
      </c>
      <c r="AR17" s="57" t="s">
        <v>23</v>
      </c>
      <c r="AS17" s="57" t="s">
        <v>23</v>
      </c>
      <c r="AT17" s="57" t="s">
        <v>23</v>
      </c>
      <c r="AU17" s="57" t="s">
        <v>23</v>
      </c>
      <c r="AV17" s="57" t="s">
        <v>23</v>
      </c>
      <c r="AW17" s="57" t="s">
        <v>23</v>
      </c>
      <c r="AX17" s="57" t="s">
        <v>23</v>
      </c>
      <c r="AY17" s="57" t="s">
        <v>23</v>
      </c>
      <c r="AZ17" s="57" t="s">
        <v>23</v>
      </c>
      <c r="BA17" s="57" t="s">
        <v>23</v>
      </c>
      <c r="BB17" s="57" t="s">
        <v>23</v>
      </c>
      <c r="BC17" s="57" t="s">
        <v>23</v>
      </c>
      <c r="BD17" s="57" t="s">
        <v>23</v>
      </c>
      <c r="BE17" s="57" t="s">
        <v>23</v>
      </c>
      <c r="BF17" s="57" t="s">
        <v>23</v>
      </c>
      <c r="BG17" s="57" t="s">
        <v>23</v>
      </c>
      <c r="BH17" s="57" t="s">
        <v>23</v>
      </c>
      <c r="BI17" s="57" t="s">
        <v>23</v>
      </c>
      <c r="BJ17" s="57" t="s">
        <v>23</v>
      </c>
      <c r="BK17" s="57" t="s">
        <v>23</v>
      </c>
    </row>
    <row r="18" spans="1:63" s="27" customFormat="1" ht="12">
      <c r="A18" s="64"/>
      <c r="B18" s="63"/>
      <c r="C18" s="123" t="s">
        <v>261</v>
      </c>
      <c r="D18" s="122"/>
      <c r="E18" s="122"/>
      <c r="F18" s="122"/>
      <c r="G18" s="122"/>
      <c r="H18" s="122"/>
      <c r="I18" s="122"/>
      <c r="J18" s="122"/>
      <c r="K18" s="122"/>
      <c r="L18" s="122"/>
      <c r="M18" s="122"/>
      <c r="N18" s="122"/>
      <c r="O18" s="122"/>
      <c r="P18" s="122"/>
      <c r="Q18" s="122"/>
      <c r="R18" s="121"/>
      <c r="S18" s="104" t="s">
        <v>260</v>
      </c>
      <c r="T18" s="103"/>
      <c r="U18" s="57" t="s">
        <v>23</v>
      </c>
      <c r="V18" s="57" t="s">
        <v>23</v>
      </c>
      <c r="W18" s="57" t="s">
        <v>23</v>
      </c>
      <c r="X18" s="57" t="s">
        <v>23</v>
      </c>
      <c r="Y18" s="57" t="s">
        <v>23</v>
      </c>
      <c r="Z18" s="57" t="s">
        <v>23</v>
      </c>
      <c r="AA18" s="57" t="s">
        <v>23</v>
      </c>
      <c r="AB18" s="57" t="s">
        <v>23</v>
      </c>
      <c r="AC18" s="57" t="s">
        <v>23</v>
      </c>
      <c r="AD18" s="57" t="s">
        <v>23</v>
      </c>
      <c r="AE18" s="57" t="s">
        <v>23</v>
      </c>
      <c r="AF18" s="57" t="s">
        <v>23</v>
      </c>
      <c r="AG18" s="57" t="s">
        <v>23</v>
      </c>
      <c r="AH18" s="57" t="s">
        <v>23</v>
      </c>
      <c r="AI18" s="57" t="s">
        <v>23</v>
      </c>
      <c r="AJ18" s="57" t="s">
        <v>23</v>
      </c>
      <c r="AK18" s="57" t="s">
        <v>23</v>
      </c>
      <c r="AL18" s="57" t="s">
        <v>23</v>
      </c>
      <c r="AM18" s="57" t="s">
        <v>23</v>
      </c>
      <c r="AN18" s="57" t="s">
        <v>23</v>
      </c>
      <c r="AO18" s="57" t="s">
        <v>23</v>
      </c>
      <c r="AP18" s="57" t="s">
        <v>23</v>
      </c>
      <c r="AQ18" s="57" t="s">
        <v>23</v>
      </c>
      <c r="AR18" s="57" t="s">
        <v>23</v>
      </c>
      <c r="AS18" s="57" t="s">
        <v>23</v>
      </c>
      <c r="AT18" s="57" t="s">
        <v>23</v>
      </c>
      <c r="AU18" s="57" t="s">
        <v>23</v>
      </c>
      <c r="AV18" s="57" t="s">
        <v>23</v>
      </c>
      <c r="AW18" s="57" t="s">
        <v>23</v>
      </c>
      <c r="AX18" s="57" t="s">
        <v>23</v>
      </c>
      <c r="AY18" s="57" t="s">
        <v>23</v>
      </c>
      <c r="AZ18" s="57" t="s">
        <v>23</v>
      </c>
      <c r="BA18" s="57" t="s">
        <v>23</v>
      </c>
      <c r="BB18" s="57" t="s">
        <v>23</v>
      </c>
      <c r="BC18" s="57" t="s">
        <v>23</v>
      </c>
      <c r="BD18" s="57" t="s">
        <v>23</v>
      </c>
      <c r="BE18" s="57" t="s">
        <v>23</v>
      </c>
      <c r="BF18" s="57" t="s">
        <v>23</v>
      </c>
      <c r="BG18" s="57" t="s">
        <v>23</v>
      </c>
      <c r="BH18" s="57" t="s">
        <v>23</v>
      </c>
      <c r="BI18" s="57" t="s">
        <v>23</v>
      </c>
      <c r="BJ18" s="57" t="s">
        <v>23</v>
      </c>
      <c r="BK18" s="57" t="s">
        <v>23</v>
      </c>
    </row>
    <row r="19" spans="1:63" s="27" customFormat="1" ht="12">
      <c r="A19" s="64"/>
      <c r="B19" s="63"/>
      <c r="C19" s="123" t="s">
        <v>259</v>
      </c>
      <c r="D19" s="122"/>
      <c r="E19" s="122"/>
      <c r="F19" s="122"/>
      <c r="G19" s="122"/>
      <c r="H19" s="122"/>
      <c r="I19" s="122"/>
      <c r="J19" s="122"/>
      <c r="K19" s="122"/>
      <c r="L19" s="122"/>
      <c r="M19" s="122"/>
      <c r="N19" s="122"/>
      <c r="O19" s="122"/>
      <c r="P19" s="122"/>
      <c r="Q19" s="122"/>
      <c r="R19" s="121"/>
      <c r="S19" s="104" t="s">
        <v>258</v>
      </c>
      <c r="T19" s="103"/>
      <c r="U19" s="57" t="s">
        <v>23</v>
      </c>
      <c r="V19" s="57" t="s">
        <v>23</v>
      </c>
      <c r="W19" s="57" t="s">
        <v>23</v>
      </c>
      <c r="X19" s="57" t="s">
        <v>23</v>
      </c>
      <c r="Y19" s="57" t="s">
        <v>23</v>
      </c>
      <c r="Z19" s="57" t="s">
        <v>23</v>
      </c>
      <c r="AA19" s="57" t="s">
        <v>23</v>
      </c>
      <c r="AB19" s="57" t="s">
        <v>23</v>
      </c>
      <c r="AC19" s="57" t="s">
        <v>23</v>
      </c>
      <c r="AD19" s="57" t="s">
        <v>23</v>
      </c>
      <c r="AE19" s="57" t="s">
        <v>23</v>
      </c>
      <c r="AF19" s="57" t="s">
        <v>23</v>
      </c>
      <c r="AG19" s="57" t="s">
        <v>23</v>
      </c>
      <c r="AH19" s="57" t="s">
        <v>23</v>
      </c>
      <c r="AI19" s="57" t="s">
        <v>23</v>
      </c>
      <c r="AJ19" s="57" t="s">
        <v>23</v>
      </c>
      <c r="AK19" s="57" t="s">
        <v>23</v>
      </c>
      <c r="AL19" s="57" t="s">
        <v>23</v>
      </c>
      <c r="AM19" s="57" t="s">
        <v>23</v>
      </c>
      <c r="AN19" s="57" t="s">
        <v>23</v>
      </c>
      <c r="AO19" s="57" t="s">
        <v>23</v>
      </c>
      <c r="AP19" s="57" t="s">
        <v>23</v>
      </c>
      <c r="AQ19" s="57" t="s">
        <v>23</v>
      </c>
      <c r="AR19" s="57" t="s">
        <v>23</v>
      </c>
      <c r="AS19" s="57" t="s">
        <v>23</v>
      </c>
      <c r="AT19" s="57" t="s">
        <v>23</v>
      </c>
      <c r="AU19" s="57" t="s">
        <v>23</v>
      </c>
      <c r="AV19" s="57" t="s">
        <v>23</v>
      </c>
      <c r="AW19" s="57" t="s">
        <v>23</v>
      </c>
      <c r="AX19" s="57" t="s">
        <v>23</v>
      </c>
      <c r="AY19" s="57" t="s">
        <v>23</v>
      </c>
      <c r="AZ19" s="57" t="s">
        <v>23</v>
      </c>
      <c r="BA19" s="57" t="s">
        <v>23</v>
      </c>
      <c r="BB19" s="57" t="s">
        <v>23</v>
      </c>
      <c r="BC19" s="57" t="s">
        <v>23</v>
      </c>
      <c r="BD19" s="57" t="s">
        <v>23</v>
      </c>
      <c r="BE19" s="57" t="s">
        <v>23</v>
      </c>
      <c r="BF19" s="57" t="s">
        <v>23</v>
      </c>
      <c r="BG19" s="57" t="s">
        <v>23</v>
      </c>
      <c r="BH19" s="57" t="s">
        <v>23</v>
      </c>
      <c r="BI19" s="57" t="s">
        <v>23</v>
      </c>
      <c r="BJ19" s="57" t="s">
        <v>23</v>
      </c>
      <c r="BK19" s="57" t="s">
        <v>23</v>
      </c>
    </row>
    <row r="20" spans="1:63" s="27" customFormat="1" ht="12">
      <c r="A20" s="64"/>
      <c r="B20" s="63"/>
      <c r="C20" s="123" t="s">
        <v>257</v>
      </c>
      <c r="D20" s="122"/>
      <c r="E20" s="122"/>
      <c r="F20" s="122"/>
      <c r="G20" s="122"/>
      <c r="H20" s="122"/>
      <c r="I20" s="122"/>
      <c r="J20" s="122"/>
      <c r="K20" s="122"/>
      <c r="L20" s="122"/>
      <c r="M20" s="122"/>
      <c r="N20" s="122"/>
      <c r="O20" s="122"/>
      <c r="P20" s="122"/>
      <c r="Q20" s="122"/>
      <c r="R20" s="121"/>
      <c r="S20" s="104" t="s">
        <v>256</v>
      </c>
      <c r="T20" s="103"/>
      <c r="U20" s="57" t="s">
        <v>23</v>
      </c>
      <c r="V20" s="57" t="s">
        <v>23</v>
      </c>
      <c r="W20" s="57" t="s">
        <v>23</v>
      </c>
      <c r="X20" s="57" t="s">
        <v>23</v>
      </c>
      <c r="Y20" s="57" t="s">
        <v>23</v>
      </c>
      <c r="Z20" s="57" t="s">
        <v>23</v>
      </c>
      <c r="AA20" s="57" t="s">
        <v>23</v>
      </c>
      <c r="AB20" s="57" t="s">
        <v>23</v>
      </c>
      <c r="AC20" s="57" t="s">
        <v>23</v>
      </c>
      <c r="AD20" s="57" t="s">
        <v>23</v>
      </c>
      <c r="AE20" s="57" t="s">
        <v>23</v>
      </c>
      <c r="AF20" s="57" t="s">
        <v>23</v>
      </c>
      <c r="AG20" s="57" t="s">
        <v>23</v>
      </c>
      <c r="AH20" s="57" t="s">
        <v>23</v>
      </c>
      <c r="AI20" s="57" t="s">
        <v>23</v>
      </c>
      <c r="AJ20" s="57" t="s">
        <v>23</v>
      </c>
      <c r="AK20" s="57" t="s">
        <v>23</v>
      </c>
      <c r="AL20" s="57" t="s">
        <v>23</v>
      </c>
      <c r="AM20" s="57" t="s">
        <v>23</v>
      </c>
      <c r="AN20" s="57" t="s">
        <v>23</v>
      </c>
      <c r="AO20" s="57" t="s">
        <v>23</v>
      </c>
      <c r="AP20" s="57" t="s">
        <v>23</v>
      </c>
      <c r="AQ20" s="57" t="s">
        <v>23</v>
      </c>
      <c r="AR20" s="57" t="s">
        <v>23</v>
      </c>
      <c r="AS20" s="57" t="s">
        <v>23</v>
      </c>
      <c r="AT20" s="57" t="s">
        <v>23</v>
      </c>
      <c r="AU20" s="57" t="s">
        <v>23</v>
      </c>
      <c r="AV20" s="57" t="s">
        <v>23</v>
      </c>
      <c r="AW20" s="57" t="s">
        <v>23</v>
      </c>
      <c r="AX20" s="57" t="s">
        <v>23</v>
      </c>
      <c r="AY20" s="57" t="s">
        <v>23</v>
      </c>
      <c r="AZ20" s="57" t="s">
        <v>23</v>
      </c>
      <c r="BA20" s="57" t="s">
        <v>23</v>
      </c>
      <c r="BB20" s="57" t="s">
        <v>23</v>
      </c>
      <c r="BC20" s="57" t="s">
        <v>23</v>
      </c>
      <c r="BD20" s="57" t="s">
        <v>23</v>
      </c>
      <c r="BE20" s="57" t="s">
        <v>23</v>
      </c>
      <c r="BF20" s="57" t="s">
        <v>23</v>
      </c>
      <c r="BG20" s="57" t="s">
        <v>23</v>
      </c>
      <c r="BH20" s="57" t="s">
        <v>23</v>
      </c>
      <c r="BI20" s="57" t="s">
        <v>23</v>
      </c>
      <c r="BJ20" s="57" t="s">
        <v>23</v>
      </c>
      <c r="BK20" s="57" t="s">
        <v>23</v>
      </c>
    </row>
    <row r="21" spans="1:63" s="27" customFormat="1" ht="12">
      <c r="A21" s="64"/>
      <c r="B21" s="63"/>
      <c r="C21" s="123" t="s">
        <v>255</v>
      </c>
      <c r="D21" s="122"/>
      <c r="E21" s="122"/>
      <c r="F21" s="122"/>
      <c r="G21" s="122"/>
      <c r="H21" s="122"/>
      <c r="I21" s="122"/>
      <c r="J21" s="122"/>
      <c r="K21" s="122"/>
      <c r="L21" s="122"/>
      <c r="M21" s="122"/>
      <c r="N21" s="122"/>
      <c r="O21" s="122"/>
      <c r="P21" s="122"/>
      <c r="Q21" s="122"/>
      <c r="R21" s="121"/>
      <c r="S21" s="104" t="s">
        <v>254</v>
      </c>
      <c r="T21" s="103"/>
      <c r="U21" s="57" t="s">
        <v>23</v>
      </c>
      <c r="V21" s="57" t="s">
        <v>23</v>
      </c>
      <c r="W21" s="57" t="s">
        <v>23</v>
      </c>
      <c r="X21" s="57" t="s">
        <v>23</v>
      </c>
      <c r="Y21" s="57" t="s">
        <v>23</v>
      </c>
      <c r="Z21" s="57" t="s">
        <v>23</v>
      </c>
      <c r="AA21" s="57" t="s">
        <v>23</v>
      </c>
      <c r="AB21" s="57" t="s">
        <v>23</v>
      </c>
      <c r="AC21" s="57" t="s">
        <v>23</v>
      </c>
      <c r="AD21" s="57" t="s">
        <v>23</v>
      </c>
      <c r="AE21" s="57" t="s">
        <v>23</v>
      </c>
      <c r="AF21" s="57" t="s">
        <v>23</v>
      </c>
      <c r="AG21" s="57" t="s">
        <v>23</v>
      </c>
      <c r="AH21" s="57" t="s">
        <v>23</v>
      </c>
      <c r="AI21" s="57" t="s">
        <v>23</v>
      </c>
      <c r="AJ21" s="57" t="s">
        <v>23</v>
      </c>
      <c r="AK21" s="57" t="s">
        <v>23</v>
      </c>
      <c r="AL21" s="57" t="s">
        <v>23</v>
      </c>
      <c r="AM21" s="57" t="s">
        <v>23</v>
      </c>
      <c r="AN21" s="57" t="s">
        <v>23</v>
      </c>
      <c r="AO21" s="57" t="s">
        <v>23</v>
      </c>
      <c r="AP21" s="57" t="s">
        <v>23</v>
      </c>
      <c r="AQ21" s="57" t="s">
        <v>23</v>
      </c>
      <c r="AR21" s="57" t="s">
        <v>23</v>
      </c>
      <c r="AS21" s="57" t="s">
        <v>23</v>
      </c>
      <c r="AT21" s="57" t="s">
        <v>23</v>
      </c>
      <c r="AU21" s="57" t="s">
        <v>23</v>
      </c>
      <c r="AV21" s="57" t="s">
        <v>23</v>
      </c>
      <c r="AW21" s="57" t="s">
        <v>23</v>
      </c>
      <c r="AX21" s="57" t="s">
        <v>23</v>
      </c>
      <c r="AY21" s="57" t="s">
        <v>23</v>
      </c>
      <c r="AZ21" s="57" t="s">
        <v>23</v>
      </c>
      <c r="BA21" s="57" t="s">
        <v>23</v>
      </c>
      <c r="BB21" s="57" t="s">
        <v>23</v>
      </c>
      <c r="BC21" s="57" t="s">
        <v>23</v>
      </c>
      <c r="BD21" s="57" t="s">
        <v>23</v>
      </c>
      <c r="BE21" s="57" t="s">
        <v>23</v>
      </c>
      <c r="BF21" s="57" t="s">
        <v>23</v>
      </c>
      <c r="BG21" s="57" t="s">
        <v>23</v>
      </c>
      <c r="BH21" s="57" t="s">
        <v>23</v>
      </c>
      <c r="BI21" s="57" t="s">
        <v>23</v>
      </c>
      <c r="BJ21" s="57" t="s">
        <v>23</v>
      </c>
      <c r="BK21" s="57" t="s">
        <v>23</v>
      </c>
    </row>
    <row r="22" spans="1:63" s="27" customFormat="1" ht="12">
      <c r="A22" s="64"/>
      <c r="B22" s="63"/>
      <c r="C22" s="123" t="s">
        <v>253</v>
      </c>
      <c r="D22" s="122"/>
      <c r="E22" s="122"/>
      <c r="F22" s="122"/>
      <c r="G22" s="122"/>
      <c r="H22" s="122"/>
      <c r="I22" s="122"/>
      <c r="J22" s="122"/>
      <c r="K22" s="122"/>
      <c r="L22" s="122"/>
      <c r="M22" s="122"/>
      <c r="N22" s="122"/>
      <c r="O22" s="122"/>
      <c r="P22" s="122"/>
      <c r="Q22" s="122"/>
      <c r="R22" s="121"/>
      <c r="S22" s="104" t="s">
        <v>75</v>
      </c>
      <c r="T22" s="103"/>
      <c r="U22" s="57" t="s">
        <v>23</v>
      </c>
      <c r="V22" s="57" t="s">
        <v>23</v>
      </c>
      <c r="W22" s="57" t="s">
        <v>23</v>
      </c>
      <c r="X22" s="57" t="s">
        <v>23</v>
      </c>
      <c r="Y22" s="57" t="s">
        <v>23</v>
      </c>
      <c r="Z22" s="57" t="s">
        <v>23</v>
      </c>
      <c r="AA22" s="57" t="s">
        <v>23</v>
      </c>
      <c r="AB22" s="57" t="s">
        <v>23</v>
      </c>
      <c r="AC22" s="57" t="s">
        <v>23</v>
      </c>
      <c r="AD22" s="57" t="s">
        <v>23</v>
      </c>
      <c r="AE22" s="57" t="s">
        <v>23</v>
      </c>
      <c r="AF22" s="57" t="s">
        <v>23</v>
      </c>
      <c r="AG22" s="57" t="s">
        <v>23</v>
      </c>
      <c r="AH22" s="57" t="s">
        <v>23</v>
      </c>
      <c r="AI22" s="57" t="s">
        <v>23</v>
      </c>
      <c r="AJ22" s="57" t="s">
        <v>23</v>
      </c>
      <c r="AK22" s="57" t="s">
        <v>23</v>
      </c>
      <c r="AL22" s="57" t="s">
        <v>23</v>
      </c>
      <c r="AM22" s="57" t="s">
        <v>23</v>
      </c>
      <c r="AN22" s="57" t="s">
        <v>23</v>
      </c>
      <c r="AO22" s="57" t="s">
        <v>23</v>
      </c>
      <c r="AP22" s="57" t="s">
        <v>23</v>
      </c>
      <c r="AQ22" s="57" t="s">
        <v>23</v>
      </c>
      <c r="AR22" s="57" t="s">
        <v>23</v>
      </c>
      <c r="AS22" s="57" t="s">
        <v>23</v>
      </c>
      <c r="AT22" s="57" t="s">
        <v>23</v>
      </c>
      <c r="AU22" s="57" t="s">
        <v>23</v>
      </c>
      <c r="AV22" s="57" t="s">
        <v>23</v>
      </c>
      <c r="AW22" s="57" t="s">
        <v>23</v>
      </c>
      <c r="AX22" s="57" t="s">
        <v>23</v>
      </c>
      <c r="AY22" s="57" t="s">
        <v>23</v>
      </c>
      <c r="AZ22" s="57" t="s">
        <v>23</v>
      </c>
      <c r="BA22" s="57" t="s">
        <v>23</v>
      </c>
      <c r="BB22" s="57" t="s">
        <v>23</v>
      </c>
      <c r="BC22" s="57" t="s">
        <v>23</v>
      </c>
      <c r="BD22" s="57" t="s">
        <v>23</v>
      </c>
      <c r="BE22" s="57" t="s">
        <v>23</v>
      </c>
      <c r="BF22" s="57" t="s">
        <v>23</v>
      </c>
      <c r="BG22" s="57" t="s">
        <v>23</v>
      </c>
      <c r="BH22" s="57" t="s">
        <v>23</v>
      </c>
      <c r="BI22" s="57" t="s">
        <v>23</v>
      </c>
      <c r="BJ22" s="57" t="s">
        <v>23</v>
      </c>
      <c r="BK22" s="57" t="s">
        <v>23</v>
      </c>
    </row>
    <row r="23" spans="1:63" s="27" customFormat="1" ht="12">
      <c r="A23" s="64"/>
      <c r="B23" s="63"/>
      <c r="C23" s="123" t="s">
        <v>252</v>
      </c>
      <c r="D23" s="122"/>
      <c r="E23" s="122"/>
      <c r="F23" s="122"/>
      <c r="G23" s="122"/>
      <c r="H23" s="122"/>
      <c r="I23" s="122"/>
      <c r="J23" s="122"/>
      <c r="K23" s="122"/>
      <c r="L23" s="122"/>
      <c r="M23" s="122"/>
      <c r="N23" s="122"/>
      <c r="O23" s="122"/>
      <c r="P23" s="122"/>
      <c r="Q23" s="122"/>
      <c r="R23" s="121"/>
      <c r="S23" s="104" t="s">
        <v>75</v>
      </c>
      <c r="T23" s="103"/>
      <c r="U23" s="57" t="s">
        <v>23</v>
      </c>
      <c r="V23" s="57" t="s">
        <v>23</v>
      </c>
      <c r="W23" s="57" t="s">
        <v>23</v>
      </c>
      <c r="X23" s="57" t="s">
        <v>23</v>
      </c>
      <c r="Y23" s="57" t="s">
        <v>23</v>
      </c>
      <c r="Z23" s="57" t="s">
        <v>23</v>
      </c>
      <c r="AA23" s="57" t="s">
        <v>23</v>
      </c>
      <c r="AB23" s="57" t="s">
        <v>23</v>
      </c>
      <c r="AC23" s="57" t="s">
        <v>23</v>
      </c>
      <c r="AD23" s="57" t="s">
        <v>23</v>
      </c>
      <c r="AE23" s="57" t="s">
        <v>23</v>
      </c>
      <c r="AF23" s="57" t="s">
        <v>23</v>
      </c>
      <c r="AG23" s="57" t="s">
        <v>23</v>
      </c>
      <c r="AH23" s="57" t="s">
        <v>23</v>
      </c>
      <c r="AI23" s="57" t="s">
        <v>23</v>
      </c>
      <c r="AJ23" s="57" t="s">
        <v>23</v>
      </c>
      <c r="AK23" s="57" t="s">
        <v>23</v>
      </c>
      <c r="AL23" s="57" t="s">
        <v>23</v>
      </c>
      <c r="AM23" s="57" t="s">
        <v>23</v>
      </c>
      <c r="AN23" s="57" t="s">
        <v>23</v>
      </c>
      <c r="AO23" s="57" t="s">
        <v>23</v>
      </c>
      <c r="AP23" s="57" t="s">
        <v>23</v>
      </c>
      <c r="AQ23" s="57" t="s">
        <v>23</v>
      </c>
      <c r="AR23" s="57" t="s">
        <v>23</v>
      </c>
      <c r="AS23" s="57" t="s">
        <v>23</v>
      </c>
      <c r="AT23" s="57" t="s">
        <v>23</v>
      </c>
      <c r="AU23" s="57" t="s">
        <v>23</v>
      </c>
      <c r="AV23" s="57" t="s">
        <v>23</v>
      </c>
      <c r="AW23" s="57" t="s">
        <v>23</v>
      </c>
      <c r="AX23" s="57" t="s">
        <v>23</v>
      </c>
      <c r="AY23" s="57" t="s">
        <v>23</v>
      </c>
      <c r="AZ23" s="57" t="s">
        <v>23</v>
      </c>
      <c r="BA23" s="57" t="s">
        <v>23</v>
      </c>
      <c r="BB23" s="57" t="s">
        <v>23</v>
      </c>
      <c r="BC23" s="57" t="s">
        <v>23</v>
      </c>
      <c r="BD23" s="57" t="s">
        <v>23</v>
      </c>
      <c r="BE23" s="57" t="s">
        <v>23</v>
      </c>
      <c r="BF23" s="57" t="s">
        <v>23</v>
      </c>
      <c r="BG23" s="57" t="s">
        <v>23</v>
      </c>
      <c r="BH23" s="57" t="s">
        <v>23</v>
      </c>
      <c r="BI23" s="57" t="s">
        <v>23</v>
      </c>
      <c r="BJ23" s="57" t="s">
        <v>23</v>
      </c>
      <c r="BK23" s="57" t="s">
        <v>23</v>
      </c>
    </row>
    <row r="24" spans="1:63" s="27" customFormat="1" ht="12">
      <c r="A24" s="64"/>
      <c r="B24" s="63"/>
      <c r="C24" s="123" t="s">
        <v>251</v>
      </c>
      <c r="D24" s="122"/>
      <c r="E24" s="122"/>
      <c r="F24" s="122"/>
      <c r="G24" s="122"/>
      <c r="H24" s="122"/>
      <c r="I24" s="122"/>
      <c r="J24" s="122"/>
      <c r="K24" s="122"/>
      <c r="L24" s="122"/>
      <c r="M24" s="122"/>
      <c r="N24" s="122"/>
      <c r="O24" s="122"/>
      <c r="P24" s="122"/>
      <c r="Q24" s="122"/>
      <c r="R24" s="121"/>
      <c r="S24" s="104" t="s">
        <v>75</v>
      </c>
      <c r="T24" s="103"/>
      <c r="U24" s="57" t="s">
        <v>23</v>
      </c>
      <c r="V24" s="57" t="s">
        <v>23</v>
      </c>
      <c r="W24" s="57" t="s">
        <v>23</v>
      </c>
      <c r="X24" s="57" t="s">
        <v>23</v>
      </c>
      <c r="Y24" s="57" t="s">
        <v>23</v>
      </c>
      <c r="Z24" s="57" t="s">
        <v>23</v>
      </c>
      <c r="AA24" s="57" t="s">
        <v>23</v>
      </c>
      <c r="AB24" s="57" t="s">
        <v>23</v>
      </c>
      <c r="AC24" s="57" t="s">
        <v>23</v>
      </c>
      <c r="AD24" s="57" t="s">
        <v>23</v>
      </c>
      <c r="AE24" s="57" t="s">
        <v>23</v>
      </c>
      <c r="AF24" s="57" t="s">
        <v>23</v>
      </c>
      <c r="AG24" s="57" t="s">
        <v>23</v>
      </c>
      <c r="AH24" s="57" t="s">
        <v>23</v>
      </c>
      <c r="AI24" s="57" t="s">
        <v>23</v>
      </c>
      <c r="AJ24" s="57" t="s">
        <v>23</v>
      </c>
      <c r="AK24" s="57" t="s">
        <v>23</v>
      </c>
      <c r="AL24" s="57" t="s">
        <v>23</v>
      </c>
      <c r="AM24" s="57" t="s">
        <v>23</v>
      </c>
      <c r="AN24" s="57" t="s">
        <v>23</v>
      </c>
      <c r="AO24" s="57" t="s">
        <v>23</v>
      </c>
      <c r="AP24" s="57" t="s">
        <v>23</v>
      </c>
      <c r="AQ24" s="57" t="s">
        <v>23</v>
      </c>
      <c r="AR24" s="57" t="s">
        <v>23</v>
      </c>
      <c r="AS24" s="57" t="s">
        <v>23</v>
      </c>
      <c r="AT24" s="57" t="s">
        <v>23</v>
      </c>
      <c r="AU24" s="57" t="s">
        <v>23</v>
      </c>
      <c r="AV24" s="57" t="s">
        <v>23</v>
      </c>
      <c r="AW24" s="57" t="s">
        <v>23</v>
      </c>
      <c r="AX24" s="57" t="s">
        <v>23</v>
      </c>
      <c r="AY24" s="57" t="s">
        <v>23</v>
      </c>
      <c r="AZ24" s="57" t="s">
        <v>23</v>
      </c>
      <c r="BA24" s="57" t="s">
        <v>23</v>
      </c>
      <c r="BB24" s="57" t="s">
        <v>23</v>
      </c>
      <c r="BC24" s="57" t="s">
        <v>23</v>
      </c>
      <c r="BD24" s="57" t="s">
        <v>23</v>
      </c>
      <c r="BE24" s="57" t="s">
        <v>23</v>
      </c>
      <c r="BF24" s="57" t="s">
        <v>23</v>
      </c>
      <c r="BG24" s="57" t="s">
        <v>23</v>
      </c>
      <c r="BH24" s="57" t="s">
        <v>23</v>
      </c>
      <c r="BI24" s="57" t="s">
        <v>23</v>
      </c>
      <c r="BJ24" s="57" t="s">
        <v>23</v>
      </c>
      <c r="BK24" s="57" t="s">
        <v>23</v>
      </c>
    </row>
    <row r="25" spans="1:63" s="27" customFormat="1" ht="12">
      <c r="A25" s="64"/>
      <c r="B25" s="63"/>
      <c r="C25" s="123" t="s">
        <v>250</v>
      </c>
      <c r="D25" s="122"/>
      <c r="E25" s="122"/>
      <c r="F25" s="122"/>
      <c r="G25" s="122"/>
      <c r="H25" s="122"/>
      <c r="I25" s="122"/>
      <c r="J25" s="122"/>
      <c r="K25" s="122"/>
      <c r="L25" s="122"/>
      <c r="M25" s="122"/>
      <c r="N25" s="122"/>
      <c r="O25" s="122"/>
      <c r="P25" s="122"/>
      <c r="Q25" s="122"/>
      <c r="R25" s="121"/>
      <c r="S25" s="104" t="s">
        <v>57</v>
      </c>
      <c r="T25" s="103"/>
      <c r="U25" s="57" t="s">
        <v>23</v>
      </c>
      <c r="V25" s="57" t="s">
        <v>23</v>
      </c>
      <c r="W25" s="57" t="s">
        <v>23</v>
      </c>
      <c r="X25" s="57" t="s">
        <v>23</v>
      </c>
      <c r="Y25" s="57" t="s">
        <v>23</v>
      </c>
      <c r="Z25" s="57" t="s">
        <v>23</v>
      </c>
      <c r="AA25" s="57" t="s">
        <v>23</v>
      </c>
      <c r="AB25" s="57" t="s">
        <v>23</v>
      </c>
      <c r="AC25" s="57" t="s">
        <v>23</v>
      </c>
      <c r="AD25" s="57" t="s">
        <v>23</v>
      </c>
      <c r="AE25" s="57" t="s">
        <v>23</v>
      </c>
      <c r="AF25" s="57" t="s">
        <v>23</v>
      </c>
      <c r="AG25" s="57" t="s">
        <v>23</v>
      </c>
      <c r="AH25" s="57" t="s">
        <v>23</v>
      </c>
      <c r="AI25" s="57" t="s">
        <v>23</v>
      </c>
      <c r="AJ25" s="57" t="s">
        <v>23</v>
      </c>
      <c r="AK25" s="57" t="s">
        <v>23</v>
      </c>
      <c r="AL25" s="57" t="s">
        <v>23</v>
      </c>
      <c r="AM25" s="57" t="s">
        <v>23</v>
      </c>
      <c r="AN25" s="57" t="s">
        <v>23</v>
      </c>
      <c r="AO25" s="57" t="s">
        <v>23</v>
      </c>
      <c r="AP25" s="57" t="s">
        <v>23</v>
      </c>
      <c r="AQ25" s="57" t="s">
        <v>23</v>
      </c>
      <c r="AR25" s="57" t="s">
        <v>23</v>
      </c>
      <c r="AS25" s="57" t="s">
        <v>23</v>
      </c>
      <c r="AT25" s="57" t="s">
        <v>23</v>
      </c>
      <c r="AU25" s="57" t="s">
        <v>23</v>
      </c>
      <c r="AV25" s="57" t="s">
        <v>23</v>
      </c>
      <c r="AW25" s="57" t="s">
        <v>23</v>
      </c>
      <c r="AX25" s="57" t="s">
        <v>23</v>
      </c>
      <c r="AY25" s="57" t="s">
        <v>23</v>
      </c>
      <c r="AZ25" s="57" t="s">
        <v>23</v>
      </c>
      <c r="BA25" s="57" t="s">
        <v>23</v>
      </c>
      <c r="BB25" s="57" t="s">
        <v>23</v>
      </c>
      <c r="BC25" s="57" t="s">
        <v>23</v>
      </c>
      <c r="BD25" s="57" t="s">
        <v>23</v>
      </c>
      <c r="BE25" s="57" t="s">
        <v>23</v>
      </c>
      <c r="BF25" s="57" t="s">
        <v>23</v>
      </c>
      <c r="BG25" s="57" t="s">
        <v>23</v>
      </c>
      <c r="BH25" s="57" t="s">
        <v>23</v>
      </c>
      <c r="BI25" s="57" t="s">
        <v>23</v>
      </c>
      <c r="BJ25" s="57" t="s">
        <v>23</v>
      </c>
      <c r="BK25" s="57" t="s">
        <v>23</v>
      </c>
    </row>
    <row r="26" spans="1:63" s="27" customFormat="1" ht="12">
      <c r="A26" s="64"/>
      <c r="B26" s="63"/>
      <c r="C26" s="123" t="s">
        <v>249</v>
      </c>
      <c r="D26" s="122"/>
      <c r="E26" s="122"/>
      <c r="F26" s="122"/>
      <c r="G26" s="122"/>
      <c r="H26" s="122"/>
      <c r="I26" s="122"/>
      <c r="J26" s="122"/>
      <c r="K26" s="122"/>
      <c r="L26" s="122"/>
      <c r="M26" s="122"/>
      <c r="N26" s="122"/>
      <c r="O26" s="122"/>
      <c r="P26" s="122"/>
      <c r="Q26" s="122"/>
      <c r="R26" s="121"/>
      <c r="S26" s="104" t="s">
        <v>66</v>
      </c>
      <c r="T26" s="103"/>
      <c r="U26" s="57" t="s">
        <v>59</v>
      </c>
      <c r="V26" s="57" t="s">
        <v>59</v>
      </c>
      <c r="W26" s="57" t="s">
        <v>59</v>
      </c>
      <c r="X26" s="57" t="s">
        <v>59</v>
      </c>
      <c r="Y26" s="57" t="s">
        <v>59</v>
      </c>
      <c r="Z26" s="57" t="s">
        <v>59</v>
      </c>
      <c r="AA26" s="57" t="s">
        <v>59</v>
      </c>
      <c r="AB26" s="57" t="s">
        <v>59</v>
      </c>
      <c r="AC26" s="57" t="s">
        <v>59</v>
      </c>
      <c r="AD26" s="57" t="s">
        <v>59</v>
      </c>
      <c r="AE26" s="57" t="s">
        <v>59</v>
      </c>
      <c r="AF26" s="57" t="s">
        <v>59</v>
      </c>
      <c r="AG26" s="57" t="s">
        <v>59</v>
      </c>
      <c r="AH26" s="57" t="s">
        <v>59</v>
      </c>
      <c r="AI26" s="57" t="s">
        <v>59</v>
      </c>
      <c r="AJ26" s="57" t="s">
        <v>59</v>
      </c>
      <c r="AK26" s="57" t="s">
        <v>59</v>
      </c>
      <c r="AL26" s="57" t="s">
        <v>59</v>
      </c>
      <c r="AM26" s="57" t="s">
        <v>59</v>
      </c>
      <c r="AN26" s="57" t="s">
        <v>59</v>
      </c>
      <c r="AO26" s="57" t="s">
        <v>59</v>
      </c>
      <c r="AP26" s="57" t="s">
        <v>59</v>
      </c>
      <c r="AQ26" s="57" t="s">
        <v>59</v>
      </c>
      <c r="AR26" s="57" t="s">
        <v>59</v>
      </c>
      <c r="AS26" s="57" t="s">
        <v>59</v>
      </c>
      <c r="AT26" s="57" t="s">
        <v>59</v>
      </c>
      <c r="AU26" s="57" t="s">
        <v>59</v>
      </c>
      <c r="AV26" s="57" t="s">
        <v>59</v>
      </c>
      <c r="AW26" s="57" t="s">
        <v>59</v>
      </c>
      <c r="AX26" s="57" t="s">
        <v>59</v>
      </c>
      <c r="AY26" s="57" t="s">
        <v>59</v>
      </c>
      <c r="AZ26" s="57" t="s">
        <v>59</v>
      </c>
      <c r="BA26" s="57" t="s">
        <v>59</v>
      </c>
      <c r="BB26" s="57" t="s">
        <v>59</v>
      </c>
      <c r="BC26" s="57" t="s">
        <v>59</v>
      </c>
      <c r="BD26" s="57" t="s">
        <v>59</v>
      </c>
      <c r="BE26" s="57" t="s">
        <v>59</v>
      </c>
      <c r="BF26" s="57" t="s">
        <v>59</v>
      </c>
      <c r="BG26" s="57" t="s">
        <v>59</v>
      </c>
      <c r="BH26" s="57" t="s">
        <v>59</v>
      </c>
      <c r="BI26" s="57" t="s">
        <v>59</v>
      </c>
      <c r="BJ26" s="57" t="s">
        <v>59</v>
      </c>
      <c r="BK26" s="57" t="s">
        <v>59</v>
      </c>
    </row>
    <row r="27" spans="1:63" s="27" customFormat="1" ht="12">
      <c r="A27" s="64"/>
      <c r="B27" s="63"/>
      <c r="C27" s="123" t="s">
        <v>248</v>
      </c>
      <c r="D27" s="122"/>
      <c r="E27" s="122"/>
      <c r="F27" s="122"/>
      <c r="G27" s="122"/>
      <c r="H27" s="122"/>
      <c r="I27" s="122"/>
      <c r="J27" s="122"/>
      <c r="K27" s="122"/>
      <c r="L27" s="122"/>
      <c r="M27" s="122"/>
      <c r="N27" s="122"/>
      <c r="O27" s="122"/>
      <c r="P27" s="122"/>
      <c r="Q27" s="122"/>
      <c r="R27" s="121"/>
      <c r="S27" s="104" t="s">
        <v>66</v>
      </c>
      <c r="T27" s="103"/>
      <c r="U27" s="57" t="s">
        <v>59</v>
      </c>
      <c r="V27" s="57" t="s">
        <v>59</v>
      </c>
      <c r="W27" s="57" t="s">
        <v>59</v>
      </c>
      <c r="X27" s="57" t="s">
        <v>59</v>
      </c>
      <c r="Y27" s="57" t="s">
        <v>59</v>
      </c>
      <c r="Z27" s="57" t="s">
        <v>59</v>
      </c>
      <c r="AA27" s="57" t="s">
        <v>59</v>
      </c>
      <c r="AB27" s="57" t="s">
        <v>59</v>
      </c>
      <c r="AC27" s="57" t="s">
        <v>59</v>
      </c>
      <c r="AD27" s="57" t="s">
        <v>59</v>
      </c>
      <c r="AE27" s="57" t="s">
        <v>59</v>
      </c>
      <c r="AF27" s="57" t="s">
        <v>59</v>
      </c>
      <c r="AG27" s="57" t="s">
        <v>59</v>
      </c>
      <c r="AH27" s="57" t="s">
        <v>59</v>
      </c>
      <c r="AI27" s="57" t="s">
        <v>59</v>
      </c>
      <c r="AJ27" s="57" t="s">
        <v>59</v>
      </c>
      <c r="AK27" s="57" t="s">
        <v>59</v>
      </c>
      <c r="AL27" s="57" t="s">
        <v>59</v>
      </c>
      <c r="AM27" s="57" t="s">
        <v>59</v>
      </c>
      <c r="AN27" s="57" t="s">
        <v>59</v>
      </c>
      <c r="AO27" s="57" t="s">
        <v>59</v>
      </c>
      <c r="AP27" s="57" t="s">
        <v>59</v>
      </c>
      <c r="AQ27" s="57" t="s">
        <v>59</v>
      </c>
      <c r="AR27" s="57" t="s">
        <v>59</v>
      </c>
      <c r="AS27" s="57" t="s">
        <v>59</v>
      </c>
      <c r="AT27" s="57" t="s">
        <v>59</v>
      </c>
      <c r="AU27" s="57" t="s">
        <v>59</v>
      </c>
      <c r="AV27" s="57" t="s">
        <v>59</v>
      </c>
      <c r="AW27" s="57" t="s">
        <v>59</v>
      </c>
      <c r="AX27" s="57" t="s">
        <v>59</v>
      </c>
      <c r="AY27" s="57" t="s">
        <v>59</v>
      </c>
      <c r="AZ27" s="57" t="s">
        <v>59</v>
      </c>
      <c r="BA27" s="57" t="s">
        <v>59</v>
      </c>
      <c r="BB27" s="57" t="s">
        <v>59</v>
      </c>
      <c r="BC27" s="57" t="s">
        <v>59</v>
      </c>
      <c r="BD27" s="57" t="s">
        <v>59</v>
      </c>
      <c r="BE27" s="57" t="s">
        <v>59</v>
      </c>
      <c r="BF27" s="57" t="s">
        <v>59</v>
      </c>
      <c r="BG27" s="57" t="s">
        <v>59</v>
      </c>
      <c r="BH27" s="57" t="s">
        <v>59</v>
      </c>
      <c r="BI27" s="57" t="s">
        <v>59</v>
      </c>
      <c r="BJ27" s="57" t="s">
        <v>59</v>
      </c>
      <c r="BK27" s="57" t="s">
        <v>59</v>
      </c>
    </row>
    <row r="28" spans="1:63" s="27" customFormat="1" ht="12">
      <c r="A28" s="64"/>
      <c r="B28" s="63"/>
      <c r="C28" s="123" t="s">
        <v>247</v>
      </c>
      <c r="D28" s="122"/>
      <c r="E28" s="122"/>
      <c r="F28" s="122"/>
      <c r="G28" s="122"/>
      <c r="H28" s="122"/>
      <c r="I28" s="122"/>
      <c r="J28" s="122"/>
      <c r="K28" s="122"/>
      <c r="L28" s="122"/>
      <c r="M28" s="122"/>
      <c r="N28" s="122"/>
      <c r="O28" s="122"/>
      <c r="P28" s="122"/>
      <c r="Q28" s="122"/>
      <c r="R28" s="121"/>
      <c r="S28" s="104" t="s">
        <v>66</v>
      </c>
      <c r="T28" s="103"/>
      <c r="U28" s="57" t="s">
        <v>59</v>
      </c>
      <c r="V28" s="57" t="s">
        <v>59</v>
      </c>
      <c r="W28" s="57" t="s">
        <v>59</v>
      </c>
      <c r="X28" s="57" t="s">
        <v>59</v>
      </c>
      <c r="Y28" s="57" t="s">
        <v>59</v>
      </c>
      <c r="Z28" s="57" t="s">
        <v>59</v>
      </c>
      <c r="AA28" s="57" t="s">
        <v>59</v>
      </c>
      <c r="AB28" s="57" t="s">
        <v>59</v>
      </c>
      <c r="AC28" s="57" t="s">
        <v>59</v>
      </c>
      <c r="AD28" s="57" t="s">
        <v>59</v>
      </c>
      <c r="AE28" s="57" t="s">
        <v>59</v>
      </c>
      <c r="AF28" s="57" t="s">
        <v>59</v>
      </c>
      <c r="AG28" s="57" t="s">
        <v>59</v>
      </c>
      <c r="AH28" s="57" t="s">
        <v>59</v>
      </c>
      <c r="AI28" s="57" t="s">
        <v>59</v>
      </c>
      <c r="AJ28" s="57" t="s">
        <v>59</v>
      </c>
      <c r="AK28" s="57" t="s">
        <v>59</v>
      </c>
      <c r="AL28" s="57" t="s">
        <v>59</v>
      </c>
      <c r="AM28" s="57" t="s">
        <v>59</v>
      </c>
      <c r="AN28" s="57" t="s">
        <v>59</v>
      </c>
      <c r="AO28" s="57" t="s">
        <v>59</v>
      </c>
      <c r="AP28" s="57" t="s">
        <v>59</v>
      </c>
      <c r="AQ28" s="57" t="s">
        <v>59</v>
      </c>
      <c r="AR28" s="57" t="s">
        <v>59</v>
      </c>
      <c r="AS28" s="57" t="s">
        <v>59</v>
      </c>
      <c r="AT28" s="57" t="s">
        <v>59</v>
      </c>
      <c r="AU28" s="57" t="s">
        <v>59</v>
      </c>
      <c r="AV28" s="57" t="s">
        <v>59</v>
      </c>
      <c r="AW28" s="57" t="s">
        <v>59</v>
      </c>
      <c r="AX28" s="57" t="s">
        <v>59</v>
      </c>
      <c r="AY28" s="57" t="s">
        <v>59</v>
      </c>
      <c r="AZ28" s="57" t="s">
        <v>59</v>
      </c>
      <c r="BA28" s="57" t="s">
        <v>59</v>
      </c>
      <c r="BB28" s="57" t="s">
        <v>59</v>
      </c>
      <c r="BC28" s="57" t="s">
        <v>59</v>
      </c>
      <c r="BD28" s="57" t="s">
        <v>59</v>
      </c>
      <c r="BE28" s="57" t="s">
        <v>59</v>
      </c>
      <c r="BF28" s="57" t="s">
        <v>59</v>
      </c>
      <c r="BG28" s="57" t="s">
        <v>59</v>
      </c>
      <c r="BH28" s="57" t="s">
        <v>59</v>
      </c>
      <c r="BI28" s="57" t="s">
        <v>59</v>
      </c>
      <c r="BJ28" s="57" t="s">
        <v>59</v>
      </c>
      <c r="BK28" s="57" t="s">
        <v>59</v>
      </c>
    </row>
    <row r="29" spans="1:63" s="27" customFormat="1" ht="12">
      <c r="A29" s="64"/>
      <c r="B29" s="63"/>
      <c r="C29" s="123" t="s">
        <v>246</v>
      </c>
      <c r="D29" s="122"/>
      <c r="E29" s="122"/>
      <c r="F29" s="122"/>
      <c r="G29" s="122"/>
      <c r="H29" s="122"/>
      <c r="I29" s="122"/>
      <c r="J29" s="122"/>
      <c r="K29" s="122"/>
      <c r="L29" s="122"/>
      <c r="M29" s="122"/>
      <c r="N29" s="122"/>
      <c r="O29" s="122"/>
      <c r="P29" s="122"/>
      <c r="Q29" s="122"/>
      <c r="R29" s="121"/>
      <c r="S29" s="104" t="s">
        <v>66</v>
      </c>
      <c r="T29" s="103"/>
      <c r="U29" s="57" t="s">
        <v>59</v>
      </c>
      <c r="V29" s="57" t="s">
        <v>59</v>
      </c>
      <c r="W29" s="57" t="s">
        <v>59</v>
      </c>
      <c r="X29" s="57" t="s">
        <v>59</v>
      </c>
      <c r="Y29" s="57" t="s">
        <v>59</v>
      </c>
      <c r="Z29" s="57" t="s">
        <v>59</v>
      </c>
      <c r="AA29" s="57" t="s">
        <v>59</v>
      </c>
      <c r="AB29" s="57" t="s">
        <v>59</v>
      </c>
      <c r="AC29" s="57" t="s">
        <v>59</v>
      </c>
      <c r="AD29" s="57" t="s">
        <v>59</v>
      </c>
      <c r="AE29" s="57" t="s">
        <v>59</v>
      </c>
      <c r="AF29" s="57" t="s">
        <v>59</v>
      </c>
      <c r="AG29" s="57" t="s">
        <v>59</v>
      </c>
      <c r="AH29" s="57" t="s">
        <v>59</v>
      </c>
      <c r="AI29" s="57" t="s">
        <v>59</v>
      </c>
      <c r="AJ29" s="57" t="s">
        <v>59</v>
      </c>
      <c r="AK29" s="57" t="s">
        <v>59</v>
      </c>
      <c r="AL29" s="57" t="s">
        <v>59</v>
      </c>
      <c r="AM29" s="57" t="s">
        <v>59</v>
      </c>
      <c r="AN29" s="57" t="s">
        <v>59</v>
      </c>
      <c r="AO29" s="57" t="s">
        <v>59</v>
      </c>
      <c r="AP29" s="57" t="s">
        <v>59</v>
      </c>
      <c r="AQ29" s="57" t="s">
        <v>59</v>
      </c>
      <c r="AR29" s="57" t="s">
        <v>59</v>
      </c>
      <c r="AS29" s="57" t="s">
        <v>59</v>
      </c>
      <c r="AT29" s="57" t="s">
        <v>59</v>
      </c>
      <c r="AU29" s="57" t="s">
        <v>59</v>
      </c>
      <c r="AV29" s="57" t="s">
        <v>59</v>
      </c>
      <c r="AW29" s="57" t="s">
        <v>59</v>
      </c>
      <c r="AX29" s="57" t="s">
        <v>59</v>
      </c>
      <c r="AY29" s="57" t="s">
        <v>59</v>
      </c>
      <c r="AZ29" s="57" t="s">
        <v>59</v>
      </c>
      <c r="BA29" s="57" t="s">
        <v>59</v>
      </c>
      <c r="BB29" s="57" t="s">
        <v>59</v>
      </c>
      <c r="BC29" s="57" t="s">
        <v>59</v>
      </c>
      <c r="BD29" s="57" t="s">
        <v>59</v>
      </c>
      <c r="BE29" s="57" t="s">
        <v>59</v>
      </c>
      <c r="BF29" s="57" t="s">
        <v>59</v>
      </c>
      <c r="BG29" s="57" t="s">
        <v>59</v>
      </c>
      <c r="BH29" s="57" t="s">
        <v>59</v>
      </c>
      <c r="BI29" s="57" t="s">
        <v>59</v>
      </c>
      <c r="BJ29" s="57" t="s">
        <v>59</v>
      </c>
      <c r="BK29" s="57" t="s">
        <v>59</v>
      </c>
    </row>
    <row r="30" spans="1:63" s="27" customFormat="1" ht="12">
      <c r="A30" s="64"/>
      <c r="B30" s="63"/>
      <c r="C30" s="123" t="s">
        <v>245</v>
      </c>
      <c r="D30" s="122"/>
      <c r="E30" s="122"/>
      <c r="F30" s="122"/>
      <c r="G30" s="122"/>
      <c r="H30" s="122"/>
      <c r="I30" s="122"/>
      <c r="J30" s="122"/>
      <c r="K30" s="122"/>
      <c r="L30" s="122"/>
      <c r="M30" s="122"/>
      <c r="N30" s="122"/>
      <c r="O30" s="122"/>
      <c r="P30" s="122"/>
      <c r="Q30" s="122"/>
      <c r="R30" s="121"/>
      <c r="S30" s="104" t="s">
        <v>66</v>
      </c>
      <c r="T30" s="103"/>
      <c r="U30" s="57" t="s">
        <v>59</v>
      </c>
      <c r="V30" s="57" t="s">
        <v>59</v>
      </c>
      <c r="W30" s="57" t="s">
        <v>59</v>
      </c>
      <c r="X30" s="57" t="s">
        <v>59</v>
      </c>
      <c r="Y30" s="57" t="s">
        <v>59</v>
      </c>
      <c r="Z30" s="57" t="s">
        <v>59</v>
      </c>
      <c r="AA30" s="57" t="s">
        <v>59</v>
      </c>
      <c r="AB30" s="57" t="s">
        <v>59</v>
      </c>
      <c r="AC30" s="57" t="s">
        <v>59</v>
      </c>
      <c r="AD30" s="57" t="s">
        <v>59</v>
      </c>
      <c r="AE30" s="57" t="s">
        <v>59</v>
      </c>
      <c r="AF30" s="57" t="s">
        <v>59</v>
      </c>
      <c r="AG30" s="57" t="s">
        <v>59</v>
      </c>
      <c r="AH30" s="57" t="s">
        <v>59</v>
      </c>
      <c r="AI30" s="57" t="s">
        <v>59</v>
      </c>
      <c r="AJ30" s="57" t="s">
        <v>59</v>
      </c>
      <c r="AK30" s="57" t="s">
        <v>59</v>
      </c>
      <c r="AL30" s="57" t="s">
        <v>59</v>
      </c>
      <c r="AM30" s="57" t="s">
        <v>59</v>
      </c>
      <c r="AN30" s="57" t="s">
        <v>59</v>
      </c>
      <c r="AO30" s="57" t="s">
        <v>59</v>
      </c>
      <c r="AP30" s="57" t="s">
        <v>59</v>
      </c>
      <c r="AQ30" s="57" t="s">
        <v>59</v>
      </c>
      <c r="AR30" s="57" t="s">
        <v>59</v>
      </c>
      <c r="AS30" s="57" t="s">
        <v>59</v>
      </c>
      <c r="AT30" s="57" t="s">
        <v>59</v>
      </c>
      <c r="AU30" s="57" t="s">
        <v>59</v>
      </c>
      <c r="AV30" s="57" t="s">
        <v>59</v>
      </c>
      <c r="AW30" s="57" t="s">
        <v>59</v>
      </c>
      <c r="AX30" s="57" t="s">
        <v>59</v>
      </c>
      <c r="AY30" s="57" t="s">
        <v>59</v>
      </c>
      <c r="AZ30" s="57" t="s">
        <v>59</v>
      </c>
      <c r="BA30" s="57" t="s">
        <v>59</v>
      </c>
      <c r="BB30" s="57" t="s">
        <v>59</v>
      </c>
      <c r="BC30" s="57" t="s">
        <v>59</v>
      </c>
      <c r="BD30" s="57" t="s">
        <v>59</v>
      </c>
      <c r="BE30" s="57" t="s">
        <v>59</v>
      </c>
      <c r="BF30" s="57" t="s">
        <v>59</v>
      </c>
      <c r="BG30" s="57" t="s">
        <v>59</v>
      </c>
      <c r="BH30" s="57" t="s">
        <v>59</v>
      </c>
      <c r="BI30" s="57" t="s">
        <v>59</v>
      </c>
      <c r="BJ30" s="57" t="s">
        <v>59</v>
      </c>
      <c r="BK30" s="57" t="s">
        <v>59</v>
      </c>
    </row>
    <row r="31" spans="1:63" s="27" customFormat="1" ht="12">
      <c r="A31" s="64"/>
      <c r="B31" s="63"/>
      <c r="C31" s="123" t="s">
        <v>244</v>
      </c>
      <c r="D31" s="122"/>
      <c r="E31" s="122"/>
      <c r="F31" s="122"/>
      <c r="G31" s="122"/>
      <c r="H31" s="122"/>
      <c r="I31" s="122"/>
      <c r="J31" s="122"/>
      <c r="K31" s="122"/>
      <c r="L31" s="122"/>
      <c r="M31" s="122"/>
      <c r="N31" s="122"/>
      <c r="O31" s="122"/>
      <c r="P31" s="122"/>
      <c r="Q31" s="122"/>
      <c r="R31" s="121"/>
      <c r="S31" s="104" t="s">
        <v>66</v>
      </c>
      <c r="T31" s="103"/>
      <c r="U31" s="57" t="s">
        <v>59</v>
      </c>
      <c r="V31" s="57" t="s">
        <v>59</v>
      </c>
      <c r="W31" s="57" t="s">
        <v>59</v>
      </c>
      <c r="X31" s="57" t="s">
        <v>59</v>
      </c>
      <c r="Y31" s="57" t="s">
        <v>59</v>
      </c>
      <c r="Z31" s="57" t="s">
        <v>59</v>
      </c>
      <c r="AA31" s="57" t="s">
        <v>59</v>
      </c>
      <c r="AB31" s="57" t="s">
        <v>59</v>
      </c>
      <c r="AC31" s="57" t="s">
        <v>59</v>
      </c>
      <c r="AD31" s="57" t="s">
        <v>59</v>
      </c>
      <c r="AE31" s="57" t="s">
        <v>59</v>
      </c>
      <c r="AF31" s="57" t="s">
        <v>59</v>
      </c>
      <c r="AG31" s="57" t="s">
        <v>59</v>
      </c>
      <c r="AH31" s="57" t="s">
        <v>59</v>
      </c>
      <c r="AI31" s="57" t="s">
        <v>59</v>
      </c>
      <c r="AJ31" s="57" t="s">
        <v>59</v>
      </c>
      <c r="AK31" s="57" t="s">
        <v>59</v>
      </c>
      <c r="AL31" s="57" t="s">
        <v>59</v>
      </c>
      <c r="AM31" s="57" t="s">
        <v>59</v>
      </c>
      <c r="AN31" s="57" t="s">
        <v>59</v>
      </c>
      <c r="AO31" s="57" t="s">
        <v>59</v>
      </c>
      <c r="AP31" s="57" t="s">
        <v>59</v>
      </c>
      <c r="AQ31" s="57" t="s">
        <v>59</v>
      </c>
      <c r="AR31" s="57" t="s">
        <v>59</v>
      </c>
      <c r="AS31" s="57" t="s">
        <v>59</v>
      </c>
      <c r="AT31" s="57" t="s">
        <v>59</v>
      </c>
      <c r="AU31" s="57" t="s">
        <v>59</v>
      </c>
      <c r="AV31" s="57" t="s">
        <v>59</v>
      </c>
      <c r="AW31" s="57" t="s">
        <v>59</v>
      </c>
      <c r="AX31" s="57" t="s">
        <v>59</v>
      </c>
      <c r="AY31" s="57" t="s">
        <v>59</v>
      </c>
      <c r="AZ31" s="57" t="s">
        <v>59</v>
      </c>
      <c r="BA31" s="57" t="s">
        <v>59</v>
      </c>
      <c r="BB31" s="57" t="s">
        <v>59</v>
      </c>
      <c r="BC31" s="57" t="s">
        <v>59</v>
      </c>
      <c r="BD31" s="57" t="s">
        <v>59</v>
      </c>
      <c r="BE31" s="57" t="s">
        <v>59</v>
      </c>
      <c r="BF31" s="57" t="s">
        <v>59</v>
      </c>
      <c r="BG31" s="57" t="s">
        <v>59</v>
      </c>
      <c r="BH31" s="57" t="s">
        <v>59</v>
      </c>
      <c r="BI31" s="57" t="s">
        <v>59</v>
      </c>
      <c r="BJ31" s="57" t="s">
        <v>59</v>
      </c>
      <c r="BK31" s="57" t="s">
        <v>59</v>
      </c>
    </row>
    <row r="32" spans="1:63" s="27" customFormat="1" ht="12">
      <c r="A32" s="64"/>
      <c r="B32" s="63"/>
      <c r="C32" s="129" t="s">
        <v>243</v>
      </c>
      <c r="D32" s="128"/>
      <c r="E32" s="128"/>
      <c r="F32" s="128"/>
      <c r="G32" s="128"/>
      <c r="H32" s="128"/>
      <c r="I32" s="128"/>
      <c r="J32" s="128"/>
      <c r="K32" s="128"/>
      <c r="L32" s="128"/>
      <c r="M32" s="128"/>
      <c r="N32" s="128"/>
      <c r="O32" s="128"/>
      <c r="P32" s="128"/>
      <c r="Q32" s="128"/>
      <c r="R32" s="127"/>
      <c r="S32" s="66" t="s">
        <v>745</v>
      </c>
      <c r="T32" s="65"/>
      <c r="U32" s="57"/>
      <c r="V32" s="57"/>
      <c r="W32" s="57"/>
      <c r="X32" s="57"/>
      <c r="Y32" s="57"/>
      <c r="Z32" s="57"/>
      <c r="AA32" s="57"/>
      <c r="AB32" s="57"/>
      <c r="AC32" s="57"/>
      <c r="AD32" s="57"/>
      <c r="AE32" s="57"/>
      <c r="AF32" s="57"/>
      <c r="AG32" s="57"/>
      <c r="AH32" s="57"/>
      <c r="AI32" s="57"/>
      <c r="AJ32" s="57"/>
      <c r="AK32" s="57"/>
      <c r="AL32" s="57"/>
      <c r="AM32" s="57"/>
      <c r="AN32" s="57"/>
      <c r="AO32" s="57"/>
      <c r="AP32" s="57"/>
      <c r="AQ32" s="57"/>
      <c r="AR32" s="57"/>
      <c r="AS32" s="57"/>
      <c r="AT32" s="57"/>
      <c r="AU32" s="57"/>
      <c r="AV32" s="57"/>
      <c r="AW32" s="57"/>
      <c r="AX32" s="57"/>
      <c r="AY32" s="57"/>
      <c r="AZ32" s="57"/>
      <c r="BA32" s="57"/>
      <c r="BB32" s="57"/>
      <c r="BC32" s="57"/>
      <c r="BD32" s="57"/>
      <c r="BE32" s="57"/>
      <c r="BF32" s="57"/>
      <c r="BG32" s="57"/>
      <c r="BH32" s="57"/>
      <c r="BI32" s="57"/>
      <c r="BJ32" s="57"/>
      <c r="BK32" s="372" t="s">
        <v>59</v>
      </c>
    </row>
    <row r="33" spans="1:63" s="27" customFormat="1" ht="12">
      <c r="A33" s="64"/>
      <c r="B33" s="63"/>
      <c r="C33" s="126"/>
      <c r="D33" s="125"/>
      <c r="E33" s="125"/>
      <c r="F33" s="125"/>
      <c r="G33" s="125"/>
      <c r="H33" s="125"/>
      <c r="I33" s="125"/>
      <c r="J33" s="125"/>
      <c r="K33" s="125"/>
      <c r="L33" s="125"/>
      <c r="M33" s="125"/>
      <c r="N33" s="125"/>
      <c r="O33" s="125"/>
      <c r="P33" s="125"/>
      <c r="Q33" s="125"/>
      <c r="R33" s="124"/>
      <c r="S33" s="66" t="s">
        <v>744</v>
      </c>
      <c r="T33" s="65"/>
      <c r="U33" s="372" t="s">
        <v>59</v>
      </c>
      <c r="V33" s="57"/>
      <c r="W33" s="57"/>
      <c r="X33" s="57"/>
      <c r="Y33" s="57"/>
      <c r="Z33" s="57"/>
      <c r="AA33" s="57"/>
      <c r="AB33" s="57"/>
      <c r="AC33" s="57"/>
      <c r="AD33" s="57"/>
      <c r="AE33" s="57"/>
      <c r="AF33" s="57"/>
      <c r="AG33" s="57"/>
      <c r="AH33" s="57"/>
      <c r="AI33" s="57"/>
      <c r="AJ33" s="57"/>
      <c r="AK33" s="57"/>
      <c r="AL33" s="57"/>
      <c r="AM33" s="57"/>
      <c r="AN33" s="57"/>
      <c r="AO33" s="57"/>
      <c r="AP33" s="57"/>
      <c r="AQ33" s="57"/>
      <c r="AR33" s="57"/>
      <c r="AS33" s="57"/>
      <c r="AT33" s="57"/>
      <c r="AU33" s="57"/>
      <c r="AV33" s="57"/>
      <c r="AW33" s="57"/>
      <c r="AX33" s="57"/>
      <c r="AY33" s="57"/>
      <c r="AZ33" s="57"/>
      <c r="BA33" s="57"/>
      <c r="BB33" s="57"/>
      <c r="BC33" s="57"/>
      <c r="BD33" s="57"/>
      <c r="BE33" s="57"/>
      <c r="BF33" s="57"/>
      <c r="BG33" s="57"/>
      <c r="BH33" s="57"/>
      <c r="BI33" s="57"/>
      <c r="BJ33" s="57"/>
      <c r="BK33" s="57"/>
    </row>
    <row r="34" spans="1:63" s="27" customFormat="1" ht="12">
      <c r="A34" s="64"/>
      <c r="B34" s="63"/>
      <c r="C34" s="126"/>
      <c r="D34" s="125"/>
      <c r="E34" s="125"/>
      <c r="F34" s="125"/>
      <c r="G34" s="125"/>
      <c r="H34" s="125"/>
      <c r="I34" s="125"/>
      <c r="J34" s="125"/>
      <c r="K34" s="125"/>
      <c r="L34" s="125"/>
      <c r="M34" s="125"/>
      <c r="N34" s="125"/>
      <c r="O34" s="125"/>
      <c r="P34" s="125"/>
      <c r="Q34" s="125"/>
      <c r="R34" s="124"/>
      <c r="S34" s="66" t="s">
        <v>501</v>
      </c>
      <c r="T34" s="65"/>
      <c r="U34" s="57"/>
      <c r="V34" s="57"/>
      <c r="W34" s="57"/>
      <c r="X34" s="57"/>
      <c r="Y34" s="57"/>
      <c r="Z34" s="57"/>
      <c r="AA34" s="57"/>
      <c r="AB34" s="57"/>
      <c r="AC34" s="57"/>
      <c r="AD34" s="57"/>
      <c r="AE34" s="57"/>
      <c r="AF34" s="57"/>
      <c r="AG34" s="57"/>
      <c r="AH34" s="57"/>
      <c r="AI34" s="57"/>
      <c r="AJ34" s="57"/>
      <c r="AK34" s="57"/>
      <c r="AL34" s="57"/>
      <c r="AM34" s="57"/>
      <c r="AN34" s="57"/>
      <c r="AO34" s="57"/>
      <c r="AP34" s="57"/>
      <c r="AQ34" s="57"/>
      <c r="AR34" s="57"/>
      <c r="AS34" s="57"/>
      <c r="AT34" s="57"/>
      <c r="AU34" s="57"/>
      <c r="AV34" s="57"/>
      <c r="AW34" s="57"/>
      <c r="AX34" s="57"/>
      <c r="AY34" s="57"/>
      <c r="AZ34" s="57"/>
      <c r="BA34" s="57"/>
      <c r="BB34" s="57"/>
      <c r="BC34" s="57"/>
      <c r="BD34" s="57"/>
      <c r="BE34" s="57"/>
      <c r="BF34" s="57"/>
      <c r="BG34" s="57"/>
      <c r="BH34" s="57"/>
      <c r="BI34" s="57"/>
      <c r="BJ34" s="57"/>
      <c r="BK34" s="372" t="s">
        <v>59</v>
      </c>
    </row>
    <row r="35" spans="1:63" s="27" customFormat="1" ht="12">
      <c r="A35" s="64"/>
      <c r="B35" s="63"/>
      <c r="C35" s="126"/>
      <c r="D35" s="125"/>
      <c r="E35" s="125"/>
      <c r="F35" s="125"/>
      <c r="G35" s="125"/>
      <c r="H35" s="125"/>
      <c r="I35" s="125"/>
      <c r="J35" s="125"/>
      <c r="K35" s="125"/>
      <c r="L35" s="125"/>
      <c r="M35" s="125"/>
      <c r="N35" s="125"/>
      <c r="O35" s="125"/>
      <c r="P35" s="125"/>
      <c r="Q35" s="125"/>
      <c r="R35" s="124"/>
      <c r="S35" s="66" t="s">
        <v>502</v>
      </c>
      <c r="T35" s="65"/>
      <c r="U35" s="57"/>
      <c r="V35" s="372" t="s">
        <v>59</v>
      </c>
      <c r="W35" s="57"/>
      <c r="X35" s="57"/>
      <c r="Y35" s="57"/>
      <c r="Z35" s="57"/>
      <c r="AA35" s="57"/>
      <c r="AB35" s="57"/>
      <c r="AC35" s="57"/>
      <c r="AD35" s="57"/>
      <c r="AE35" s="57"/>
      <c r="AF35" s="57"/>
      <c r="AG35" s="57"/>
      <c r="AH35" s="57"/>
      <c r="AI35" s="57"/>
      <c r="AJ35" s="57"/>
      <c r="AK35" s="57"/>
      <c r="AL35" s="57"/>
      <c r="AM35" s="57"/>
      <c r="AN35" s="57"/>
      <c r="AO35" s="57"/>
      <c r="AP35" s="57"/>
      <c r="AQ35" s="57"/>
      <c r="AR35" s="57"/>
      <c r="AS35" s="57"/>
      <c r="AT35" s="57"/>
      <c r="AU35" s="57"/>
      <c r="AV35" s="57"/>
      <c r="AW35" s="57"/>
      <c r="AX35" s="57"/>
      <c r="AY35" s="57"/>
      <c r="AZ35" s="57"/>
      <c r="BA35" s="57"/>
      <c r="BB35" s="57"/>
      <c r="BC35" s="57"/>
      <c r="BD35" s="57"/>
      <c r="BE35" s="57"/>
      <c r="BF35" s="57"/>
      <c r="BG35" s="57"/>
      <c r="BH35" s="57"/>
      <c r="BI35" s="57"/>
      <c r="BJ35" s="57"/>
      <c r="BK35" s="57"/>
    </row>
    <row r="36" spans="1:63" s="27" customFormat="1" ht="12">
      <c r="A36" s="64"/>
      <c r="B36" s="63"/>
      <c r="C36" s="126"/>
      <c r="D36" s="125"/>
      <c r="E36" s="125"/>
      <c r="F36" s="125"/>
      <c r="G36" s="125"/>
      <c r="H36" s="125"/>
      <c r="I36" s="125"/>
      <c r="J36" s="125"/>
      <c r="K36" s="125"/>
      <c r="L36" s="125"/>
      <c r="M36" s="125"/>
      <c r="N36" s="125"/>
      <c r="O36" s="125"/>
      <c r="P36" s="125"/>
      <c r="Q36" s="125"/>
      <c r="R36" s="124"/>
      <c r="S36" s="66" t="s">
        <v>503</v>
      </c>
      <c r="T36" s="65"/>
      <c r="U36" s="57"/>
      <c r="V36" s="57"/>
      <c r="W36" s="57"/>
      <c r="X36" s="57"/>
      <c r="Y36" s="57"/>
      <c r="Z36" s="57"/>
      <c r="AA36" s="57"/>
      <c r="AB36" s="57"/>
      <c r="AC36" s="57"/>
      <c r="AD36" s="57"/>
      <c r="AE36" s="57"/>
      <c r="AF36" s="57"/>
      <c r="AG36" s="57"/>
      <c r="AH36" s="57"/>
      <c r="AI36" s="57"/>
      <c r="AJ36" s="57"/>
      <c r="AK36" s="57"/>
      <c r="AL36" s="57"/>
      <c r="AM36" s="57"/>
      <c r="AN36" s="57"/>
      <c r="AO36" s="57"/>
      <c r="AP36" s="57"/>
      <c r="AQ36" s="57"/>
      <c r="AR36" s="57"/>
      <c r="AS36" s="57"/>
      <c r="AT36" s="57"/>
      <c r="AU36" s="57"/>
      <c r="AV36" s="57"/>
      <c r="AW36" s="57"/>
      <c r="AX36" s="57"/>
      <c r="AY36" s="57"/>
      <c r="AZ36" s="57"/>
      <c r="BA36" s="57"/>
      <c r="BB36" s="57"/>
      <c r="BC36" s="57"/>
      <c r="BD36" s="57"/>
      <c r="BE36" s="57"/>
      <c r="BF36" s="57"/>
      <c r="BG36" s="57"/>
      <c r="BH36" s="57"/>
      <c r="BI36" s="57"/>
      <c r="BJ36" s="57"/>
      <c r="BK36" s="372" t="s">
        <v>59</v>
      </c>
    </row>
    <row r="37" spans="1:63" s="27" customFormat="1" ht="12">
      <c r="A37" s="64"/>
      <c r="B37" s="63"/>
      <c r="C37" s="132"/>
      <c r="D37" s="131"/>
      <c r="E37" s="131"/>
      <c r="F37" s="131"/>
      <c r="G37" s="131"/>
      <c r="H37" s="131"/>
      <c r="I37" s="131"/>
      <c r="J37" s="131"/>
      <c r="K37" s="131"/>
      <c r="L37" s="131"/>
      <c r="M37" s="131"/>
      <c r="N37" s="131"/>
      <c r="O37" s="131"/>
      <c r="P37" s="131"/>
      <c r="Q37" s="131"/>
      <c r="R37" s="130"/>
      <c r="S37" s="66" t="s">
        <v>504</v>
      </c>
      <c r="T37" s="65"/>
      <c r="U37" s="57"/>
      <c r="V37" s="57"/>
      <c r="W37" s="372" t="s">
        <v>59</v>
      </c>
      <c r="X37" s="57"/>
      <c r="Y37" s="57"/>
      <c r="Z37" s="57"/>
      <c r="AA37" s="57"/>
      <c r="AB37" s="57"/>
      <c r="AC37" s="57"/>
      <c r="AD37" s="57"/>
      <c r="AE37" s="57"/>
      <c r="AF37" s="57"/>
      <c r="AG37" s="57"/>
      <c r="AH37" s="57"/>
      <c r="AI37" s="57"/>
      <c r="AJ37" s="57"/>
      <c r="AK37" s="57"/>
      <c r="AL37" s="57"/>
      <c r="AM37" s="57"/>
      <c r="AN37" s="57"/>
      <c r="AO37" s="57"/>
      <c r="AP37" s="57"/>
      <c r="AQ37" s="57"/>
      <c r="AR37" s="57"/>
      <c r="AS37" s="57"/>
      <c r="AT37" s="57"/>
      <c r="AU37" s="57"/>
      <c r="AV37" s="57"/>
      <c r="AW37" s="57"/>
      <c r="AX37" s="57"/>
      <c r="AY37" s="57"/>
      <c r="AZ37" s="57"/>
      <c r="BA37" s="57"/>
      <c r="BB37" s="57"/>
      <c r="BC37" s="57"/>
      <c r="BD37" s="57"/>
      <c r="BE37" s="57"/>
      <c r="BF37" s="57"/>
      <c r="BG37" s="57"/>
      <c r="BH37" s="57"/>
      <c r="BI37" s="57"/>
      <c r="BJ37" s="57"/>
      <c r="BK37" s="57"/>
    </row>
    <row r="38" spans="1:63" s="27" customFormat="1" ht="12">
      <c r="A38" s="64"/>
      <c r="B38" s="63"/>
      <c r="C38" s="129" t="s">
        <v>242</v>
      </c>
      <c r="D38" s="128"/>
      <c r="E38" s="128"/>
      <c r="F38" s="128"/>
      <c r="G38" s="128"/>
      <c r="H38" s="128"/>
      <c r="I38" s="128"/>
      <c r="J38" s="128"/>
      <c r="K38" s="128"/>
      <c r="L38" s="128"/>
      <c r="M38" s="128"/>
      <c r="N38" s="128"/>
      <c r="O38" s="128"/>
      <c r="P38" s="128"/>
      <c r="Q38" s="128"/>
      <c r="R38" s="127"/>
      <c r="S38" s="66" t="s">
        <v>745</v>
      </c>
      <c r="T38" s="65"/>
      <c r="U38" s="57"/>
      <c r="V38" s="57"/>
      <c r="W38" s="57"/>
      <c r="X38" s="57"/>
      <c r="Y38" s="57"/>
      <c r="Z38" s="57"/>
      <c r="AA38" s="57"/>
      <c r="AB38" s="57"/>
      <c r="AC38" s="57"/>
      <c r="AD38" s="57"/>
      <c r="AE38" s="57"/>
      <c r="AF38" s="57"/>
      <c r="AG38" s="57"/>
      <c r="AH38" s="57"/>
      <c r="AI38" s="57"/>
      <c r="AJ38" s="57"/>
      <c r="AK38" s="57"/>
      <c r="AL38" s="57"/>
      <c r="AM38" s="57"/>
      <c r="AN38" s="57"/>
      <c r="AO38" s="57"/>
      <c r="AP38" s="57"/>
      <c r="AQ38" s="57"/>
      <c r="AR38" s="57"/>
      <c r="AS38" s="57"/>
      <c r="AT38" s="57"/>
      <c r="AU38" s="57"/>
      <c r="AV38" s="57"/>
      <c r="AW38" s="57"/>
      <c r="AX38" s="57"/>
      <c r="AY38" s="57"/>
      <c r="AZ38" s="57"/>
      <c r="BA38" s="57"/>
      <c r="BB38" s="57"/>
      <c r="BC38" s="57"/>
      <c r="BD38" s="57"/>
      <c r="BE38" s="57"/>
      <c r="BF38" s="57"/>
      <c r="BG38" s="57"/>
      <c r="BH38" s="57"/>
      <c r="BI38" s="57"/>
      <c r="BJ38" s="57"/>
      <c r="BK38" s="372" t="s">
        <v>59</v>
      </c>
    </row>
    <row r="39" spans="1:63" s="27" customFormat="1" ht="12">
      <c r="A39" s="64"/>
      <c r="B39" s="63"/>
      <c r="C39" s="126"/>
      <c r="D39" s="125"/>
      <c r="E39" s="125"/>
      <c r="F39" s="125"/>
      <c r="G39" s="125"/>
      <c r="H39" s="125"/>
      <c r="I39" s="125"/>
      <c r="J39" s="125"/>
      <c r="K39" s="125"/>
      <c r="L39" s="125"/>
      <c r="M39" s="125"/>
      <c r="N39" s="125"/>
      <c r="O39" s="125"/>
      <c r="P39" s="125"/>
      <c r="Q39" s="125"/>
      <c r="R39" s="124"/>
      <c r="S39" s="66" t="s">
        <v>744</v>
      </c>
      <c r="T39" s="65"/>
      <c r="U39" s="57"/>
      <c r="V39" s="57"/>
      <c r="W39" s="57"/>
      <c r="X39" s="372" t="s">
        <v>59</v>
      </c>
      <c r="Y39" s="5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row>
    <row r="40" spans="1:63" s="27" customFormat="1" ht="12">
      <c r="A40" s="64"/>
      <c r="B40" s="63"/>
      <c r="C40" s="126"/>
      <c r="D40" s="125"/>
      <c r="E40" s="125"/>
      <c r="F40" s="125"/>
      <c r="G40" s="125"/>
      <c r="H40" s="125"/>
      <c r="I40" s="125"/>
      <c r="J40" s="125"/>
      <c r="K40" s="125"/>
      <c r="L40" s="125"/>
      <c r="M40" s="125"/>
      <c r="N40" s="125"/>
      <c r="O40" s="125"/>
      <c r="P40" s="125"/>
      <c r="Q40" s="125"/>
      <c r="R40" s="124"/>
      <c r="S40" s="66" t="s">
        <v>501</v>
      </c>
      <c r="T40" s="65"/>
      <c r="U40" s="57"/>
      <c r="V40" s="57"/>
      <c r="W40" s="57"/>
      <c r="X40" s="57"/>
      <c r="Y40" s="5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c r="BE40" s="57"/>
      <c r="BF40" s="57"/>
      <c r="BG40" s="57"/>
      <c r="BH40" s="57"/>
      <c r="BI40" s="57"/>
      <c r="BJ40" s="57"/>
      <c r="BK40" s="372" t="s">
        <v>59</v>
      </c>
    </row>
    <row r="41" spans="1:63" s="27" customFormat="1" ht="12">
      <c r="A41" s="64"/>
      <c r="B41" s="63"/>
      <c r="C41" s="126"/>
      <c r="D41" s="125"/>
      <c r="E41" s="125"/>
      <c r="F41" s="125"/>
      <c r="G41" s="125"/>
      <c r="H41" s="125"/>
      <c r="I41" s="125"/>
      <c r="J41" s="125"/>
      <c r="K41" s="125"/>
      <c r="L41" s="125"/>
      <c r="M41" s="125"/>
      <c r="N41" s="125"/>
      <c r="O41" s="125"/>
      <c r="P41" s="125"/>
      <c r="Q41" s="125"/>
      <c r="R41" s="124"/>
      <c r="S41" s="66" t="s">
        <v>502</v>
      </c>
      <c r="T41" s="65"/>
      <c r="U41" s="57"/>
      <c r="V41" s="57"/>
      <c r="W41" s="57"/>
      <c r="X41" s="57"/>
      <c r="Y41" s="372" t="s">
        <v>59</v>
      </c>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row>
    <row r="42" spans="1:63" s="27" customFormat="1" ht="12">
      <c r="A42" s="64"/>
      <c r="B42" s="63"/>
      <c r="C42" s="126"/>
      <c r="D42" s="125"/>
      <c r="E42" s="125"/>
      <c r="F42" s="125"/>
      <c r="G42" s="125"/>
      <c r="H42" s="125"/>
      <c r="I42" s="125"/>
      <c r="J42" s="125"/>
      <c r="K42" s="125"/>
      <c r="L42" s="125"/>
      <c r="M42" s="125"/>
      <c r="N42" s="125"/>
      <c r="O42" s="125"/>
      <c r="P42" s="125"/>
      <c r="Q42" s="125"/>
      <c r="R42" s="124"/>
      <c r="S42" s="66" t="s">
        <v>503</v>
      </c>
      <c r="T42" s="65"/>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372" t="s">
        <v>59</v>
      </c>
    </row>
    <row r="43" spans="1:63" s="27" customFormat="1" ht="12">
      <c r="A43" s="64"/>
      <c r="B43" s="63"/>
      <c r="C43" s="132"/>
      <c r="D43" s="131"/>
      <c r="E43" s="131"/>
      <c r="F43" s="131"/>
      <c r="G43" s="131"/>
      <c r="H43" s="131"/>
      <c r="I43" s="131"/>
      <c r="J43" s="131"/>
      <c r="K43" s="131"/>
      <c r="L43" s="131"/>
      <c r="M43" s="131"/>
      <c r="N43" s="131"/>
      <c r="O43" s="131"/>
      <c r="P43" s="131"/>
      <c r="Q43" s="131"/>
      <c r="R43" s="130"/>
      <c r="S43" s="66" t="s">
        <v>504</v>
      </c>
      <c r="T43" s="65"/>
      <c r="U43" s="57"/>
      <c r="V43" s="57"/>
      <c r="W43" s="57"/>
      <c r="X43" s="57"/>
      <c r="Y43" s="57"/>
      <c r="Z43" s="372" t="s">
        <v>59</v>
      </c>
      <c r="AA43" s="57"/>
      <c r="AB43" s="57"/>
      <c r="AC43" s="57"/>
      <c r="AD43" s="57"/>
      <c r="AE43" s="57"/>
      <c r="AF43" s="57"/>
      <c r="AG43" s="57"/>
      <c r="AH43" s="57"/>
      <c r="AI43" s="57"/>
      <c r="AJ43" s="57"/>
      <c r="AK43" s="57"/>
      <c r="AL43" s="57"/>
      <c r="AM43" s="57"/>
      <c r="AN43" s="57"/>
      <c r="AO43" s="57"/>
      <c r="AP43" s="57"/>
      <c r="AQ43" s="57"/>
      <c r="AR43" s="57"/>
      <c r="AS43" s="57"/>
      <c r="AT43" s="57"/>
      <c r="AU43" s="57"/>
      <c r="AV43" s="57"/>
      <c r="AW43" s="57"/>
      <c r="AX43" s="57"/>
      <c r="AY43" s="57"/>
      <c r="AZ43" s="57"/>
      <c r="BA43" s="57"/>
      <c r="BB43" s="57"/>
      <c r="BC43" s="57"/>
      <c r="BD43" s="57"/>
      <c r="BE43" s="57"/>
      <c r="BF43" s="57"/>
      <c r="BG43" s="57"/>
      <c r="BH43" s="57"/>
      <c r="BI43" s="57"/>
      <c r="BJ43" s="57"/>
      <c r="BK43" s="57"/>
    </row>
    <row r="44" spans="1:63" s="27" customFormat="1" ht="12">
      <c r="A44" s="64"/>
      <c r="B44" s="63"/>
      <c r="C44" s="129" t="s">
        <v>241</v>
      </c>
      <c r="D44" s="128"/>
      <c r="E44" s="128"/>
      <c r="F44" s="128"/>
      <c r="G44" s="128"/>
      <c r="H44" s="128"/>
      <c r="I44" s="128"/>
      <c r="J44" s="128"/>
      <c r="K44" s="128"/>
      <c r="L44" s="128"/>
      <c r="M44" s="128"/>
      <c r="N44" s="128"/>
      <c r="O44" s="128"/>
      <c r="P44" s="128"/>
      <c r="Q44" s="128"/>
      <c r="R44" s="127"/>
      <c r="S44" s="66" t="s">
        <v>745</v>
      </c>
      <c r="T44" s="65"/>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7"/>
      <c r="AS44" s="57"/>
      <c r="AT44" s="57"/>
      <c r="AU44" s="57"/>
      <c r="AV44" s="57"/>
      <c r="AW44" s="57"/>
      <c r="AX44" s="57"/>
      <c r="AY44" s="57"/>
      <c r="AZ44" s="57"/>
      <c r="BA44" s="57"/>
      <c r="BB44" s="57"/>
      <c r="BC44" s="57"/>
      <c r="BD44" s="57"/>
      <c r="BE44" s="57"/>
      <c r="BF44" s="57"/>
      <c r="BG44" s="57"/>
      <c r="BH44" s="57"/>
      <c r="BI44" s="57"/>
      <c r="BJ44" s="57"/>
      <c r="BK44" s="372" t="s">
        <v>59</v>
      </c>
    </row>
    <row r="45" spans="1:63" s="27" customFormat="1" ht="12">
      <c r="A45" s="64"/>
      <c r="B45" s="63"/>
      <c r="C45" s="126"/>
      <c r="D45" s="125"/>
      <c r="E45" s="125"/>
      <c r="F45" s="125"/>
      <c r="G45" s="125"/>
      <c r="H45" s="125"/>
      <c r="I45" s="125"/>
      <c r="J45" s="125"/>
      <c r="K45" s="125"/>
      <c r="L45" s="125"/>
      <c r="M45" s="125"/>
      <c r="N45" s="125"/>
      <c r="O45" s="125"/>
      <c r="P45" s="125"/>
      <c r="Q45" s="125"/>
      <c r="R45" s="124"/>
      <c r="S45" s="66" t="s">
        <v>744</v>
      </c>
      <c r="T45" s="65"/>
      <c r="U45" s="57"/>
      <c r="V45" s="57"/>
      <c r="W45" s="57"/>
      <c r="X45" s="57"/>
      <c r="Y45" s="57"/>
      <c r="Z45" s="57"/>
      <c r="AA45" s="372" t="s">
        <v>59</v>
      </c>
      <c r="AB45" s="57"/>
      <c r="AC45" s="57"/>
      <c r="AD45" s="57"/>
      <c r="AE45" s="57"/>
      <c r="AF45" s="57"/>
      <c r="AG45" s="57"/>
      <c r="AH45" s="57"/>
      <c r="AI45" s="57"/>
      <c r="AJ45" s="57"/>
      <c r="AK45" s="57"/>
      <c r="AL45" s="57"/>
      <c r="AM45" s="57"/>
      <c r="AN45" s="57"/>
      <c r="AO45" s="57"/>
      <c r="AP45" s="57"/>
      <c r="AQ45" s="57"/>
      <c r="AR45" s="57"/>
      <c r="AS45" s="57"/>
      <c r="AT45" s="57"/>
      <c r="AU45" s="57"/>
      <c r="AV45" s="57"/>
      <c r="AW45" s="57"/>
      <c r="AX45" s="57"/>
      <c r="AY45" s="57"/>
      <c r="AZ45" s="57"/>
      <c r="BA45" s="57"/>
      <c r="BB45" s="57"/>
      <c r="BC45" s="57"/>
      <c r="BD45" s="57"/>
      <c r="BE45" s="57"/>
      <c r="BF45" s="57"/>
      <c r="BG45" s="57"/>
      <c r="BH45" s="57"/>
      <c r="BI45" s="57"/>
      <c r="BJ45" s="57"/>
      <c r="BK45" s="57"/>
    </row>
    <row r="46" spans="1:63" s="27" customFormat="1" ht="12">
      <c r="A46" s="64"/>
      <c r="B46" s="63"/>
      <c r="C46" s="126"/>
      <c r="D46" s="125"/>
      <c r="E46" s="125"/>
      <c r="F46" s="125"/>
      <c r="G46" s="125"/>
      <c r="H46" s="125"/>
      <c r="I46" s="125"/>
      <c r="J46" s="125"/>
      <c r="K46" s="125"/>
      <c r="L46" s="125"/>
      <c r="M46" s="125"/>
      <c r="N46" s="125"/>
      <c r="O46" s="125"/>
      <c r="P46" s="125"/>
      <c r="Q46" s="125"/>
      <c r="R46" s="124"/>
      <c r="S46" s="66" t="s">
        <v>501</v>
      </c>
      <c r="T46" s="65"/>
      <c r="U46" s="57"/>
      <c r="V46" s="57"/>
      <c r="W46" s="57"/>
      <c r="X46" s="57"/>
      <c r="Y46" s="57"/>
      <c r="Z46" s="57"/>
      <c r="AA46" s="57"/>
      <c r="AB46" s="57"/>
      <c r="AC46" s="57"/>
      <c r="AD46" s="57"/>
      <c r="AE46" s="57"/>
      <c r="AF46" s="57"/>
      <c r="AG46" s="57"/>
      <c r="AH46" s="57"/>
      <c r="AI46" s="57"/>
      <c r="AJ46" s="57"/>
      <c r="AK46" s="57"/>
      <c r="AL46" s="57"/>
      <c r="AM46" s="57"/>
      <c r="AN46" s="57"/>
      <c r="AO46" s="57"/>
      <c r="AP46" s="57"/>
      <c r="AQ46" s="57"/>
      <c r="AR46" s="57"/>
      <c r="AS46" s="57"/>
      <c r="AT46" s="57"/>
      <c r="AU46" s="57"/>
      <c r="AV46" s="57"/>
      <c r="AW46" s="57"/>
      <c r="AX46" s="57"/>
      <c r="AY46" s="57"/>
      <c r="AZ46" s="57"/>
      <c r="BA46" s="57"/>
      <c r="BB46" s="57"/>
      <c r="BC46" s="57"/>
      <c r="BD46" s="57"/>
      <c r="BE46" s="57"/>
      <c r="BF46" s="57"/>
      <c r="BG46" s="57"/>
      <c r="BH46" s="57"/>
      <c r="BI46" s="57"/>
      <c r="BJ46" s="57"/>
      <c r="BK46" s="372" t="s">
        <v>59</v>
      </c>
    </row>
    <row r="47" spans="1:63" s="27" customFormat="1" ht="12">
      <c r="A47" s="64"/>
      <c r="B47" s="63"/>
      <c r="C47" s="126"/>
      <c r="D47" s="125"/>
      <c r="E47" s="125"/>
      <c r="F47" s="125"/>
      <c r="G47" s="125"/>
      <c r="H47" s="125"/>
      <c r="I47" s="125"/>
      <c r="J47" s="125"/>
      <c r="K47" s="125"/>
      <c r="L47" s="125"/>
      <c r="M47" s="125"/>
      <c r="N47" s="125"/>
      <c r="O47" s="125"/>
      <c r="P47" s="125"/>
      <c r="Q47" s="125"/>
      <c r="R47" s="124"/>
      <c r="S47" s="66" t="s">
        <v>502</v>
      </c>
      <c r="T47" s="65"/>
      <c r="U47" s="57"/>
      <c r="V47" s="57"/>
      <c r="W47" s="57"/>
      <c r="X47" s="57"/>
      <c r="Y47" s="57"/>
      <c r="Z47" s="57"/>
      <c r="AA47" s="57"/>
      <c r="AB47" s="372" t="s">
        <v>59</v>
      </c>
      <c r="AC47" s="57"/>
      <c r="AD47" s="57"/>
      <c r="AE47" s="57"/>
      <c r="AF47" s="57"/>
      <c r="AG47" s="57"/>
      <c r="AH47" s="57"/>
      <c r="AI47" s="57"/>
      <c r="AJ47" s="57"/>
      <c r="AK47" s="57"/>
      <c r="AL47" s="57"/>
      <c r="AM47" s="57"/>
      <c r="AN47" s="57"/>
      <c r="AO47" s="57"/>
      <c r="AP47" s="57"/>
      <c r="AQ47" s="57"/>
      <c r="AR47" s="57"/>
      <c r="AS47" s="57"/>
      <c r="AT47" s="57"/>
      <c r="AU47" s="57"/>
      <c r="AV47" s="57"/>
      <c r="AW47" s="57"/>
      <c r="AX47" s="57"/>
      <c r="AY47" s="57"/>
      <c r="AZ47" s="57"/>
      <c r="BA47" s="57"/>
      <c r="BB47" s="57"/>
      <c r="BC47" s="57"/>
      <c r="BD47" s="57"/>
      <c r="BE47" s="57"/>
      <c r="BF47" s="57"/>
      <c r="BG47" s="57"/>
      <c r="BH47" s="57"/>
      <c r="BI47" s="57"/>
      <c r="BJ47" s="57"/>
      <c r="BK47" s="57"/>
    </row>
    <row r="48" spans="1:63" s="27" customFormat="1" ht="12">
      <c r="A48" s="64"/>
      <c r="B48" s="63"/>
      <c r="C48" s="126"/>
      <c r="D48" s="125"/>
      <c r="E48" s="125"/>
      <c r="F48" s="125"/>
      <c r="G48" s="125"/>
      <c r="H48" s="125"/>
      <c r="I48" s="125"/>
      <c r="J48" s="125"/>
      <c r="K48" s="125"/>
      <c r="L48" s="125"/>
      <c r="M48" s="125"/>
      <c r="N48" s="125"/>
      <c r="O48" s="125"/>
      <c r="P48" s="125"/>
      <c r="Q48" s="125"/>
      <c r="R48" s="124"/>
      <c r="S48" s="66" t="s">
        <v>503</v>
      </c>
      <c r="T48" s="65"/>
      <c r="U48" s="57"/>
      <c r="V48" s="57"/>
      <c r="W48" s="57"/>
      <c r="X48" s="57"/>
      <c r="Y48" s="57"/>
      <c r="Z48" s="57"/>
      <c r="AA48" s="57"/>
      <c r="AB48" s="57"/>
      <c r="AC48" s="57"/>
      <c r="AD48" s="57"/>
      <c r="AE48" s="57"/>
      <c r="AF48" s="57"/>
      <c r="AG48" s="57"/>
      <c r="AH48" s="57"/>
      <c r="AI48" s="57"/>
      <c r="AJ48" s="57"/>
      <c r="AK48" s="57"/>
      <c r="AL48" s="57"/>
      <c r="AM48" s="57"/>
      <c r="AN48" s="57"/>
      <c r="AO48" s="57"/>
      <c r="AP48" s="57"/>
      <c r="AQ48" s="57"/>
      <c r="AR48" s="57"/>
      <c r="AS48" s="57"/>
      <c r="AT48" s="57"/>
      <c r="AU48" s="57"/>
      <c r="AV48" s="57"/>
      <c r="AW48" s="57"/>
      <c r="AX48" s="57"/>
      <c r="AY48" s="57"/>
      <c r="AZ48" s="57"/>
      <c r="BA48" s="57"/>
      <c r="BB48" s="57"/>
      <c r="BC48" s="57"/>
      <c r="BD48" s="57"/>
      <c r="BE48" s="57"/>
      <c r="BF48" s="57"/>
      <c r="BG48" s="57"/>
      <c r="BH48" s="57"/>
      <c r="BI48" s="57"/>
      <c r="BJ48" s="57"/>
      <c r="BK48" s="372" t="s">
        <v>59</v>
      </c>
    </row>
    <row r="49" spans="1:63" s="27" customFormat="1" ht="12">
      <c r="A49" s="64"/>
      <c r="B49" s="63"/>
      <c r="C49" s="132"/>
      <c r="D49" s="131"/>
      <c r="E49" s="131"/>
      <c r="F49" s="131"/>
      <c r="G49" s="131"/>
      <c r="H49" s="131"/>
      <c r="I49" s="131"/>
      <c r="J49" s="131"/>
      <c r="K49" s="131"/>
      <c r="L49" s="131"/>
      <c r="M49" s="131"/>
      <c r="N49" s="131"/>
      <c r="O49" s="131"/>
      <c r="P49" s="131"/>
      <c r="Q49" s="131"/>
      <c r="R49" s="130"/>
      <c r="S49" s="66" t="s">
        <v>504</v>
      </c>
      <c r="T49" s="65"/>
      <c r="U49" s="57"/>
      <c r="V49" s="57"/>
      <c r="W49" s="57"/>
      <c r="X49" s="57"/>
      <c r="Y49" s="57"/>
      <c r="Z49" s="57"/>
      <c r="AA49" s="57"/>
      <c r="AB49" s="57"/>
      <c r="AC49" s="372" t="s">
        <v>59</v>
      </c>
      <c r="AD49" s="57"/>
      <c r="AE49" s="57"/>
      <c r="AF49" s="57"/>
      <c r="AG49" s="57"/>
      <c r="AH49" s="57"/>
      <c r="AI49" s="57"/>
      <c r="AJ49" s="57"/>
      <c r="AK49" s="57"/>
      <c r="AL49" s="57"/>
      <c r="AM49" s="57"/>
      <c r="AN49" s="57"/>
      <c r="AO49" s="57"/>
      <c r="AP49" s="57"/>
      <c r="AQ49" s="57"/>
      <c r="AR49" s="57"/>
      <c r="AS49" s="57"/>
      <c r="AT49" s="57"/>
      <c r="AU49" s="57"/>
      <c r="AV49" s="57"/>
      <c r="AW49" s="57"/>
      <c r="AX49" s="57"/>
      <c r="AY49" s="57"/>
      <c r="AZ49" s="57"/>
      <c r="BA49" s="57"/>
      <c r="BB49" s="57"/>
      <c r="BC49" s="57"/>
      <c r="BD49" s="57"/>
      <c r="BE49" s="57"/>
      <c r="BF49" s="57"/>
      <c r="BG49" s="57"/>
      <c r="BH49" s="57"/>
      <c r="BI49" s="57"/>
      <c r="BJ49" s="57"/>
      <c r="BK49" s="57"/>
    </row>
    <row r="50" spans="1:63" s="27" customFormat="1" ht="12">
      <c r="A50" s="64"/>
      <c r="B50" s="63"/>
      <c r="C50" s="129" t="s">
        <v>240</v>
      </c>
      <c r="D50" s="128"/>
      <c r="E50" s="128"/>
      <c r="F50" s="128"/>
      <c r="G50" s="128"/>
      <c r="H50" s="128"/>
      <c r="I50" s="128"/>
      <c r="J50" s="128"/>
      <c r="K50" s="128"/>
      <c r="L50" s="128"/>
      <c r="M50" s="128"/>
      <c r="N50" s="128"/>
      <c r="O50" s="128"/>
      <c r="P50" s="128"/>
      <c r="Q50" s="128"/>
      <c r="R50" s="127"/>
      <c r="S50" s="66" t="s">
        <v>745</v>
      </c>
      <c r="T50" s="65"/>
      <c r="U50" s="57"/>
      <c r="V50" s="57"/>
      <c r="W50" s="57"/>
      <c r="X50" s="57"/>
      <c r="Y50" s="57"/>
      <c r="Z50" s="57"/>
      <c r="AA50" s="57"/>
      <c r="AB50" s="57"/>
      <c r="AC50" s="57"/>
      <c r="AD50" s="57"/>
      <c r="AE50" s="57"/>
      <c r="AF50" s="57"/>
      <c r="AG50" s="57"/>
      <c r="AH50" s="57"/>
      <c r="AI50" s="57"/>
      <c r="AJ50" s="57"/>
      <c r="AK50" s="57"/>
      <c r="AL50" s="57"/>
      <c r="AM50" s="57"/>
      <c r="AN50" s="57"/>
      <c r="AO50" s="57"/>
      <c r="AP50" s="57"/>
      <c r="AQ50" s="57"/>
      <c r="AR50" s="57"/>
      <c r="AS50" s="57"/>
      <c r="AT50" s="57"/>
      <c r="AU50" s="57"/>
      <c r="AV50" s="57"/>
      <c r="AW50" s="57"/>
      <c r="AX50" s="57"/>
      <c r="AY50" s="57"/>
      <c r="AZ50" s="57"/>
      <c r="BA50" s="57"/>
      <c r="BB50" s="57"/>
      <c r="BC50" s="57"/>
      <c r="BD50" s="57"/>
      <c r="BE50" s="57"/>
      <c r="BF50" s="57"/>
      <c r="BG50" s="57"/>
      <c r="BH50" s="57"/>
      <c r="BI50" s="57"/>
      <c r="BJ50" s="57"/>
      <c r="BK50" s="372" t="s">
        <v>59</v>
      </c>
    </row>
    <row r="51" spans="1:63" s="27" customFormat="1" ht="12">
      <c r="A51" s="64"/>
      <c r="B51" s="63"/>
      <c r="C51" s="126"/>
      <c r="D51" s="125"/>
      <c r="E51" s="125"/>
      <c r="F51" s="125"/>
      <c r="G51" s="125"/>
      <c r="H51" s="125"/>
      <c r="I51" s="125"/>
      <c r="J51" s="125"/>
      <c r="K51" s="125"/>
      <c r="L51" s="125"/>
      <c r="M51" s="125"/>
      <c r="N51" s="125"/>
      <c r="O51" s="125"/>
      <c r="P51" s="125"/>
      <c r="Q51" s="125"/>
      <c r="R51" s="124"/>
      <c r="S51" s="66" t="s">
        <v>744</v>
      </c>
      <c r="T51" s="65"/>
      <c r="U51" s="57"/>
      <c r="V51" s="57"/>
      <c r="W51" s="57"/>
      <c r="X51" s="57"/>
      <c r="Y51" s="57"/>
      <c r="Z51" s="57"/>
      <c r="AA51" s="57"/>
      <c r="AB51" s="57"/>
      <c r="AC51" s="57"/>
      <c r="AD51" s="372" t="s">
        <v>59</v>
      </c>
      <c r="AE51" s="57"/>
      <c r="AF51" s="57"/>
      <c r="AG51" s="57"/>
      <c r="AH51" s="57"/>
      <c r="AI51" s="57"/>
      <c r="AJ51" s="57"/>
      <c r="AK51" s="57"/>
      <c r="AL51" s="57"/>
      <c r="AM51" s="57"/>
      <c r="AN51" s="57"/>
      <c r="AO51" s="57"/>
      <c r="AP51" s="57"/>
      <c r="AQ51" s="57"/>
      <c r="AR51" s="57"/>
      <c r="AS51" s="57"/>
      <c r="AT51" s="57"/>
      <c r="AU51" s="57"/>
      <c r="AV51" s="57"/>
      <c r="AW51" s="57"/>
      <c r="AX51" s="57"/>
      <c r="AY51" s="57"/>
      <c r="AZ51" s="57"/>
      <c r="BA51" s="57"/>
      <c r="BB51" s="57"/>
      <c r="BC51" s="57"/>
      <c r="BD51" s="57"/>
      <c r="BE51" s="57"/>
      <c r="BF51" s="57"/>
      <c r="BG51" s="57"/>
      <c r="BH51" s="57"/>
      <c r="BI51" s="57"/>
      <c r="BJ51" s="57"/>
      <c r="BK51" s="57"/>
    </row>
    <row r="52" spans="1:63" s="27" customFormat="1" ht="12">
      <c r="A52" s="64"/>
      <c r="B52" s="63"/>
      <c r="C52" s="126"/>
      <c r="D52" s="125"/>
      <c r="E52" s="125"/>
      <c r="F52" s="125"/>
      <c r="G52" s="125"/>
      <c r="H52" s="125"/>
      <c r="I52" s="125"/>
      <c r="J52" s="125"/>
      <c r="K52" s="125"/>
      <c r="L52" s="125"/>
      <c r="M52" s="125"/>
      <c r="N52" s="125"/>
      <c r="O52" s="125"/>
      <c r="P52" s="125"/>
      <c r="Q52" s="125"/>
      <c r="R52" s="124"/>
      <c r="S52" s="66" t="s">
        <v>501</v>
      </c>
      <c r="T52" s="65"/>
      <c r="U52" s="57"/>
      <c r="V52" s="57"/>
      <c r="W52" s="57"/>
      <c r="X52" s="57"/>
      <c r="Y52" s="57"/>
      <c r="Z52" s="57"/>
      <c r="AA52" s="57"/>
      <c r="AB52" s="57"/>
      <c r="AC52" s="57"/>
      <c r="AD52" s="57"/>
      <c r="AE52" s="57"/>
      <c r="AF52" s="57"/>
      <c r="AG52" s="57"/>
      <c r="AH52" s="57"/>
      <c r="AI52" s="57"/>
      <c r="AJ52" s="57"/>
      <c r="AK52" s="57"/>
      <c r="AL52" s="57"/>
      <c r="AM52" s="57"/>
      <c r="AN52" s="57"/>
      <c r="AO52" s="57"/>
      <c r="AP52" s="57"/>
      <c r="AQ52" s="57"/>
      <c r="AR52" s="57"/>
      <c r="AS52" s="57"/>
      <c r="AT52" s="57"/>
      <c r="AU52" s="57"/>
      <c r="AV52" s="57"/>
      <c r="AW52" s="57"/>
      <c r="AX52" s="57"/>
      <c r="AY52" s="57"/>
      <c r="AZ52" s="57"/>
      <c r="BA52" s="57"/>
      <c r="BB52" s="57"/>
      <c r="BC52" s="57"/>
      <c r="BD52" s="57"/>
      <c r="BE52" s="57"/>
      <c r="BF52" s="57"/>
      <c r="BG52" s="57"/>
      <c r="BH52" s="57"/>
      <c r="BI52" s="57"/>
      <c r="BJ52" s="57"/>
      <c r="BK52" s="372" t="s">
        <v>59</v>
      </c>
    </row>
    <row r="53" spans="1:63" s="27" customFormat="1" ht="12">
      <c r="A53" s="64"/>
      <c r="B53" s="63"/>
      <c r="C53" s="126"/>
      <c r="D53" s="125"/>
      <c r="E53" s="125"/>
      <c r="F53" s="125"/>
      <c r="G53" s="125"/>
      <c r="H53" s="125"/>
      <c r="I53" s="125"/>
      <c r="J53" s="125"/>
      <c r="K53" s="125"/>
      <c r="L53" s="125"/>
      <c r="M53" s="125"/>
      <c r="N53" s="125"/>
      <c r="O53" s="125"/>
      <c r="P53" s="125"/>
      <c r="Q53" s="125"/>
      <c r="R53" s="124"/>
      <c r="S53" s="66" t="s">
        <v>502</v>
      </c>
      <c r="T53" s="65"/>
      <c r="U53" s="57"/>
      <c r="V53" s="57"/>
      <c r="W53" s="57"/>
      <c r="X53" s="57"/>
      <c r="Y53" s="57"/>
      <c r="Z53" s="57"/>
      <c r="AA53" s="57"/>
      <c r="AB53" s="57"/>
      <c r="AC53" s="57"/>
      <c r="AD53" s="57"/>
      <c r="AE53" s="372" t="s">
        <v>59</v>
      </c>
      <c r="AF53" s="57"/>
      <c r="AG53" s="57"/>
      <c r="AH53" s="57"/>
      <c r="AI53" s="57"/>
      <c r="AJ53" s="57"/>
      <c r="AK53" s="57"/>
      <c r="AL53" s="57"/>
      <c r="AM53" s="57"/>
      <c r="AN53" s="57"/>
      <c r="AO53" s="57"/>
      <c r="AP53" s="57"/>
      <c r="AQ53" s="57"/>
      <c r="AR53" s="57"/>
      <c r="AS53" s="57"/>
      <c r="AT53" s="57"/>
      <c r="AU53" s="57"/>
      <c r="AV53" s="57"/>
      <c r="AW53" s="57"/>
      <c r="AX53" s="57"/>
      <c r="AY53" s="57"/>
      <c r="AZ53" s="57"/>
      <c r="BA53" s="57"/>
      <c r="BB53" s="57"/>
      <c r="BC53" s="57"/>
      <c r="BD53" s="57"/>
      <c r="BE53" s="57"/>
      <c r="BF53" s="57"/>
      <c r="BG53" s="57"/>
      <c r="BH53" s="57"/>
      <c r="BI53" s="57"/>
      <c r="BJ53" s="57"/>
      <c r="BK53" s="57"/>
    </row>
    <row r="54" spans="1:63" s="27" customFormat="1" ht="12">
      <c r="A54" s="64"/>
      <c r="B54" s="63"/>
      <c r="C54" s="126"/>
      <c r="D54" s="125"/>
      <c r="E54" s="125"/>
      <c r="F54" s="125"/>
      <c r="G54" s="125"/>
      <c r="H54" s="125"/>
      <c r="I54" s="125"/>
      <c r="J54" s="125"/>
      <c r="K54" s="125"/>
      <c r="L54" s="125"/>
      <c r="M54" s="125"/>
      <c r="N54" s="125"/>
      <c r="O54" s="125"/>
      <c r="P54" s="125"/>
      <c r="Q54" s="125"/>
      <c r="R54" s="124"/>
      <c r="S54" s="66" t="s">
        <v>503</v>
      </c>
      <c r="T54" s="65"/>
      <c r="U54" s="57"/>
      <c r="V54" s="57"/>
      <c r="W54" s="57"/>
      <c r="X54" s="57"/>
      <c r="Y54" s="57"/>
      <c r="Z54" s="57"/>
      <c r="AA54" s="57"/>
      <c r="AB54" s="57"/>
      <c r="AC54" s="57"/>
      <c r="AD54" s="57"/>
      <c r="AE54" s="57"/>
      <c r="AF54" s="57"/>
      <c r="AG54" s="57"/>
      <c r="AH54" s="57"/>
      <c r="AI54" s="57"/>
      <c r="AJ54" s="57"/>
      <c r="AK54" s="57"/>
      <c r="AL54" s="57"/>
      <c r="AM54" s="57"/>
      <c r="AN54" s="57"/>
      <c r="AO54" s="57"/>
      <c r="AP54" s="57"/>
      <c r="AQ54" s="57"/>
      <c r="AR54" s="57"/>
      <c r="AS54" s="57"/>
      <c r="AT54" s="57"/>
      <c r="AU54" s="57"/>
      <c r="AV54" s="57"/>
      <c r="AW54" s="57"/>
      <c r="AX54" s="57"/>
      <c r="AY54" s="57"/>
      <c r="AZ54" s="57"/>
      <c r="BA54" s="57"/>
      <c r="BB54" s="57"/>
      <c r="BC54" s="57"/>
      <c r="BD54" s="57"/>
      <c r="BE54" s="57"/>
      <c r="BF54" s="57"/>
      <c r="BG54" s="57"/>
      <c r="BH54" s="57"/>
      <c r="BI54" s="57"/>
      <c r="BJ54" s="57"/>
      <c r="BK54" s="372" t="s">
        <v>59</v>
      </c>
    </row>
    <row r="55" spans="1:63" s="27" customFormat="1" ht="12">
      <c r="A55" s="64"/>
      <c r="B55" s="63"/>
      <c r="C55" s="132"/>
      <c r="D55" s="131"/>
      <c r="E55" s="131"/>
      <c r="F55" s="131"/>
      <c r="G55" s="131"/>
      <c r="H55" s="131"/>
      <c r="I55" s="131"/>
      <c r="J55" s="131"/>
      <c r="K55" s="131"/>
      <c r="L55" s="131"/>
      <c r="M55" s="131"/>
      <c r="N55" s="131"/>
      <c r="O55" s="131"/>
      <c r="P55" s="131"/>
      <c r="Q55" s="131"/>
      <c r="R55" s="130"/>
      <c r="S55" s="66" t="s">
        <v>504</v>
      </c>
      <c r="T55" s="65"/>
      <c r="U55" s="57"/>
      <c r="V55" s="57"/>
      <c r="W55" s="57"/>
      <c r="X55" s="57"/>
      <c r="Y55" s="57"/>
      <c r="Z55" s="57"/>
      <c r="AA55" s="57"/>
      <c r="AB55" s="57"/>
      <c r="AC55" s="57"/>
      <c r="AD55" s="57"/>
      <c r="AE55" s="57"/>
      <c r="AF55" s="372" t="s">
        <v>59</v>
      </c>
      <c r="AG55" s="57"/>
      <c r="AH55" s="57"/>
      <c r="AI55" s="57"/>
      <c r="AJ55" s="57"/>
      <c r="AK55" s="57"/>
      <c r="AL55" s="57"/>
      <c r="AM55" s="57"/>
      <c r="AN55" s="57"/>
      <c r="AO55" s="57"/>
      <c r="AP55" s="57"/>
      <c r="AQ55" s="57"/>
      <c r="AR55" s="57"/>
      <c r="AS55" s="57"/>
      <c r="AT55" s="57"/>
      <c r="AU55" s="57"/>
      <c r="AV55" s="57"/>
      <c r="AW55" s="57"/>
      <c r="AX55" s="57"/>
      <c r="AY55" s="57"/>
      <c r="AZ55" s="57"/>
      <c r="BA55" s="57"/>
      <c r="BB55" s="57"/>
      <c r="BC55" s="57"/>
      <c r="BD55" s="57"/>
      <c r="BE55" s="57"/>
      <c r="BF55" s="57"/>
      <c r="BG55" s="57"/>
      <c r="BH55" s="57"/>
      <c r="BI55" s="57"/>
      <c r="BJ55" s="57"/>
      <c r="BK55" s="57"/>
    </row>
    <row r="56" spans="1:63" s="27" customFormat="1" ht="12">
      <c r="A56" s="64"/>
      <c r="B56" s="63"/>
      <c r="C56" s="129" t="s">
        <v>239</v>
      </c>
      <c r="D56" s="128"/>
      <c r="E56" s="128"/>
      <c r="F56" s="128"/>
      <c r="G56" s="128"/>
      <c r="H56" s="128"/>
      <c r="I56" s="128"/>
      <c r="J56" s="128"/>
      <c r="K56" s="128"/>
      <c r="L56" s="128"/>
      <c r="M56" s="128"/>
      <c r="N56" s="128"/>
      <c r="O56" s="128"/>
      <c r="P56" s="128"/>
      <c r="Q56" s="128"/>
      <c r="R56" s="127"/>
      <c r="S56" s="66" t="s">
        <v>745</v>
      </c>
      <c r="T56" s="65"/>
      <c r="U56" s="57"/>
      <c r="V56" s="57"/>
      <c r="W56" s="57"/>
      <c r="X56" s="57"/>
      <c r="Y56" s="57"/>
      <c r="Z56" s="57"/>
      <c r="AA56" s="57"/>
      <c r="AB56" s="57"/>
      <c r="AC56" s="57"/>
      <c r="AD56" s="57"/>
      <c r="AE56" s="57"/>
      <c r="AF56" s="57"/>
      <c r="AG56" s="57"/>
      <c r="AH56" s="57"/>
      <c r="AI56" s="57"/>
      <c r="AJ56" s="57"/>
      <c r="AK56" s="57"/>
      <c r="AL56" s="57"/>
      <c r="AM56" s="57"/>
      <c r="AN56" s="57"/>
      <c r="AO56" s="57"/>
      <c r="AP56" s="57"/>
      <c r="AQ56" s="57"/>
      <c r="AR56" s="57"/>
      <c r="AS56" s="57"/>
      <c r="AT56" s="57"/>
      <c r="AU56" s="57"/>
      <c r="AV56" s="57"/>
      <c r="AW56" s="57"/>
      <c r="AX56" s="57"/>
      <c r="AY56" s="57"/>
      <c r="AZ56" s="57"/>
      <c r="BA56" s="57"/>
      <c r="BB56" s="57"/>
      <c r="BC56" s="57"/>
      <c r="BD56" s="57"/>
      <c r="BE56" s="57"/>
      <c r="BF56" s="57"/>
      <c r="BG56" s="57"/>
      <c r="BH56" s="57"/>
      <c r="BI56" s="57"/>
      <c r="BJ56" s="57"/>
      <c r="BK56" s="372" t="s">
        <v>59</v>
      </c>
    </row>
    <row r="57" spans="1:63" s="27" customFormat="1" ht="12">
      <c r="A57" s="64"/>
      <c r="B57" s="63"/>
      <c r="C57" s="126"/>
      <c r="D57" s="125"/>
      <c r="E57" s="125"/>
      <c r="F57" s="125"/>
      <c r="G57" s="125"/>
      <c r="H57" s="125"/>
      <c r="I57" s="125"/>
      <c r="J57" s="125"/>
      <c r="K57" s="125"/>
      <c r="L57" s="125"/>
      <c r="M57" s="125"/>
      <c r="N57" s="125"/>
      <c r="O57" s="125"/>
      <c r="P57" s="125"/>
      <c r="Q57" s="125"/>
      <c r="R57" s="124"/>
      <c r="S57" s="66" t="s">
        <v>744</v>
      </c>
      <c r="T57" s="65"/>
      <c r="U57" s="57"/>
      <c r="V57" s="57"/>
      <c r="W57" s="57"/>
      <c r="X57" s="57"/>
      <c r="Y57" s="57"/>
      <c r="Z57" s="57"/>
      <c r="AA57" s="57"/>
      <c r="AB57" s="57"/>
      <c r="AC57" s="57"/>
      <c r="AD57" s="57"/>
      <c r="AE57" s="57"/>
      <c r="AF57" s="57"/>
      <c r="AG57" s="372" t="s">
        <v>59</v>
      </c>
      <c r="AH57" s="57"/>
      <c r="AI57" s="57"/>
      <c r="AJ57" s="57"/>
      <c r="AK57" s="57"/>
      <c r="AL57" s="57"/>
      <c r="AM57" s="57"/>
      <c r="AN57" s="57"/>
      <c r="AO57" s="57"/>
      <c r="AP57" s="57"/>
      <c r="AQ57" s="57"/>
      <c r="AR57" s="57"/>
      <c r="AS57" s="57"/>
      <c r="AT57" s="57"/>
      <c r="AU57" s="57"/>
      <c r="AV57" s="57"/>
      <c r="AW57" s="57"/>
      <c r="AX57" s="57"/>
      <c r="AY57" s="57"/>
      <c r="AZ57" s="57"/>
      <c r="BA57" s="57"/>
      <c r="BB57" s="57"/>
      <c r="BC57" s="57"/>
      <c r="BD57" s="57"/>
      <c r="BE57" s="57"/>
      <c r="BF57" s="57"/>
      <c r="BG57" s="57"/>
      <c r="BH57" s="57"/>
      <c r="BI57" s="57"/>
      <c r="BJ57" s="57"/>
      <c r="BK57" s="57"/>
    </row>
    <row r="58" spans="1:63" s="27" customFormat="1" ht="12">
      <c r="A58" s="64"/>
      <c r="B58" s="63"/>
      <c r="C58" s="126"/>
      <c r="D58" s="125"/>
      <c r="E58" s="125"/>
      <c r="F58" s="125"/>
      <c r="G58" s="125"/>
      <c r="H58" s="125"/>
      <c r="I58" s="125"/>
      <c r="J58" s="125"/>
      <c r="K58" s="125"/>
      <c r="L58" s="125"/>
      <c r="M58" s="125"/>
      <c r="N58" s="125"/>
      <c r="O58" s="125"/>
      <c r="P58" s="125"/>
      <c r="Q58" s="125"/>
      <c r="R58" s="124"/>
      <c r="S58" s="66" t="s">
        <v>501</v>
      </c>
      <c r="T58" s="65"/>
      <c r="U58" s="57"/>
      <c r="V58" s="57"/>
      <c r="W58" s="57"/>
      <c r="X58" s="57"/>
      <c r="Y58" s="57"/>
      <c r="Z58" s="57"/>
      <c r="AA58" s="57"/>
      <c r="AB58" s="57"/>
      <c r="AC58" s="57"/>
      <c r="AD58" s="57"/>
      <c r="AE58" s="57"/>
      <c r="AF58" s="57"/>
      <c r="AG58" s="57"/>
      <c r="AH58" s="57"/>
      <c r="AI58" s="57"/>
      <c r="AJ58" s="57"/>
      <c r="AK58" s="57"/>
      <c r="AL58" s="57"/>
      <c r="AM58" s="57"/>
      <c r="AN58" s="57"/>
      <c r="AO58" s="57"/>
      <c r="AP58" s="57"/>
      <c r="AQ58" s="57"/>
      <c r="AR58" s="57"/>
      <c r="AS58" s="57"/>
      <c r="AT58" s="57"/>
      <c r="AU58" s="57"/>
      <c r="AV58" s="57"/>
      <c r="AW58" s="57"/>
      <c r="AX58" s="57"/>
      <c r="AY58" s="57"/>
      <c r="AZ58" s="57"/>
      <c r="BA58" s="57"/>
      <c r="BB58" s="57"/>
      <c r="BC58" s="57"/>
      <c r="BD58" s="57"/>
      <c r="BE58" s="57"/>
      <c r="BF58" s="57"/>
      <c r="BG58" s="57"/>
      <c r="BH58" s="57"/>
      <c r="BI58" s="57"/>
      <c r="BJ58" s="57"/>
      <c r="BK58" s="372" t="s">
        <v>59</v>
      </c>
    </row>
    <row r="59" spans="1:63" s="27" customFormat="1" ht="12">
      <c r="A59" s="64"/>
      <c r="B59" s="63"/>
      <c r="C59" s="126"/>
      <c r="D59" s="125"/>
      <c r="E59" s="125"/>
      <c r="F59" s="125"/>
      <c r="G59" s="125"/>
      <c r="H59" s="125"/>
      <c r="I59" s="125"/>
      <c r="J59" s="125"/>
      <c r="K59" s="125"/>
      <c r="L59" s="125"/>
      <c r="M59" s="125"/>
      <c r="N59" s="125"/>
      <c r="O59" s="125"/>
      <c r="P59" s="125"/>
      <c r="Q59" s="125"/>
      <c r="R59" s="124"/>
      <c r="S59" s="66" t="s">
        <v>502</v>
      </c>
      <c r="T59" s="65"/>
      <c r="U59" s="57"/>
      <c r="V59" s="57"/>
      <c r="W59" s="57"/>
      <c r="X59" s="57"/>
      <c r="Y59" s="57"/>
      <c r="Z59" s="57"/>
      <c r="AA59" s="57"/>
      <c r="AB59" s="57"/>
      <c r="AC59" s="57"/>
      <c r="AD59" s="57"/>
      <c r="AE59" s="57"/>
      <c r="AF59" s="57"/>
      <c r="AG59" s="57"/>
      <c r="AH59" s="372" t="s">
        <v>59</v>
      </c>
      <c r="AI59" s="57"/>
      <c r="AJ59" s="57"/>
      <c r="AK59" s="57"/>
      <c r="AL59" s="57"/>
      <c r="AM59" s="57"/>
      <c r="AN59" s="57"/>
      <c r="AO59" s="57"/>
      <c r="AP59" s="57"/>
      <c r="AQ59" s="57"/>
      <c r="AR59" s="57"/>
      <c r="AS59" s="57"/>
      <c r="AT59" s="57"/>
      <c r="AU59" s="57"/>
      <c r="AV59" s="57"/>
      <c r="AW59" s="57"/>
      <c r="AX59" s="57"/>
      <c r="AY59" s="57"/>
      <c r="AZ59" s="57"/>
      <c r="BA59" s="57"/>
      <c r="BB59" s="57"/>
      <c r="BC59" s="57"/>
      <c r="BD59" s="57"/>
      <c r="BE59" s="57"/>
      <c r="BF59" s="57"/>
      <c r="BG59" s="57"/>
      <c r="BH59" s="57"/>
      <c r="BI59" s="57"/>
      <c r="BJ59" s="57"/>
      <c r="BK59" s="57"/>
    </row>
    <row r="60" spans="1:63" s="27" customFormat="1" ht="12">
      <c r="A60" s="64"/>
      <c r="B60" s="63"/>
      <c r="C60" s="126"/>
      <c r="D60" s="125"/>
      <c r="E60" s="125"/>
      <c r="F60" s="125"/>
      <c r="G60" s="125"/>
      <c r="H60" s="125"/>
      <c r="I60" s="125"/>
      <c r="J60" s="125"/>
      <c r="K60" s="125"/>
      <c r="L60" s="125"/>
      <c r="M60" s="125"/>
      <c r="N60" s="125"/>
      <c r="O60" s="125"/>
      <c r="P60" s="125"/>
      <c r="Q60" s="125"/>
      <c r="R60" s="124"/>
      <c r="S60" s="66" t="s">
        <v>503</v>
      </c>
      <c r="T60" s="65"/>
      <c r="U60" s="57"/>
      <c r="V60" s="57"/>
      <c r="W60" s="57"/>
      <c r="X60" s="57"/>
      <c r="Y60" s="57"/>
      <c r="Z60" s="57"/>
      <c r="AA60" s="57"/>
      <c r="AB60" s="57"/>
      <c r="AC60" s="57"/>
      <c r="AD60" s="57"/>
      <c r="AE60" s="57"/>
      <c r="AF60" s="57"/>
      <c r="AG60" s="57"/>
      <c r="AH60" s="57"/>
      <c r="AI60" s="57"/>
      <c r="AJ60" s="57"/>
      <c r="AK60" s="57"/>
      <c r="AL60" s="57"/>
      <c r="AM60" s="57"/>
      <c r="AN60" s="57"/>
      <c r="AO60" s="57"/>
      <c r="AP60" s="57"/>
      <c r="AQ60" s="57"/>
      <c r="AR60" s="57"/>
      <c r="AS60" s="57"/>
      <c r="AT60" s="57"/>
      <c r="AU60" s="57"/>
      <c r="AV60" s="57"/>
      <c r="AW60" s="57"/>
      <c r="AX60" s="57"/>
      <c r="AY60" s="57"/>
      <c r="AZ60" s="57"/>
      <c r="BA60" s="57"/>
      <c r="BB60" s="57"/>
      <c r="BC60" s="57"/>
      <c r="BD60" s="57"/>
      <c r="BE60" s="57"/>
      <c r="BF60" s="57"/>
      <c r="BG60" s="57"/>
      <c r="BH60" s="57"/>
      <c r="BI60" s="57"/>
      <c r="BJ60" s="57"/>
      <c r="BK60" s="372" t="s">
        <v>59</v>
      </c>
    </row>
    <row r="61" spans="1:63" s="27" customFormat="1" ht="12">
      <c r="A61" s="64"/>
      <c r="B61" s="63"/>
      <c r="C61" s="132"/>
      <c r="D61" s="131"/>
      <c r="E61" s="131"/>
      <c r="F61" s="131"/>
      <c r="G61" s="131"/>
      <c r="H61" s="131"/>
      <c r="I61" s="131"/>
      <c r="J61" s="131"/>
      <c r="K61" s="131"/>
      <c r="L61" s="131"/>
      <c r="M61" s="131"/>
      <c r="N61" s="131"/>
      <c r="O61" s="131"/>
      <c r="P61" s="131"/>
      <c r="Q61" s="131"/>
      <c r="R61" s="130"/>
      <c r="S61" s="66" t="s">
        <v>504</v>
      </c>
      <c r="T61" s="65"/>
      <c r="U61" s="57"/>
      <c r="V61" s="57"/>
      <c r="W61" s="57"/>
      <c r="X61" s="57"/>
      <c r="Y61" s="57"/>
      <c r="Z61" s="57"/>
      <c r="AA61" s="57"/>
      <c r="AB61" s="57"/>
      <c r="AC61" s="57"/>
      <c r="AD61" s="57"/>
      <c r="AE61" s="57"/>
      <c r="AF61" s="57"/>
      <c r="AG61" s="57"/>
      <c r="AH61" s="57"/>
      <c r="AI61" s="372" t="s">
        <v>59</v>
      </c>
      <c r="AJ61" s="57"/>
      <c r="AK61" s="57"/>
      <c r="AL61" s="57"/>
      <c r="AM61" s="57"/>
      <c r="AN61" s="57"/>
      <c r="AO61" s="57"/>
      <c r="AP61" s="57"/>
      <c r="AQ61" s="57"/>
      <c r="AR61" s="57"/>
      <c r="AS61" s="57"/>
      <c r="AT61" s="57"/>
      <c r="AU61" s="57"/>
      <c r="AV61" s="57"/>
      <c r="AW61" s="57"/>
      <c r="AX61" s="57"/>
      <c r="AY61" s="57"/>
      <c r="AZ61" s="57"/>
      <c r="BA61" s="57"/>
      <c r="BB61" s="57"/>
      <c r="BC61" s="57"/>
      <c r="BD61" s="57"/>
      <c r="BE61" s="57"/>
      <c r="BF61" s="57"/>
      <c r="BG61" s="57"/>
      <c r="BH61" s="57"/>
      <c r="BI61" s="57"/>
      <c r="BJ61" s="57"/>
      <c r="BK61" s="57"/>
    </row>
    <row r="62" spans="1:63" s="27" customFormat="1" ht="12">
      <c r="A62" s="64"/>
      <c r="B62" s="63"/>
      <c r="C62" s="129" t="s">
        <v>238</v>
      </c>
      <c r="D62" s="128"/>
      <c r="E62" s="128"/>
      <c r="F62" s="128"/>
      <c r="G62" s="128"/>
      <c r="H62" s="128"/>
      <c r="I62" s="128"/>
      <c r="J62" s="128"/>
      <c r="K62" s="128"/>
      <c r="L62" s="128"/>
      <c r="M62" s="128"/>
      <c r="N62" s="128"/>
      <c r="O62" s="128"/>
      <c r="P62" s="128"/>
      <c r="Q62" s="128"/>
      <c r="R62" s="127"/>
      <c r="S62" s="66" t="s">
        <v>745</v>
      </c>
      <c r="T62" s="65"/>
      <c r="U62" s="57"/>
      <c r="V62" s="57"/>
      <c r="W62" s="57"/>
      <c r="X62" s="57"/>
      <c r="Y62" s="57"/>
      <c r="Z62" s="57"/>
      <c r="AA62" s="57"/>
      <c r="AB62" s="57"/>
      <c r="AC62" s="57"/>
      <c r="AD62" s="57"/>
      <c r="AE62" s="57"/>
      <c r="AF62" s="57"/>
      <c r="AG62" s="57"/>
      <c r="AH62" s="57"/>
      <c r="AI62" s="57"/>
      <c r="AJ62" s="57"/>
      <c r="AK62" s="57"/>
      <c r="AL62" s="57"/>
      <c r="AM62" s="57"/>
      <c r="AN62" s="57"/>
      <c r="AO62" s="57"/>
      <c r="AP62" s="57"/>
      <c r="AQ62" s="57"/>
      <c r="AR62" s="57"/>
      <c r="AS62" s="57"/>
      <c r="AT62" s="57"/>
      <c r="AU62" s="57"/>
      <c r="AV62" s="57"/>
      <c r="AW62" s="57"/>
      <c r="AX62" s="57"/>
      <c r="AY62" s="57"/>
      <c r="AZ62" s="57"/>
      <c r="BA62" s="57"/>
      <c r="BB62" s="57"/>
      <c r="BC62" s="57"/>
      <c r="BD62" s="57"/>
      <c r="BE62" s="57"/>
      <c r="BF62" s="57"/>
      <c r="BG62" s="57"/>
      <c r="BH62" s="57"/>
      <c r="BI62" s="57"/>
      <c r="BJ62" s="57"/>
      <c r="BK62" s="372" t="s">
        <v>59</v>
      </c>
    </row>
    <row r="63" spans="1:63" s="27" customFormat="1" ht="12">
      <c r="A63" s="64"/>
      <c r="B63" s="63"/>
      <c r="C63" s="126"/>
      <c r="D63" s="125"/>
      <c r="E63" s="125"/>
      <c r="F63" s="125"/>
      <c r="G63" s="125"/>
      <c r="H63" s="125"/>
      <c r="I63" s="125"/>
      <c r="J63" s="125"/>
      <c r="K63" s="125"/>
      <c r="L63" s="125"/>
      <c r="M63" s="125"/>
      <c r="N63" s="125"/>
      <c r="O63" s="125"/>
      <c r="P63" s="125"/>
      <c r="Q63" s="125"/>
      <c r="R63" s="124"/>
      <c r="S63" s="66" t="s">
        <v>744</v>
      </c>
      <c r="T63" s="65"/>
      <c r="U63" s="57"/>
      <c r="V63" s="57"/>
      <c r="W63" s="57"/>
      <c r="X63" s="57"/>
      <c r="Y63" s="57"/>
      <c r="Z63" s="57"/>
      <c r="AA63" s="57"/>
      <c r="AB63" s="57"/>
      <c r="AC63" s="57"/>
      <c r="AD63" s="57"/>
      <c r="AE63" s="57"/>
      <c r="AF63" s="57"/>
      <c r="AG63" s="57"/>
      <c r="AH63" s="57"/>
      <c r="AI63" s="57"/>
      <c r="AJ63" s="372" t="s">
        <v>59</v>
      </c>
      <c r="AK63" s="57"/>
      <c r="AL63" s="57"/>
      <c r="AM63" s="57"/>
      <c r="AN63" s="57"/>
      <c r="AO63" s="57"/>
      <c r="AP63" s="57"/>
      <c r="AQ63" s="57"/>
      <c r="AR63" s="57"/>
      <c r="AS63" s="57"/>
      <c r="AT63" s="57"/>
      <c r="AU63" s="57"/>
      <c r="AV63" s="57"/>
      <c r="AW63" s="57"/>
      <c r="AX63" s="57"/>
      <c r="AY63" s="57"/>
      <c r="AZ63" s="57"/>
      <c r="BA63" s="57"/>
      <c r="BB63" s="57"/>
      <c r="BC63" s="57"/>
      <c r="BD63" s="57"/>
      <c r="BE63" s="57"/>
      <c r="BF63" s="57"/>
      <c r="BG63" s="57"/>
      <c r="BH63" s="57"/>
      <c r="BI63" s="57"/>
      <c r="BJ63" s="57"/>
      <c r="BK63" s="57"/>
    </row>
    <row r="64" spans="1:63" s="27" customFormat="1" ht="12">
      <c r="A64" s="64"/>
      <c r="B64" s="63"/>
      <c r="C64" s="126"/>
      <c r="D64" s="125"/>
      <c r="E64" s="125"/>
      <c r="F64" s="125"/>
      <c r="G64" s="125"/>
      <c r="H64" s="125"/>
      <c r="I64" s="125"/>
      <c r="J64" s="125"/>
      <c r="K64" s="125"/>
      <c r="L64" s="125"/>
      <c r="M64" s="125"/>
      <c r="N64" s="125"/>
      <c r="O64" s="125"/>
      <c r="P64" s="125"/>
      <c r="Q64" s="125"/>
      <c r="R64" s="124"/>
      <c r="S64" s="66" t="s">
        <v>501</v>
      </c>
      <c r="T64" s="65"/>
      <c r="U64" s="57"/>
      <c r="V64" s="57"/>
      <c r="W64" s="57"/>
      <c r="X64" s="57"/>
      <c r="Y64" s="57"/>
      <c r="Z64" s="57"/>
      <c r="AA64" s="57"/>
      <c r="AB64" s="57"/>
      <c r="AC64" s="57"/>
      <c r="AD64" s="57"/>
      <c r="AE64" s="57"/>
      <c r="AF64" s="57"/>
      <c r="AG64" s="57"/>
      <c r="AH64" s="57"/>
      <c r="AI64" s="57"/>
      <c r="AJ64" s="57"/>
      <c r="AK64" s="57"/>
      <c r="AL64" s="57"/>
      <c r="AM64" s="57"/>
      <c r="AN64" s="57"/>
      <c r="AO64" s="57"/>
      <c r="AP64" s="57"/>
      <c r="AQ64" s="57"/>
      <c r="AR64" s="57"/>
      <c r="AS64" s="57"/>
      <c r="AT64" s="57"/>
      <c r="AU64" s="57"/>
      <c r="AV64" s="57"/>
      <c r="AW64" s="57"/>
      <c r="AX64" s="57"/>
      <c r="AY64" s="57"/>
      <c r="AZ64" s="57"/>
      <c r="BA64" s="57"/>
      <c r="BB64" s="57"/>
      <c r="BC64" s="57"/>
      <c r="BD64" s="57"/>
      <c r="BE64" s="57"/>
      <c r="BF64" s="57"/>
      <c r="BG64" s="57"/>
      <c r="BH64" s="57"/>
      <c r="BI64" s="57"/>
      <c r="BJ64" s="57"/>
      <c r="BK64" s="372" t="s">
        <v>59</v>
      </c>
    </row>
    <row r="65" spans="1:63" s="27" customFormat="1" ht="12">
      <c r="A65" s="64"/>
      <c r="B65" s="63"/>
      <c r="C65" s="126"/>
      <c r="D65" s="125"/>
      <c r="E65" s="125"/>
      <c r="F65" s="125"/>
      <c r="G65" s="125"/>
      <c r="H65" s="125"/>
      <c r="I65" s="125"/>
      <c r="J65" s="125"/>
      <c r="K65" s="125"/>
      <c r="L65" s="125"/>
      <c r="M65" s="125"/>
      <c r="N65" s="125"/>
      <c r="O65" s="125"/>
      <c r="P65" s="125"/>
      <c r="Q65" s="125"/>
      <c r="R65" s="124"/>
      <c r="S65" s="66" t="s">
        <v>502</v>
      </c>
      <c r="T65" s="65"/>
      <c r="U65" s="57"/>
      <c r="V65" s="57"/>
      <c r="W65" s="57"/>
      <c r="X65" s="57"/>
      <c r="Y65" s="57"/>
      <c r="Z65" s="57"/>
      <c r="AA65" s="57"/>
      <c r="AB65" s="57"/>
      <c r="AC65" s="57"/>
      <c r="AD65" s="57"/>
      <c r="AE65" s="57"/>
      <c r="AF65" s="57"/>
      <c r="AG65" s="57"/>
      <c r="AH65" s="57"/>
      <c r="AI65" s="57"/>
      <c r="AJ65" s="57"/>
      <c r="AK65" s="372" t="s">
        <v>59</v>
      </c>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row>
    <row r="66" spans="1:63" s="27" customFormat="1" ht="12">
      <c r="A66" s="64"/>
      <c r="B66" s="63"/>
      <c r="C66" s="126"/>
      <c r="D66" s="125"/>
      <c r="E66" s="125"/>
      <c r="F66" s="125"/>
      <c r="G66" s="125"/>
      <c r="H66" s="125"/>
      <c r="I66" s="125"/>
      <c r="J66" s="125"/>
      <c r="K66" s="125"/>
      <c r="L66" s="125"/>
      <c r="M66" s="125"/>
      <c r="N66" s="125"/>
      <c r="O66" s="125"/>
      <c r="P66" s="125"/>
      <c r="Q66" s="125"/>
      <c r="R66" s="124"/>
      <c r="S66" s="66" t="s">
        <v>503</v>
      </c>
      <c r="T66" s="65"/>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372" t="s">
        <v>59</v>
      </c>
    </row>
    <row r="67" spans="1:63" s="27" customFormat="1" ht="12">
      <c r="A67" s="64"/>
      <c r="B67" s="63"/>
      <c r="C67" s="132"/>
      <c r="D67" s="131"/>
      <c r="E67" s="131"/>
      <c r="F67" s="131"/>
      <c r="G67" s="131"/>
      <c r="H67" s="131"/>
      <c r="I67" s="131"/>
      <c r="J67" s="131"/>
      <c r="K67" s="131"/>
      <c r="L67" s="131"/>
      <c r="M67" s="131"/>
      <c r="N67" s="131"/>
      <c r="O67" s="131"/>
      <c r="P67" s="131"/>
      <c r="Q67" s="131"/>
      <c r="R67" s="130"/>
      <c r="S67" s="66" t="s">
        <v>504</v>
      </c>
      <c r="T67" s="65"/>
      <c r="U67" s="57"/>
      <c r="V67" s="57"/>
      <c r="W67" s="57"/>
      <c r="X67" s="57"/>
      <c r="Y67" s="57"/>
      <c r="Z67" s="57"/>
      <c r="AA67" s="57"/>
      <c r="AB67" s="57"/>
      <c r="AC67" s="57"/>
      <c r="AD67" s="57"/>
      <c r="AE67" s="57"/>
      <c r="AF67" s="57"/>
      <c r="AG67" s="57"/>
      <c r="AH67" s="57"/>
      <c r="AI67" s="57"/>
      <c r="AJ67" s="57"/>
      <c r="AK67" s="57"/>
      <c r="AL67" s="372" t="s">
        <v>59</v>
      </c>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row>
    <row r="68" spans="1:63" s="27" customFormat="1" ht="12">
      <c r="A68" s="64"/>
      <c r="B68" s="63"/>
      <c r="C68" s="129" t="s">
        <v>237</v>
      </c>
      <c r="D68" s="128"/>
      <c r="E68" s="128"/>
      <c r="F68" s="128"/>
      <c r="G68" s="128"/>
      <c r="H68" s="128"/>
      <c r="I68" s="128"/>
      <c r="J68" s="128"/>
      <c r="K68" s="128"/>
      <c r="L68" s="128"/>
      <c r="M68" s="128"/>
      <c r="N68" s="128"/>
      <c r="O68" s="128"/>
      <c r="P68" s="128"/>
      <c r="Q68" s="128"/>
      <c r="R68" s="127"/>
      <c r="S68" s="66" t="s">
        <v>745</v>
      </c>
      <c r="T68" s="65"/>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372" t="s">
        <v>59</v>
      </c>
    </row>
    <row r="69" spans="1:63" s="27" customFormat="1" ht="12">
      <c r="A69" s="64"/>
      <c r="B69" s="63"/>
      <c r="C69" s="126"/>
      <c r="D69" s="125"/>
      <c r="E69" s="125"/>
      <c r="F69" s="125"/>
      <c r="G69" s="125"/>
      <c r="H69" s="125"/>
      <c r="I69" s="125"/>
      <c r="J69" s="125"/>
      <c r="K69" s="125"/>
      <c r="L69" s="125"/>
      <c r="M69" s="125"/>
      <c r="N69" s="125"/>
      <c r="O69" s="125"/>
      <c r="P69" s="125"/>
      <c r="Q69" s="125"/>
      <c r="R69" s="124"/>
      <c r="S69" s="66" t="s">
        <v>744</v>
      </c>
      <c r="T69" s="65"/>
      <c r="U69" s="57"/>
      <c r="V69" s="57"/>
      <c r="W69" s="57"/>
      <c r="X69" s="57"/>
      <c r="Y69" s="57"/>
      <c r="Z69" s="57"/>
      <c r="AA69" s="57"/>
      <c r="AB69" s="57"/>
      <c r="AC69" s="57"/>
      <c r="AD69" s="57"/>
      <c r="AE69" s="57"/>
      <c r="AF69" s="57"/>
      <c r="AG69" s="57"/>
      <c r="AH69" s="57"/>
      <c r="AI69" s="57"/>
      <c r="AJ69" s="57"/>
      <c r="AK69" s="57"/>
      <c r="AL69" s="57"/>
      <c r="AM69" s="372" t="s">
        <v>59</v>
      </c>
      <c r="AN69" s="57"/>
      <c r="AO69" s="57"/>
      <c r="AP69" s="57"/>
      <c r="AQ69" s="57"/>
      <c r="AR69" s="57"/>
      <c r="AS69" s="57"/>
      <c r="AT69" s="57"/>
      <c r="AU69" s="57"/>
      <c r="AV69" s="57"/>
      <c r="AW69" s="57"/>
      <c r="AX69" s="57"/>
      <c r="AY69" s="57"/>
      <c r="AZ69" s="57"/>
      <c r="BA69" s="57"/>
      <c r="BB69" s="57"/>
      <c r="BC69" s="57"/>
      <c r="BD69" s="57"/>
      <c r="BE69" s="57"/>
      <c r="BF69" s="57"/>
      <c r="BG69" s="57"/>
      <c r="BH69" s="57"/>
      <c r="BI69" s="57"/>
      <c r="BJ69" s="57"/>
      <c r="BK69" s="57"/>
    </row>
    <row r="70" spans="1:63" s="27" customFormat="1" ht="12">
      <c r="A70" s="64"/>
      <c r="B70" s="63"/>
      <c r="C70" s="126"/>
      <c r="D70" s="125"/>
      <c r="E70" s="125"/>
      <c r="F70" s="125"/>
      <c r="G70" s="125"/>
      <c r="H70" s="125"/>
      <c r="I70" s="125"/>
      <c r="J70" s="125"/>
      <c r="K70" s="125"/>
      <c r="L70" s="125"/>
      <c r="M70" s="125"/>
      <c r="N70" s="125"/>
      <c r="O70" s="125"/>
      <c r="P70" s="125"/>
      <c r="Q70" s="125"/>
      <c r="R70" s="124"/>
      <c r="S70" s="66" t="s">
        <v>501</v>
      </c>
      <c r="T70" s="65"/>
      <c r="U70" s="57"/>
      <c r="V70" s="57"/>
      <c r="W70" s="57"/>
      <c r="X70" s="57"/>
      <c r="Y70" s="57"/>
      <c r="Z70" s="57"/>
      <c r="AA70" s="57"/>
      <c r="AB70" s="57"/>
      <c r="AC70" s="57"/>
      <c r="AD70" s="57"/>
      <c r="AE70" s="57"/>
      <c r="AF70" s="57"/>
      <c r="AG70" s="57"/>
      <c r="AH70" s="57"/>
      <c r="AI70" s="57"/>
      <c r="AJ70" s="57"/>
      <c r="AK70" s="57"/>
      <c r="AL70" s="57"/>
      <c r="AM70" s="57"/>
      <c r="AN70" s="57"/>
      <c r="AO70" s="57"/>
      <c r="AP70" s="57"/>
      <c r="AQ70" s="57"/>
      <c r="AR70" s="57"/>
      <c r="AS70" s="57"/>
      <c r="AT70" s="57"/>
      <c r="AU70" s="57"/>
      <c r="AV70" s="57"/>
      <c r="AW70" s="57"/>
      <c r="AX70" s="57"/>
      <c r="AY70" s="57"/>
      <c r="AZ70" s="57"/>
      <c r="BA70" s="57"/>
      <c r="BB70" s="57"/>
      <c r="BC70" s="57"/>
      <c r="BD70" s="57"/>
      <c r="BE70" s="57"/>
      <c r="BF70" s="57"/>
      <c r="BG70" s="57"/>
      <c r="BH70" s="57"/>
      <c r="BI70" s="57"/>
      <c r="BJ70" s="57"/>
      <c r="BK70" s="372" t="s">
        <v>59</v>
      </c>
    </row>
    <row r="71" spans="1:63" s="27" customFormat="1" ht="12">
      <c r="A71" s="64"/>
      <c r="B71" s="63"/>
      <c r="C71" s="126"/>
      <c r="D71" s="125"/>
      <c r="E71" s="125"/>
      <c r="F71" s="125"/>
      <c r="G71" s="125"/>
      <c r="H71" s="125"/>
      <c r="I71" s="125"/>
      <c r="J71" s="125"/>
      <c r="K71" s="125"/>
      <c r="L71" s="125"/>
      <c r="M71" s="125"/>
      <c r="N71" s="125"/>
      <c r="O71" s="125"/>
      <c r="P71" s="125"/>
      <c r="Q71" s="125"/>
      <c r="R71" s="124"/>
      <c r="S71" s="66" t="s">
        <v>502</v>
      </c>
      <c r="T71" s="65"/>
      <c r="U71" s="57"/>
      <c r="V71" s="57"/>
      <c r="W71" s="57"/>
      <c r="X71" s="57"/>
      <c r="Y71" s="57"/>
      <c r="Z71" s="57"/>
      <c r="AA71" s="57"/>
      <c r="AB71" s="57"/>
      <c r="AC71" s="57"/>
      <c r="AD71" s="57"/>
      <c r="AE71" s="57"/>
      <c r="AF71" s="57"/>
      <c r="AG71" s="57"/>
      <c r="AH71" s="57"/>
      <c r="AI71" s="57"/>
      <c r="AJ71" s="57"/>
      <c r="AK71" s="57"/>
      <c r="AL71" s="57"/>
      <c r="AM71" s="57"/>
      <c r="AN71" s="372" t="s">
        <v>59</v>
      </c>
      <c r="AO71" s="57"/>
      <c r="AP71" s="57"/>
      <c r="AQ71" s="57"/>
      <c r="AR71" s="57"/>
      <c r="AS71" s="57"/>
      <c r="AT71" s="57"/>
      <c r="AU71" s="57"/>
      <c r="AV71" s="57"/>
      <c r="AW71" s="57"/>
      <c r="AX71" s="57"/>
      <c r="AY71" s="57"/>
      <c r="AZ71" s="57"/>
      <c r="BA71" s="57"/>
      <c r="BB71" s="57"/>
      <c r="BC71" s="57"/>
      <c r="BD71" s="57"/>
      <c r="BE71" s="57"/>
      <c r="BF71" s="57"/>
      <c r="BG71" s="57"/>
      <c r="BH71" s="57"/>
      <c r="BI71" s="57"/>
      <c r="BJ71" s="57"/>
      <c r="BK71" s="57"/>
    </row>
    <row r="72" spans="1:63" s="27" customFormat="1" ht="12">
      <c r="A72" s="64"/>
      <c r="B72" s="63"/>
      <c r="C72" s="126"/>
      <c r="D72" s="125"/>
      <c r="E72" s="125"/>
      <c r="F72" s="125"/>
      <c r="G72" s="125"/>
      <c r="H72" s="125"/>
      <c r="I72" s="125"/>
      <c r="J72" s="125"/>
      <c r="K72" s="125"/>
      <c r="L72" s="125"/>
      <c r="M72" s="125"/>
      <c r="N72" s="125"/>
      <c r="O72" s="125"/>
      <c r="P72" s="125"/>
      <c r="Q72" s="125"/>
      <c r="R72" s="124"/>
      <c r="S72" s="66" t="s">
        <v>503</v>
      </c>
      <c r="T72" s="65"/>
      <c r="U72" s="57"/>
      <c r="V72" s="57"/>
      <c r="W72" s="57"/>
      <c r="X72" s="57"/>
      <c r="Y72" s="57"/>
      <c r="Z72" s="57"/>
      <c r="AA72" s="57"/>
      <c r="AB72" s="57"/>
      <c r="AC72" s="57"/>
      <c r="AD72" s="57"/>
      <c r="AE72" s="57"/>
      <c r="AF72" s="57"/>
      <c r="AG72" s="57"/>
      <c r="AH72" s="57"/>
      <c r="AI72" s="57"/>
      <c r="AJ72" s="57"/>
      <c r="AK72" s="57"/>
      <c r="AL72" s="57"/>
      <c r="AM72" s="57"/>
      <c r="AN72" s="57"/>
      <c r="AO72" s="57"/>
      <c r="AP72" s="57"/>
      <c r="AQ72" s="57"/>
      <c r="AR72" s="57"/>
      <c r="AS72" s="57"/>
      <c r="AT72" s="57"/>
      <c r="AU72" s="57"/>
      <c r="AV72" s="57"/>
      <c r="AW72" s="57"/>
      <c r="AX72" s="57"/>
      <c r="AY72" s="57"/>
      <c r="AZ72" s="57"/>
      <c r="BA72" s="57"/>
      <c r="BB72" s="57"/>
      <c r="BC72" s="57"/>
      <c r="BD72" s="57"/>
      <c r="BE72" s="57"/>
      <c r="BF72" s="57"/>
      <c r="BG72" s="57"/>
      <c r="BH72" s="57"/>
      <c r="BI72" s="57"/>
      <c r="BJ72" s="57"/>
      <c r="BK72" s="372" t="s">
        <v>59</v>
      </c>
    </row>
    <row r="73" spans="1:63" s="27" customFormat="1" ht="12">
      <c r="A73" s="64"/>
      <c r="B73" s="63"/>
      <c r="C73" s="132"/>
      <c r="D73" s="131"/>
      <c r="E73" s="131"/>
      <c r="F73" s="131"/>
      <c r="G73" s="131"/>
      <c r="H73" s="131"/>
      <c r="I73" s="131"/>
      <c r="J73" s="131"/>
      <c r="K73" s="131"/>
      <c r="L73" s="131"/>
      <c r="M73" s="131"/>
      <c r="N73" s="131"/>
      <c r="O73" s="131"/>
      <c r="P73" s="131"/>
      <c r="Q73" s="131"/>
      <c r="R73" s="130"/>
      <c r="S73" s="66" t="s">
        <v>504</v>
      </c>
      <c r="T73" s="65"/>
      <c r="U73" s="57"/>
      <c r="V73" s="57"/>
      <c r="W73" s="57"/>
      <c r="X73" s="57"/>
      <c r="Y73" s="57"/>
      <c r="Z73" s="57"/>
      <c r="AA73" s="57"/>
      <c r="AB73" s="57"/>
      <c r="AC73" s="57"/>
      <c r="AD73" s="57"/>
      <c r="AE73" s="57"/>
      <c r="AF73" s="57"/>
      <c r="AG73" s="57"/>
      <c r="AH73" s="57"/>
      <c r="AI73" s="57"/>
      <c r="AJ73" s="57"/>
      <c r="AK73" s="57"/>
      <c r="AL73" s="57"/>
      <c r="AM73" s="57"/>
      <c r="AN73" s="57"/>
      <c r="AO73" s="372" t="s">
        <v>59</v>
      </c>
      <c r="AP73" s="57"/>
      <c r="AQ73" s="57"/>
      <c r="AR73" s="57"/>
      <c r="AS73" s="57"/>
      <c r="AT73" s="57"/>
      <c r="AU73" s="57"/>
      <c r="AV73" s="57"/>
      <c r="AW73" s="57"/>
      <c r="AX73" s="57"/>
      <c r="AY73" s="57"/>
      <c r="AZ73" s="57"/>
      <c r="BA73" s="57"/>
      <c r="BB73" s="57"/>
      <c r="BC73" s="57"/>
      <c r="BD73" s="57"/>
      <c r="BE73" s="57"/>
      <c r="BF73" s="57"/>
      <c r="BG73" s="57"/>
      <c r="BH73" s="57"/>
      <c r="BI73" s="57"/>
      <c r="BJ73" s="57"/>
      <c r="BK73" s="57"/>
    </row>
    <row r="74" spans="1:63" s="27" customFormat="1" ht="12">
      <c r="A74" s="64"/>
      <c r="B74" s="63"/>
      <c r="C74" s="129" t="s">
        <v>236</v>
      </c>
      <c r="D74" s="128"/>
      <c r="E74" s="128"/>
      <c r="F74" s="128"/>
      <c r="G74" s="128"/>
      <c r="H74" s="128"/>
      <c r="I74" s="128"/>
      <c r="J74" s="128"/>
      <c r="K74" s="128"/>
      <c r="L74" s="128"/>
      <c r="M74" s="128"/>
      <c r="N74" s="128"/>
      <c r="O74" s="128"/>
      <c r="P74" s="128"/>
      <c r="Q74" s="128"/>
      <c r="R74" s="127"/>
      <c r="S74" s="66" t="s">
        <v>745</v>
      </c>
      <c r="T74" s="65"/>
      <c r="U74" s="57"/>
      <c r="V74" s="57"/>
      <c r="W74" s="57"/>
      <c r="X74" s="57"/>
      <c r="Y74" s="57"/>
      <c r="Z74" s="57"/>
      <c r="AA74" s="57"/>
      <c r="AB74" s="57"/>
      <c r="AC74" s="57"/>
      <c r="AD74" s="57"/>
      <c r="AE74" s="57"/>
      <c r="AF74" s="57"/>
      <c r="AG74" s="57"/>
      <c r="AH74" s="57"/>
      <c r="AI74" s="57"/>
      <c r="AJ74" s="57"/>
      <c r="AK74" s="57"/>
      <c r="AL74" s="57"/>
      <c r="AM74" s="57"/>
      <c r="AN74" s="57"/>
      <c r="AO74" s="57"/>
      <c r="AP74" s="57"/>
      <c r="AQ74" s="57"/>
      <c r="AR74" s="57"/>
      <c r="AS74" s="57"/>
      <c r="AT74" s="57"/>
      <c r="AU74" s="57"/>
      <c r="AV74" s="57"/>
      <c r="AW74" s="57"/>
      <c r="AX74" s="57"/>
      <c r="AY74" s="57"/>
      <c r="AZ74" s="57"/>
      <c r="BA74" s="57"/>
      <c r="BB74" s="57"/>
      <c r="BC74" s="57"/>
      <c r="BD74" s="57"/>
      <c r="BE74" s="57"/>
      <c r="BF74" s="57"/>
      <c r="BG74" s="57"/>
      <c r="BH74" s="57"/>
      <c r="BI74" s="57"/>
      <c r="BJ74" s="57"/>
      <c r="BK74" s="372" t="s">
        <v>59</v>
      </c>
    </row>
    <row r="75" spans="1:63" s="27" customFormat="1" ht="12">
      <c r="A75" s="64"/>
      <c r="B75" s="63"/>
      <c r="C75" s="126"/>
      <c r="D75" s="125"/>
      <c r="E75" s="125"/>
      <c r="F75" s="125"/>
      <c r="G75" s="125"/>
      <c r="H75" s="125"/>
      <c r="I75" s="125"/>
      <c r="J75" s="125"/>
      <c r="K75" s="125"/>
      <c r="L75" s="125"/>
      <c r="M75" s="125"/>
      <c r="N75" s="125"/>
      <c r="O75" s="125"/>
      <c r="P75" s="125"/>
      <c r="Q75" s="125"/>
      <c r="R75" s="124"/>
      <c r="S75" s="66" t="s">
        <v>744</v>
      </c>
      <c r="T75" s="65"/>
      <c r="U75" s="57"/>
      <c r="V75" s="57"/>
      <c r="W75" s="57"/>
      <c r="X75" s="57"/>
      <c r="Y75" s="57"/>
      <c r="Z75" s="57"/>
      <c r="AA75" s="57"/>
      <c r="AB75" s="57"/>
      <c r="AC75" s="57"/>
      <c r="AD75" s="57"/>
      <c r="AE75" s="57"/>
      <c r="AF75" s="57"/>
      <c r="AG75" s="57"/>
      <c r="AH75" s="57"/>
      <c r="AI75" s="57"/>
      <c r="AJ75" s="57"/>
      <c r="AK75" s="57"/>
      <c r="AL75" s="57"/>
      <c r="AM75" s="57"/>
      <c r="AN75" s="57"/>
      <c r="AO75" s="57"/>
      <c r="AP75" s="372" t="s">
        <v>59</v>
      </c>
      <c r="AQ75" s="57"/>
      <c r="AR75" s="57"/>
      <c r="AS75" s="57"/>
      <c r="AT75" s="57"/>
      <c r="AU75" s="57"/>
      <c r="AV75" s="57"/>
      <c r="AW75" s="57"/>
      <c r="AX75" s="57"/>
      <c r="AY75" s="57"/>
      <c r="AZ75" s="57"/>
      <c r="BA75" s="57"/>
      <c r="BB75" s="57"/>
      <c r="BC75" s="57"/>
      <c r="BD75" s="57"/>
      <c r="BE75" s="57"/>
      <c r="BF75" s="57"/>
      <c r="BG75" s="57"/>
      <c r="BH75" s="57"/>
      <c r="BI75" s="57"/>
      <c r="BJ75" s="57"/>
      <c r="BK75" s="57"/>
    </row>
    <row r="76" spans="1:63" s="27" customFormat="1" ht="12">
      <c r="A76" s="64"/>
      <c r="B76" s="63"/>
      <c r="C76" s="126"/>
      <c r="D76" s="125"/>
      <c r="E76" s="125"/>
      <c r="F76" s="125"/>
      <c r="G76" s="125"/>
      <c r="H76" s="125"/>
      <c r="I76" s="125"/>
      <c r="J76" s="125"/>
      <c r="K76" s="125"/>
      <c r="L76" s="125"/>
      <c r="M76" s="125"/>
      <c r="N76" s="125"/>
      <c r="O76" s="125"/>
      <c r="P76" s="125"/>
      <c r="Q76" s="125"/>
      <c r="R76" s="124"/>
      <c r="S76" s="66" t="s">
        <v>501</v>
      </c>
      <c r="T76" s="65"/>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7"/>
      <c r="AZ76" s="57"/>
      <c r="BA76" s="57"/>
      <c r="BB76" s="57"/>
      <c r="BC76" s="57"/>
      <c r="BD76" s="57"/>
      <c r="BE76" s="57"/>
      <c r="BF76" s="57"/>
      <c r="BG76" s="57"/>
      <c r="BH76" s="57"/>
      <c r="BI76" s="57"/>
      <c r="BJ76" s="57"/>
      <c r="BK76" s="372" t="s">
        <v>59</v>
      </c>
    </row>
    <row r="77" spans="1:63" s="27" customFormat="1" ht="12">
      <c r="A77" s="64"/>
      <c r="B77" s="63"/>
      <c r="C77" s="126"/>
      <c r="D77" s="125"/>
      <c r="E77" s="125"/>
      <c r="F77" s="125"/>
      <c r="G77" s="125"/>
      <c r="H77" s="125"/>
      <c r="I77" s="125"/>
      <c r="J77" s="125"/>
      <c r="K77" s="125"/>
      <c r="L77" s="125"/>
      <c r="M77" s="125"/>
      <c r="N77" s="125"/>
      <c r="O77" s="125"/>
      <c r="P77" s="125"/>
      <c r="Q77" s="125"/>
      <c r="R77" s="124"/>
      <c r="S77" s="66" t="s">
        <v>502</v>
      </c>
      <c r="T77" s="65"/>
      <c r="U77" s="57"/>
      <c r="V77" s="57"/>
      <c r="W77" s="57"/>
      <c r="X77" s="57"/>
      <c r="Y77" s="57"/>
      <c r="Z77" s="57"/>
      <c r="AA77" s="57"/>
      <c r="AB77" s="57"/>
      <c r="AC77" s="57"/>
      <c r="AD77" s="57"/>
      <c r="AE77" s="57"/>
      <c r="AF77" s="57"/>
      <c r="AG77" s="57"/>
      <c r="AH77" s="57"/>
      <c r="AI77" s="57"/>
      <c r="AJ77" s="57"/>
      <c r="AK77" s="57"/>
      <c r="AL77" s="57"/>
      <c r="AM77" s="57"/>
      <c r="AN77" s="57"/>
      <c r="AO77" s="57"/>
      <c r="AP77" s="57"/>
      <c r="AQ77" s="372" t="s">
        <v>59</v>
      </c>
      <c r="AR77" s="57"/>
      <c r="AS77" s="57"/>
      <c r="AT77" s="57"/>
      <c r="AU77" s="57"/>
      <c r="AV77" s="57"/>
      <c r="AW77" s="57"/>
      <c r="AX77" s="57"/>
      <c r="AY77" s="57"/>
      <c r="AZ77" s="57"/>
      <c r="BA77" s="57"/>
      <c r="BB77" s="57"/>
      <c r="BC77" s="57"/>
      <c r="BD77" s="57"/>
      <c r="BE77" s="57"/>
      <c r="BF77" s="57"/>
      <c r="BG77" s="57"/>
      <c r="BH77" s="57"/>
      <c r="BI77" s="57"/>
      <c r="BJ77" s="57"/>
      <c r="BK77" s="57"/>
    </row>
    <row r="78" spans="1:63" s="27" customFormat="1" ht="12">
      <c r="A78" s="64"/>
      <c r="B78" s="63"/>
      <c r="C78" s="126"/>
      <c r="D78" s="125"/>
      <c r="E78" s="125"/>
      <c r="F78" s="125"/>
      <c r="G78" s="125"/>
      <c r="H78" s="125"/>
      <c r="I78" s="125"/>
      <c r="J78" s="125"/>
      <c r="K78" s="125"/>
      <c r="L78" s="125"/>
      <c r="M78" s="125"/>
      <c r="N78" s="125"/>
      <c r="O78" s="125"/>
      <c r="P78" s="125"/>
      <c r="Q78" s="125"/>
      <c r="R78" s="124"/>
      <c r="S78" s="66" t="s">
        <v>503</v>
      </c>
      <c r="T78" s="65"/>
      <c r="U78" s="57"/>
      <c r="V78" s="57"/>
      <c r="W78" s="57"/>
      <c r="X78" s="57"/>
      <c r="Y78" s="57"/>
      <c r="Z78" s="57"/>
      <c r="AA78" s="57"/>
      <c r="AB78" s="57"/>
      <c r="AC78" s="57"/>
      <c r="AD78" s="57"/>
      <c r="AE78" s="57"/>
      <c r="AF78" s="57"/>
      <c r="AG78" s="57"/>
      <c r="AH78" s="57"/>
      <c r="AI78" s="57"/>
      <c r="AJ78" s="57"/>
      <c r="AK78" s="57"/>
      <c r="AL78" s="57"/>
      <c r="AM78" s="57"/>
      <c r="AN78" s="57"/>
      <c r="AO78" s="57"/>
      <c r="AP78" s="57"/>
      <c r="AQ78" s="57"/>
      <c r="AR78" s="57"/>
      <c r="AS78" s="57"/>
      <c r="AT78" s="57"/>
      <c r="AU78" s="57"/>
      <c r="AV78" s="57"/>
      <c r="AW78" s="57"/>
      <c r="AX78" s="57"/>
      <c r="AY78" s="57"/>
      <c r="AZ78" s="57"/>
      <c r="BA78" s="57"/>
      <c r="BB78" s="57"/>
      <c r="BC78" s="57"/>
      <c r="BD78" s="57"/>
      <c r="BE78" s="57"/>
      <c r="BF78" s="57"/>
      <c r="BG78" s="57"/>
      <c r="BH78" s="57"/>
      <c r="BI78" s="57"/>
      <c r="BJ78" s="57"/>
      <c r="BK78" s="372" t="s">
        <v>59</v>
      </c>
    </row>
    <row r="79" spans="1:63" s="27" customFormat="1" ht="12">
      <c r="A79" s="64"/>
      <c r="B79" s="63"/>
      <c r="C79" s="132"/>
      <c r="D79" s="131"/>
      <c r="E79" s="131"/>
      <c r="F79" s="131"/>
      <c r="G79" s="131"/>
      <c r="H79" s="131"/>
      <c r="I79" s="131"/>
      <c r="J79" s="131"/>
      <c r="K79" s="131"/>
      <c r="L79" s="131"/>
      <c r="M79" s="131"/>
      <c r="N79" s="131"/>
      <c r="O79" s="131"/>
      <c r="P79" s="131"/>
      <c r="Q79" s="131"/>
      <c r="R79" s="130"/>
      <c r="S79" s="66" t="s">
        <v>504</v>
      </c>
      <c r="T79" s="65"/>
      <c r="U79" s="57"/>
      <c r="V79" s="57"/>
      <c r="W79" s="57"/>
      <c r="X79" s="57"/>
      <c r="Y79" s="57"/>
      <c r="Z79" s="57"/>
      <c r="AA79" s="57"/>
      <c r="AB79" s="57"/>
      <c r="AC79" s="57"/>
      <c r="AD79" s="57"/>
      <c r="AE79" s="57"/>
      <c r="AF79" s="57"/>
      <c r="AG79" s="57"/>
      <c r="AH79" s="57"/>
      <c r="AI79" s="57"/>
      <c r="AJ79" s="57"/>
      <c r="AK79" s="57"/>
      <c r="AL79" s="57"/>
      <c r="AM79" s="57"/>
      <c r="AN79" s="57"/>
      <c r="AO79" s="57"/>
      <c r="AP79" s="57"/>
      <c r="AQ79" s="57"/>
      <c r="AR79" s="372" t="s">
        <v>59</v>
      </c>
      <c r="AS79" s="57"/>
      <c r="AT79" s="57"/>
      <c r="AU79" s="57"/>
      <c r="AV79" s="57"/>
      <c r="AW79" s="57"/>
      <c r="AX79" s="57"/>
      <c r="AY79" s="57"/>
      <c r="AZ79" s="57"/>
      <c r="BA79" s="57"/>
      <c r="BB79" s="57"/>
      <c r="BC79" s="57"/>
      <c r="BD79" s="57"/>
      <c r="BE79" s="57"/>
      <c r="BF79" s="57"/>
      <c r="BG79" s="57"/>
      <c r="BH79" s="57"/>
      <c r="BI79" s="57"/>
      <c r="BJ79" s="57"/>
      <c r="BK79" s="57"/>
    </row>
    <row r="80" spans="1:63" s="27" customFormat="1" ht="12">
      <c r="A80" s="64"/>
      <c r="B80" s="63"/>
      <c r="C80" s="129" t="s">
        <v>235</v>
      </c>
      <c r="D80" s="128"/>
      <c r="E80" s="128"/>
      <c r="F80" s="128"/>
      <c r="G80" s="128"/>
      <c r="H80" s="128"/>
      <c r="I80" s="128"/>
      <c r="J80" s="128"/>
      <c r="K80" s="128"/>
      <c r="L80" s="128"/>
      <c r="M80" s="128"/>
      <c r="N80" s="128"/>
      <c r="O80" s="128"/>
      <c r="P80" s="128"/>
      <c r="Q80" s="128"/>
      <c r="R80" s="127"/>
      <c r="S80" s="66" t="s">
        <v>745</v>
      </c>
      <c r="T80" s="65"/>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7"/>
      <c r="AU80" s="57"/>
      <c r="AV80" s="57"/>
      <c r="AW80" s="57"/>
      <c r="AX80" s="57"/>
      <c r="AY80" s="57"/>
      <c r="AZ80" s="57"/>
      <c r="BA80" s="57"/>
      <c r="BB80" s="57"/>
      <c r="BC80" s="57"/>
      <c r="BD80" s="57"/>
      <c r="BE80" s="57"/>
      <c r="BF80" s="57"/>
      <c r="BG80" s="57"/>
      <c r="BH80" s="57"/>
      <c r="BI80" s="57"/>
      <c r="BJ80" s="57"/>
      <c r="BK80" s="372" t="s">
        <v>59</v>
      </c>
    </row>
    <row r="81" spans="1:63" s="27" customFormat="1" ht="12">
      <c r="A81" s="64"/>
      <c r="B81" s="63"/>
      <c r="C81" s="126"/>
      <c r="D81" s="125"/>
      <c r="E81" s="125"/>
      <c r="F81" s="125"/>
      <c r="G81" s="125"/>
      <c r="H81" s="125"/>
      <c r="I81" s="125"/>
      <c r="J81" s="125"/>
      <c r="K81" s="125"/>
      <c r="L81" s="125"/>
      <c r="M81" s="125"/>
      <c r="N81" s="125"/>
      <c r="O81" s="125"/>
      <c r="P81" s="125"/>
      <c r="Q81" s="125"/>
      <c r="R81" s="124"/>
      <c r="S81" s="66" t="s">
        <v>744</v>
      </c>
      <c r="T81" s="65"/>
      <c r="U81" s="57"/>
      <c r="V81" s="57"/>
      <c r="W81" s="57"/>
      <c r="X81" s="57"/>
      <c r="Y81" s="57"/>
      <c r="Z81" s="57"/>
      <c r="AA81" s="57"/>
      <c r="AB81" s="57"/>
      <c r="AC81" s="57"/>
      <c r="AD81" s="57"/>
      <c r="AE81" s="57"/>
      <c r="AF81" s="57"/>
      <c r="AG81" s="57"/>
      <c r="AH81" s="57"/>
      <c r="AI81" s="57"/>
      <c r="AJ81" s="57"/>
      <c r="AK81" s="57"/>
      <c r="AL81" s="57"/>
      <c r="AM81" s="57"/>
      <c r="AN81" s="57"/>
      <c r="AO81" s="57"/>
      <c r="AP81" s="57"/>
      <c r="AQ81" s="57"/>
      <c r="AR81" s="57"/>
      <c r="AS81" s="372" t="s">
        <v>59</v>
      </c>
      <c r="AT81" s="57"/>
      <c r="AU81" s="57"/>
      <c r="AV81" s="57"/>
      <c r="AW81" s="57"/>
      <c r="AX81" s="57"/>
      <c r="AY81" s="57"/>
      <c r="AZ81" s="57"/>
      <c r="BA81" s="57"/>
      <c r="BB81" s="57"/>
      <c r="BC81" s="57"/>
      <c r="BD81" s="57"/>
      <c r="BE81" s="57"/>
      <c r="BF81" s="57"/>
      <c r="BG81" s="57"/>
      <c r="BH81" s="57"/>
      <c r="BI81" s="57"/>
      <c r="BJ81" s="57"/>
      <c r="BK81" s="57"/>
    </row>
    <row r="82" spans="1:63" s="27" customFormat="1" ht="12">
      <c r="A82" s="64"/>
      <c r="B82" s="63"/>
      <c r="C82" s="126"/>
      <c r="D82" s="125"/>
      <c r="E82" s="125"/>
      <c r="F82" s="125"/>
      <c r="G82" s="125"/>
      <c r="H82" s="125"/>
      <c r="I82" s="125"/>
      <c r="J82" s="125"/>
      <c r="K82" s="125"/>
      <c r="L82" s="125"/>
      <c r="M82" s="125"/>
      <c r="N82" s="125"/>
      <c r="O82" s="125"/>
      <c r="P82" s="125"/>
      <c r="Q82" s="125"/>
      <c r="R82" s="124"/>
      <c r="S82" s="66" t="s">
        <v>501</v>
      </c>
      <c r="T82" s="65"/>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7"/>
      <c r="AT82" s="57"/>
      <c r="AU82" s="57"/>
      <c r="AV82" s="57"/>
      <c r="AW82" s="57"/>
      <c r="AX82" s="57"/>
      <c r="AY82" s="57"/>
      <c r="AZ82" s="57"/>
      <c r="BA82" s="57"/>
      <c r="BB82" s="57"/>
      <c r="BC82" s="57"/>
      <c r="BD82" s="57"/>
      <c r="BE82" s="57"/>
      <c r="BF82" s="57"/>
      <c r="BG82" s="57"/>
      <c r="BH82" s="57"/>
      <c r="BI82" s="57"/>
      <c r="BJ82" s="57"/>
      <c r="BK82" s="372" t="s">
        <v>59</v>
      </c>
    </row>
    <row r="83" spans="1:63" s="27" customFormat="1" ht="12">
      <c r="A83" s="64"/>
      <c r="B83" s="63"/>
      <c r="C83" s="126"/>
      <c r="D83" s="125"/>
      <c r="E83" s="125"/>
      <c r="F83" s="125"/>
      <c r="G83" s="125"/>
      <c r="H83" s="125"/>
      <c r="I83" s="125"/>
      <c r="J83" s="125"/>
      <c r="K83" s="125"/>
      <c r="L83" s="125"/>
      <c r="M83" s="125"/>
      <c r="N83" s="125"/>
      <c r="O83" s="125"/>
      <c r="P83" s="125"/>
      <c r="Q83" s="125"/>
      <c r="R83" s="124"/>
      <c r="S83" s="66" t="s">
        <v>502</v>
      </c>
      <c r="T83" s="65"/>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57"/>
      <c r="AT83" s="372" t="s">
        <v>59</v>
      </c>
      <c r="AU83" s="57"/>
      <c r="AV83" s="57"/>
      <c r="AW83" s="57"/>
      <c r="AX83" s="57"/>
      <c r="AY83" s="57"/>
      <c r="AZ83" s="57"/>
      <c r="BA83" s="57"/>
      <c r="BB83" s="57"/>
      <c r="BC83" s="57"/>
      <c r="BD83" s="57"/>
      <c r="BE83" s="57"/>
      <c r="BF83" s="57"/>
      <c r="BG83" s="57"/>
      <c r="BH83" s="57"/>
      <c r="BI83" s="57"/>
      <c r="BJ83" s="57"/>
      <c r="BK83" s="57"/>
    </row>
    <row r="84" spans="1:63" s="27" customFormat="1" ht="12">
      <c r="A84" s="64"/>
      <c r="B84" s="63"/>
      <c r="C84" s="126"/>
      <c r="D84" s="125"/>
      <c r="E84" s="125"/>
      <c r="F84" s="125"/>
      <c r="G84" s="125"/>
      <c r="H84" s="125"/>
      <c r="I84" s="125"/>
      <c r="J84" s="125"/>
      <c r="K84" s="125"/>
      <c r="L84" s="125"/>
      <c r="M84" s="125"/>
      <c r="N84" s="125"/>
      <c r="O84" s="125"/>
      <c r="P84" s="125"/>
      <c r="Q84" s="125"/>
      <c r="R84" s="124"/>
      <c r="S84" s="66" t="s">
        <v>503</v>
      </c>
      <c r="T84" s="65"/>
      <c r="U84" s="57"/>
      <c r="V84" s="57"/>
      <c r="W84" s="57"/>
      <c r="X84" s="57"/>
      <c r="Y84" s="57"/>
      <c r="Z84" s="57"/>
      <c r="AA84" s="57"/>
      <c r="AB84" s="57"/>
      <c r="AC84" s="57"/>
      <c r="AD84" s="57"/>
      <c r="AE84" s="57"/>
      <c r="AF84" s="57"/>
      <c r="AG84" s="57"/>
      <c r="AH84" s="57"/>
      <c r="AI84" s="57"/>
      <c r="AJ84" s="57"/>
      <c r="AK84" s="57"/>
      <c r="AL84" s="57"/>
      <c r="AM84" s="57"/>
      <c r="AN84" s="57"/>
      <c r="AO84" s="57"/>
      <c r="AP84" s="57"/>
      <c r="AQ84" s="57"/>
      <c r="AR84" s="57"/>
      <c r="AS84" s="57"/>
      <c r="AT84" s="57"/>
      <c r="AU84" s="57"/>
      <c r="AV84" s="57"/>
      <c r="AW84" s="57"/>
      <c r="AX84" s="57"/>
      <c r="AY84" s="57"/>
      <c r="AZ84" s="57"/>
      <c r="BA84" s="57"/>
      <c r="BB84" s="57"/>
      <c r="BC84" s="57"/>
      <c r="BD84" s="57"/>
      <c r="BE84" s="57"/>
      <c r="BF84" s="57"/>
      <c r="BG84" s="57"/>
      <c r="BH84" s="57"/>
      <c r="BI84" s="57"/>
      <c r="BJ84" s="57"/>
      <c r="BK84" s="372" t="s">
        <v>59</v>
      </c>
    </row>
    <row r="85" spans="1:63" s="27" customFormat="1" ht="12">
      <c r="A85" s="64"/>
      <c r="B85" s="63"/>
      <c r="C85" s="132"/>
      <c r="D85" s="131"/>
      <c r="E85" s="131"/>
      <c r="F85" s="131"/>
      <c r="G85" s="131"/>
      <c r="H85" s="131"/>
      <c r="I85" s="131"/>
      <c r="J85" s="131"/>
      <c r="K85" s="131"/>
      <c r="L85" s="131"/>
      <c r="M85" s="131"/>
      <c r="N85" s="131"/>
      <c r="O85" s="131"/>
      <c r="P85" s="131"/>
      <c r="Q85" s="131"/>
      <c r="R85" s="130"/>
      <c r="S85" s="66" t="s">
        <v>504</v>
      </c>
      <c r="T85" s="65"/>
      <c r="U85" s="57"/>
      <c r="V85" s="57"/>
      <c r="W85" s="57"/>
      <c r="X85" s="57"/>
      <c r="Y85" s="57"/>
      <c r="Z85" s="57"/>
      <c r="AA85" s="57"/>
      <c r="AB85" s="57"/>
      <c r="AC85" s="57"/>
      <c r="AD85" s="57"/>
      <c r="AE85" s="57"/>
      <c r="AF85" s="57"/>
      <c r="AG85" s="57"/>
      <c r="AH85" s="57"/>
      <c r="AI85" s="57"/>
      <c r="AJ85" s="57"/>
      <c r="AK85" s="57"/>
      <c r="AL85" s="57"/>
      <c r="AM85" s="57"/>
      <c r="AN85" s="57"/>
      <c r="AO85" s="57"/>
      <c r="AP85" s="57"/>
      <c r="AQ85" s="57"/>
      <c r="AR85" s="57"/>
      <c r="AS85" s="57"/>
      <c r="AT85" s="57"/>
      <c r="AU85" s="372" t="s">
        <v>59</v>
      </c>
      <c r="AV85" s="57"/>
      <c r="AW85" s="57"/>
      <c r="AX85" s="57"/>
      <c r="AY85" s="57"/>
      <c r="AZ85" s="57"/>
      <c r="BA85" s="57"/>
      <c r="BB85" s="57"/>
      <c r="BC85" s="57"/>
      <c r="BD85" s="57"/>
      <c r="BE85" s="57"/>
      <c r="BF85" s="57"/>
      <c r="BG85" s="57"/>
      <c r="BH85" s="57"/>
      <c r="BI85" s="57"/>
      <c r="BJ85" s="57"/>
      <c r="BK85" s="57"/>
    </row>
    <row r="86" spans="1:63" s="27" customFormat="1" ht="12">
      <c r="A86" s="64"/>
      <c r="B86" s="63"/>
      <c r="C86" s="129" t="s">
        <v>234</v>
      </c>
      <c r="D86" s="128"/>
      <c r="E86" s="128"/>
      <c r="F86" s="128"/>
      <c r="G86" s="128"/>
      <c r="H86" s="128"/>
      <c r="I86" s="128"/>
      <c r="J86" s="128"/>
      <c r="K86" s="128"/>
      <c r="L86" s="128"/>
      <c r="M86" s="128"/>
      <c r="N86" s="128"/>
      <c r="O86" s="128"/>
      <c r="P86" s="128"/>
      <c r="Q86" s="128"/>
      <c r="R86" s="127"/>
      <c r="S86" s="66" t="s">
        <v>745</v>
      </c>
      <c r="T86" s="65"/>
      <c r="U86" s="57"/>
      <c r="V86" s="57"/>
      <c r="W86" s="57"/>
      <c r="X86" s="57"/>
      <c r="Y86" s="57"/>
      <c r="Z86" s="57"/>
      <c r="AA86" s="57"/>
      <c r="AB86" s="57"/>
      <c r="AC86" s="57"/>
      <c r="AD86" s="57"/>
      <c r="AE86" s="57"/>
      <c r="AF86" s="57"/>
      <c r="AG86" s="57"/>
      <c r="AH86" s="57"/>
      <c r="AI86" s="57"/>
      <c r="AJ86" s="57"/>
      <c r="AK86" s="57"/>
      <c r="AL86" s="57"/>
      <c r="AM86" s="57"/>
      <c r="AN86" s="57"/>
      <c r="AO86" s="57"/>
      <c r="AP86" s="57"/>
      <c r="AQ86" s="57"/>
      <c r="AR86" s="57"/>
      <c r="AS86" s="57"/>
      <c r="AT86" s="57"/>
      <c r="AU86" s="57"/>
      <c r="AV86" s="57"/>
      <c r="AW86" s="57"/>
      <c r="AX86" s="57"/>
      <c r="AY86" s="57"/>
      <c r="AZ86" s="57"/>
      <c r="BA86" s="57"/>
      <c r="BB86" s="57"/>
      <c r="BC86" s="57"/>
      <c r="BD86" s="57"/>
      <c r="BE86" s="57"/>
      <c r="BF86" s="57"/>
      <c r="BG86" s="57"/>
      <c r="BH86" s="57"/>
      <c r="BI86" s="57"/>
      <c r="BJ86" s="57"/>
      <c r="BK86" s="372" t="s">
        <v>59</v>
      </c>
    </row>
    <row r="87" spans="1:63" s="27" customFormat="1" ht="12">
      <c r="A87" s="64"/>
      <c r="B87" s="63"/>
      <c r="C87" s="126"/>
      <c r="D87" s="125"/>
      <c r="E87" s="125"/>
      <c r="F87" s="125"/>
      <c r="G87" s="125"/>
      <c r="H87" s="125"/>
      <c r="I87" s="125"/>
      <c r="J87" s="125"/>
      <c r="K87" s="125"/>
      <c r="L87" s="125"/>
      <c r="M87" s="125"/>
      <c r="N87" s="125"/>
      <c r="O87" s="125"/>
      <c r="P87" s="125"/>
      <c r="Q87" s="125"/>
      <c r="R87" s="124"/>
      <c r="S87" s="66" t="s">
        <v>744</v>
      </c>
      <c r="T87" s="65"/>
      <c r="U87" s="57"/>
      <c r="V87" s="57"/>
      <c r="W87" s="57"/>
      <c r="X87" s="57"/>
      <c r="Y87" s="57"/>
      <c r="Z87" s="57"/>
      <c r="AA87" s="57"/>
      <c r="AB87" s="57"/>
      <c r="AC87" s="57"/>
      <c r="AD87" s="57"/>
      <c r="AE87" s="57"/>
      <c r="AF87" s="57"/>
      <c r="AG87" s="57"/>
      <c r="AH87" s="57"/>
      <c r="AI87" s="57"/>
      <c r="AJ87" s="57"/>
      <c r="AK87" s="57"/>
      <c r="AL87" s="57"/>
      <c r="AM87" s="57"/>
      <c r="AN87" s="57"/>
      <c r="AO87" s="57"/>
      <c r="AP87" s="57"/>
      <c r="AQ87" s="57"/>
      <c r="AR87" s="57"/>
      <c r="AS87" s="57"/>
      <c r="AT87" s="57"/>
      <c r="AU87" s="57"/>
      <c r="AV87" s="372" t="s">
        <v>59</v>
      </c>
      <c r="AW87" s="57"/>
      <c r="AX87" s="57"/>
      <c r="AY87" s="57"/>
      <c r="AZ87" s="57"/>
      <c r="BA87" s="57"/>
      <c r="BB87" s="57"/>
      <c r="BC87" s="57"/>
      <c r="BD87" s="57"/>
      <c r="BE87" s="57"/>
      <c r="BF87" s="57"/>
      <c r="BG87" s="57"/>
      <c r="BH87" s="57"/>
      <c r="BI87" s="57"/>
      <c r="BJ87" s="57"/>
      <c r="BK87" s="57"/>
    </row>
    <row r="88" spans="1:63" s="27" customFormat="1" ht="12">
      <c r="A88" s="64"/>
      <c r="B88" s="63"/>
      <c r="C88" s="126"/>
      <c r="D88" s="125"/>
      <c r="E88" s="125"/>
      <c r="F88" s="125"/>
      <c r="G88" s="125"/>
      <c r="H88" s="125"/>
      <c r="I88" s="125"/>
      <c r="J88" s="125"/>
      <c r="K88" s="125"/>
      <c r="L88" s="125"/>
      <c r="M88" s="125"/>
      <c r="N88" s="125"/>
      <c r="O88" s="125"/>
      <c r="P88" s="125"/>
      <c r="Q88" s="125"/>
      <c r="R88" s="124"/>
      <c r="S88" s="66" t="s">
        <v>501</v>
      </c>
      <c r="T88" s="65"/>
      <c r="U88" s="57"/>
      <c r="V88" s="57"/>
      <c r="W88" s="57"/>
      <c r="X88" s="57"/>
      <c r="Y88" s="57"/>
      <c r="Z88" s="57"/>
      <c r="AA88" s="57"/>
      <c r="AB88" s="57"/>
      <c r="AC88" s="57"/>
      <c r="AD88" s="57"/>
      <c r="AE88" s="57"/>
      <c r="AF88" s="57"/>
      <c r="AG88" s="57"/>
      <c r="AH88" s="57"/>
      <c r="AI88" s="57"/>
      <c r="AJ88" s="57"/>
      <c r="AK88" s="57"/>
      <c r="AL88" s="57"/>
      <c r="AM88" s="57"/>
      <c r="AN88" s="57"/>
      <c r="AO88" s="57"/>
      <c r="AP88" s="57"/>
      <c r="AQ88" s="57"/>
      <c r="AR88" s="57"/>
      <c r="AS88" s="57"/>
      <c r="AT88" s="57"/>
      <c r="AU88" s="57"/>
      <c r="AV88" s="57"/>
      <c r="AW88" s="57"/>
      <c r="AX88" s="57"/>
      <c r="AY88" s="57"/>
      <c r="AZ88" s="57"/>
      <c r="BA88" s="57"/>
      <c r="BB88" s="57"/>
      <c r="BC88" s="57"/>
      <c r="BD88" s="57"/>
      <c r="BE88" s="57"/>
      <c r="BF88" s="57"/>
      <c r="BG88" s="57"/>
      <c r="BH88" s="57"/>
      <c r="BI88" s="57"/>
      <c r="BJ88" s="57"/>
      <c r="BK88" s="372" t="s">
        <v>59</v>
      </c>
    </row>
    <row r="89" spans="1:63" s="27" customFormat="1" ht="12">
      <c r="A89" s="64"/>
      <c r="B89" s="63"/>
      <c r="C89" s="126"/>
      <c r="D89" s="125"/>
      <c r="E89" s="125"/>
      <c r="F89" s="125"/>
      <c r="G89" s="125"/>
      <c r="H89" s="125"/>
      <c r="I89" s="125"/>
      <c r="J89" s="125"/>
      <c r="K89" s="125"/>
      <c r="L89" s="125"/>
      <c r="M89" s="125"/>
      <c r="N89" s="125"/>
      <c r="O89" s="125"/>
      <c r="P89" s="125"/>
      <c r="Q89" s="125"/>
      <c r="R89" s="124"/>
      <c r="S89" s="66" t="s">
        <v>502</v>
      </c>
      <c r="T89" s="65"/>
      <c r="U89" s="57"/>
      <c r="V89" s="57"/>
      <c r="W89" s="57"/>
      <c r="X89" s="57"/>
      <c r="Y89" s="57"/>
      <c r="Z89" s="57"/>
      <c r="AA89" s="57"/>
      <c r="AB89" s="57"/>
      <c r="AC89" s="57"/>
      <c r="AD89" s="57"/>
      <c r="AE89" s="57"/>
      <c r="AF89" s="57"/>
      <c r="AG89" s="57"/>
      <c r="AH89" s="57"/>
      <c r="AI89" s="57"/>
      <c r="AJ89" s="57"/>
      <c r="AK89" s="57"/>
      <c r="AL89" s="57"/>
      <c r="AM89" s="57"/>
      <c r="AN89" s="57"/>
      <c r="AO89" s="57"/>
      <c r="AP89" s="57"/>
      <c r="AQ89" s="57"/>
      <c r="AR89" s="57"/>
      <c r="AS89" s="57"/>
      <c r="AT89" s="57"/>
      <c r="AU89" s="57"/>
      <c r="AV89" s="57"/>
      <c r="AW89" s="372" t="s">
        <v>59</v>
      </c>
      <c r="AX89" s="57"/>
      <c r="AY89" s="57"/>
      <c r="AZ89" s="57"/>
      <c r="BA89" s="57"/>
      <c r="BB89" s="57"/>
      <c r="BC89" s="57"/>
      <c r="BD89" s="57"/>
      <c r="BE89" s="57"/>
      <c r="BF89" s="57"/>
      <c r="BG89" s="57"/>
      <c r="BH89" s="57"/>
      <c r="BI89" s="57"/>
      <c r="BJ89" s="57"/>
      <c r="BK89" s="57"/>
    </row>
    <row r="90" spans="1:63" s="27" customFormat="1" ht="12">
      <c r="A90" s="64"/>
      <c r="B90" s="63"/>
      <c r="C90" s="126"/>
      <c r="D90" s="125"/>
      <c r="E90" s="125"/>
      <c r="F90" s="125"/>
      <c r="G90" s="125"/>
      <c r="H90" s="125"/>
      <c r="I90" s="125"/>
      <c r="J90" s="125"/>
      <c r="K90" s="125"/>
      <c r="L90" s="125"/>
      <c r="M90" s="125"/>
      <c r="N90" s="125"/>
      <c r="O90" s="125"/>
      <c r="P90" s="125"/>
      <c r="Q90" s="125"/>
      <c r="R90" s="124"/>
      <c r="S90" s="66" t="s">
        <v>503</v>
      </c>
      <c r="T90" s="65"/>
      <c r="U90" s="57"/>
      <c r="V90" s="57"/>
      <c r="W90" s="57"/>
      <c r="X90" s="57"/>
      <c r="Y90" s="57"/>
      <c r="Z90" s="57"/>
      <c r="AA90" s="57"/>
      <c r="AB90" s="57"/>
      <c r="AC90" s="57"/>
      <c r="AD90" s="57"/>
      <c r="AE90" s="57"/>
      <c r="AF90" s="57"/>
      <c r="AG90" s="57"/>
      <c r="AH90" s="57"/>
      <c r="AI90" s="57"/>
      <c r="AJ90" s="57"/>
      <c r="AK90" s="57"/>
      <c r="AL90" s="57"/>
      <c r="AM90" s="57"/>
      <c r="AN90" s="57"/>
      <c r="AO90" s="57"/>
      <c r="AP90" s="57"/>
      <c r="AQ90" s="57"/>
      <c r="AR90" s="57"/>
      <c r="AS90" s="57"/>
      <c r="AT90" s="57"/>
      <c r="AU90" s="57"/>
      <c r="AV90" s="57"/>
      <c r="AW90" s="57"/>
      <c r="AX90" s="57"/>
      <c r="AY90" s="57"/>
      <c r="AZ90" s="57"/>
      <c r="BA90" s="57"/>
      <c r="BB90" s="57"/>
      <c r="BC90" s="57"/>
      <c r="BD90" s="57"/>
      <c r="BE90" s="57"/>
      <c r="BF90" s="57"/>
      <c r="BG90" s="57"/>
      <c r="BH90" s="57"/>
      <c r="BI90" s="57"/>
      <c r="BJ90" s="57"/>
      <c r="BK90" s="372" t="s">
        <v>59</v>
      </c>
    </row>
    <row r="91" spans="1:63" s="27" customFormat="1" ht="12">
      <c r="A91" s="64"/>
      <c r="B91" s="63"/>
      <c r="C91" s="132"/>
      <c r="D91" s="131"/>
      <c r="E91" s="131"/>
      <c r="F91" s="131"/>
      <c r="G91" s="131"/>
      <c r="H91" s="131"/>
      <c r="I91" s="131"/>
      <c r="J91" s="131"/>
      <c r="K91" s="131"/>
      <c r="L91" s="131"/>
      <c r="M91" s="131"/>
      <c r="N91" s="131"/>
      <c r="O91" s="131"/>
      <c r="P91" s="131"/>
      <c r="Q91" s="131"/>
      <c r="R91" s="130"/>
      <c r="S91" s="66" t="s">
        <v>504</v>
      </c>
      <c r="T91" s="65"/>
      <c r="U91" s="57"/>
      <c r="V91" s="57"/>
      <c r="W91" s="57"/>
      <c r="X91" s="57"/>
      <c r="Y91" s="57"/>
      <c r="Z91" s="57"/>
      <c r="AA91" s="57"/>
      <c r="AB91" s="57"/>
      <c r="AC91" s="57"/>
      <c r="AD91" s="57"/>
      <c r="AE91" s="57"/>
      <c r="AF91" s="57"/>
      <c r="AG91" s="57"/>
      <c r="AH91" s="57"/>
      <c r="AI91" s="57"/>
      <c r="AJ91" s="57"/>
      <c r="AK91" s="57"/>
      <c r="AL91" s="57"/>
      <c r="AM91" s="57"/>
      <c r="AN91" s="57"/>
      <c r="AO91" s="57"/>
      <c r="AP91" s="57"/>
      <c r="AQ91" s="57"/>
      <c r="AR91" s="57"/>
      <c r="AS91" s="57"/>
      <c r="AT91" s="57"/>
      <c r="AU91" s="57"/>
      <c r="AV91" s="57"/>
      <c r="AW91" s="57"/>
      <c r="AX91" s="372" t="s">
        <v>59</v>
      </c>
      <c r="AY91" s="57"/>
      <c r="AZ91" s="57"/>
      <c r="BA91" s="57"/>
      <c r="BB91" s="57"/>
      <c r="BC91" s="57"/>
      <c r="BD91" s="57"/>
      <c r="BE91" s="57"/>
      <c r="BF91" s="57"/>
      <c r="BG91" s="57"/>
      <c r="BH91" s="57"/>
      <c r="BI91" s="57"/>
      <c r="BJ91" s="57"/>
      <c r="BK91" s="57"/>
    </row>
    <row r="92" spans="1:63" s="27" customFormat="1" ht="12">
      <c r="A92" s="64"/>
      <c r="B92" s="63"/>
      <c r="C92" s="129" t="s">
        <v>233</v>
      </c>
      <c r="D92" s="128"/>
      <c r="E92" s="128"/>
      <c r="F92" s="128"/>
      <c r="G92" s="128"/>
      <c r="H92" s="128"/>
      <c r="I92" s="128"/>
      <c r="J92" s="128"/>
      <c r="K92" s="128"/>
      <c r="L92" s="128"/>
      <c r="M92" s="128"/>
      <c r="N92" s="128"/>
      <c r="O92" s="128"/>
      <c r="P92" s="128"/>
      <c r="Q92" s="128"/>
      <c r="R92" s="127"/>
      <c r="S92" s="66" t="s">
        <v>745</v>
      </c>
      <c r="T92" s="65"/>
      <c r="U92" s="57"/>
      <c r="V92" s="57"/>
      <c r="W92" s="57"/>
      <c r="X92" s="57"/>
      <c r="Y92" s="57"/>
      <c r="Z92" s="57"/>
      <c r="AA92" s="57"/>
      <c r="AB92" s="57"/>
      <c r="AC92" s="57"/>
      <c r="AD92" s="57"/>
      <c r="AE92" s="57"/>
      <c r="AF92" s="57"/>
      <c r="AG92" s="57"/>
      <c r="AH92" s="57"/>
      <c r="AI92" s="57"/>
      <c r="AJ92" s="57"/>
      <c r="AK92" s="57"/>
      <c r="AL92" s="57"/>
      <c r="AM92" s="57"/>
      <c r="AN92" s="57"/>
      <c r="AO92" s="57"/>
      <c r="AP92" s="57"/>
      <c r="AQ92" s="57"/>
      <c r="AR92" s="57"/>
      <c r="AS92" s="57"/>
      <c r="AT92" s="57"/>
      <c r="AU92" s="57"/>
      <c r="AV92" s="57"/>
      <c r="AW92" s="57"/>
      <c r="AX92" s="57"/>
      <c r="AY92" s="57"/>
      <c r="AZ92" s="57"/>
      <c r="BA92" s="57"/>
      <c r="BB92" s="57"/>
      <c r="BC92" s="57"/>
      <c r="BD92" s="57"/>
      <c r="BE92" s="57"/>
      <c r="BF92" s="57"/>
      <c r="BG92" s="57"/>
      <c r="BH92" s="57"/>
      <c r="BI92" s="57"/>
      <c r="BJ92" s="57"/>
      <c r="BK92" s="372" t="s">
        <v>59</v>
      </c>
    </row>
    <row r="93" spans="1:63" s="27" customFormat="1" ht="12">
      <c r="A93" s="64"/>
      <c r="B93" s="63"/>
      <c r="C93" s="126"/>
      <c r="D93" s="125"/>
      <c r="E93" s="125"/>
      <c r="F93" s="125"/>
      <c r="G93" s="125"/>
      <c r="H93" s="125"/>
      <c r="I93" s="125"/>
      <c r="J93" s="125"/>
      <c r="K93" s="125"/>
      <c r="L93" s="125"/>
      <c r="M93" s="125"/>
      <c r="N93" s="125"/>
      <c r="O93" s="125"/>
      <c r="P93" s="125"/>
      <c r="Q93" s="125"/>
      <c r="R93" s="124"/>
      <c r="S93" s="66" t="s">
        <v>744</v>
      </c>
      <c r="T93" s="65"/>
      <c r="U93" s="57"/>
      <c r="V93" s="57"/>
      <c r="W93" s="57"/>
      <c r="X93" s="57"/>
      <c r="Y93" s="57"/>
      <c r="Z93" s="57"/>
      <c r="AA93" s="57"/>
      <c r="AB93" s="57"/>
      <c r="AC93" s="57"/>
      <c r="AD93" s="57"/>
      <c r="AE93" s="57"/>
      <c r="AF93" s="57"/>
      <c r="AG93" s="57"/>
      <c r="AH93" s="57"/>
      <c r="AI93" s="57"/>
      <c r="AJ93" s="57"/>
      <c r="AK93" s="57"/>
      <c r="AL93" s="57"/>
      <c r="AM93" s="57"/>
      <c r="AN93" s="57"/>
      <c r="AO93" s="57"/>
      <c r="AP93" s="57"/>
      <c r="AQ93" s="57"/>
      <c r="AR93" s="57"/>
      <c r="AS93" s="57"/>
      <c r="AT93" s="57"/>
      <c r="AU93" s="57"/>
      <c r="AV93" s="57"/>
      <c r="AW93" s="57"/>
      <c r="AX93" s="57"/>
      <c r="AY93" s="372" t="s">
        <v>59</v>
      </c>
      <c r="AZ93" s="57"/>
      <c r="BA93" s="57"/>
      <c r="BB93" s="57"/>
      <c r="BC93" s="57"/>
      <c r="BD93" s="57"/>
      <c r="BE93" s="57"/>
      <c r="BF93" s="57"/>
      <c r="BG93" s="57"/>
      <c r="BH93" s="57"/>
      <c r="BI93" s="57"/>
      <c r="BJ93" s="57"/>
      <c r="BK93" s="57"/>
    </row>
    <row r="94" spans="1:63" s="27" customFormat="1" ht="12">
      <c r="A94" s="64"/>
      <c r="B94" s="63"/>
      <c r="C94" s="126"/>
      <c r="D94" s="125"/>
      <c r="E94" s="125"/>
      <c r="F94" s="125"/>
      <c r="G94" s="125"/>
      <c r="H94" s="125"/>
      <c r="I94" s="125"/>
      <c r="J94" s="125"/>
      <c r="K94" s="125"/>
      <c r="L94" s="125"/>
      <c r="M94" s="125"/>
      <c r="N94" s="125"/>
      <c r="O94" s="125"/>
      <c r="P94" s="125"/>
      <c r="Q94" s="125"/>
      <c r="R94" s="124"/>
      <c r="S94" s="66" t="s">
        <v>501</v>
      </c>
      <c r="T94" s="65"/>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c r="AU94" s="57"/>
      <c r="AV94" s="57"/>
      <c r="AW94" s="57"/>
      <c r="AX94" s="57"/>
      <c r="AY94" s="57"/>
      <c r="AZ94" s="57"/>
      <c r="BA94" s="57"/>
      <c r="BB94" s="57"/>
      <c r="BC94" s="57"/>
      <c r="BD94" s="57"/>
      <c r="BE94" s="57"/>
      <c r="BF94" s="57"/>
      <c r="BG94" s="57"/>
      <c r="BH94" s="57"/>
      <c r="BI94" s="57"/>
      <c r="BJ94" s="57"/>
      <c r="BK94" s="372" t="s">
        <v>59</v>
      </c>
    </row>
    <row r="95" spans="1:63" s="27" customFormat="1" ht="12">
      <c r="A95" s="64"/>
      <c r="B95" s="63"/>
      <c r="C95" s="126"/>
      <c r="D95" s="125"/>
      <c r="E95" s="125"/>
      <c r="F95" s="125"/>
      <c r="G95" s="125"/>
      <c r="H95" s="125"/>
      <c r="I95" s="125"/>
      <c r="J95" s="125"/>
      <c r="K95" s="125"/>
      <c r="L95" s="125"/>
      <c r="M95" s="125"/>
      <c r="N95" s="125"/>
      <c r="O95" s="125"/>
      <c r="P95" s="125"/>
      <c r="Q95" s="125"/>
      <c r="R95" s="124"/>
      <c r="S95" s="66" t="s">
        <v>502</v>
      </c>
      <c r="T95" s="65"/>
      <c r="U95" s="57"/>
      <c r="V95" s="57"/>
      <c r="W95" s="57"/>
      <c r="X95" s="57"/>
      <c r="Y95" s="57"/>
      <c r="Z95" s="57"/>
      <c r="AA95" s="57"/>
      <c r="AB95" s="57"/>
      <c r="AC95" s="57"/>
      <c r="AD95" s="57"/>
      <c r="AE95" s="57"/>
      <c r="AF95" s="57"/>
      <c r="AG95" s="57"/>
      <c r="AH95" s="57"/>
      <c r="AI95" s="57"/>
      <c r="AJ95" s="57"/>
      <c r="AK95" s="57"/>
      <c r="AL95" s="57"/>
      <c r="AM95" s="57"/>
      <c r="AN95" s="57"/>
      <c r="AO95" s="57"/>
      <c r="AP95" s="57"/>
      <c r="AQ95" s="57"/>
      <c r="AR95" s="57"/>
      <c r="AS95" s="57"/>
      <c r="AT95" s="57"/>
      <c r="AU95" s="57"/>
      <c r="AV95" s="57"/>
      <c r="AW95" s="57"/>
      <c r="AX95" s="57"/>
      <c r="AY95" s="57"/>
      <c r="AZ95" s="372" t="s">
        <v>59</v>
      </c>
      <c r="BA95" s="57"/>
      <c r="BB95" s="57"/>
      <c r="BC95" s="57"/>
      <c r="BD95" s="57"/>
      <c r="BE95" s="57"/>
      <c r="BF95" s="57"/>
      <c r="BG95" s="57"/>
      <c r="BH95" s="57"/>
      <c r="BI95" s="57"/>
      <c r="BJ95" s="57"/>
      <c r="BK95" s="57"/>
    </row>
    <row r="96" spans="1:63" s="27" customFormat="1" ht="12">
      <c r="A96" s="64"/>
      <c r="B96" s="63"/>
      <c r="C96" s="126"/>
      <c r="D96" s="125"/>
      <c r="E96" s="125"/>
      <c r="F96" s="125"/>
      <c r="G96" s="125"/>
      <c r="H96" s="125"/>
      <c r="I96" s="125"/>
      <c r="J96" s="125"/>
      <c r="K96" s="125"/>
      <c r="L96" s="125"/>
      <c r="M96" s="125"/>
      <c r="N96" s="125"/>
      <c r="O96" s="125"/>
      <c r="P96" s="125"/>
      <c r="Q96" s="125"/>
      <c r="R96" s="124"/>
      <c r="S96" s="66" t="s">
        <v>503</v>
      </c>
      <c r="T96" s="65"/>
      <c r="U96" s="57"/>
      <c r="V96" s="57"/>
      <c r="W96" s="57"/>
      <c r="X96" s="57"/>
      <c r="Y96" s="57"/>
      <c r="Z96" s="57"/>
      <c r="AA96" s="57"/>
      <c r="AB96" s="57"/>
      <c r="AC96" s="57"/>
      <c r="AD96" s="57"/>
      <c r="AE96" s="57"/>
      <c r="AF96" s="57"/>
      <c r="AG96" s="57"/>
      <c r="AH96" s="57"/>
      <c r="AI96" s="57"/>
      <c r="AJ96" s="57"/>
      <c r="AK96" s="57"/>
      <c r="AL96" s="57"/>
      <c r="AM96" s="57"/>
      <c r="AN96" s="57"/>
      <c r="AO96" s="57"/>
      <c r="AP96" s="57"/>
      <c r="AQ96" s="57"/>
      <c r="AR96" s="57"/>
      <c r="AS96" s="57"/>
      <c r="AT96" s="57"/>
      <c r="AU96" s="57"/>
      <c r="AV96" s="57"/>
      <c r="AW96" s="57"/>
      <c r="AX96" s="57"/>
      <c r="AY96" s="57"/>
      <c r="AZ96" s="57"/>
      <c r="BA96" s="57"/>
      <c r="BB96" s="57"/>
      <c r="BC96" s="57"/>
      <c r="BD96" s="57"/>
      <c r="BE96" s="57"/>
      <c r="BF96" s="57"/>
      <c r="BG96" s="57"/>
      <c r="BH96" s="57"/>
      <c r="BI96" s="57"/>
      <c r="BJ96" s="57"/>
      <c r="BK96" s="372" t="s">
        <v>59</v>
      </c>
    </row>
    <row r="97" spans="1:63" s="27" customFormat="1" ht="12">
      <c r="A97" s="64"/>
      <c r="B97" s="63"/>
      <c r="C97" s="132"/>
      <c r="D97" s="131"/>
      <c r="E97" s="131"/>
      <c r="F97" s="131"/>
      <c r="G97" s="131"/>
      <c r="H97" s="131"/>
      <c r="I97" s="131"/>
      <c r="J97" s="131"/>
      <c r="K97" s="131"/>
      <c r="L97" s="131"/>
      <c r="M97" s="131"/>
      <c r="N97" s="131"/>
      <c r="O97" s="131"/>
      <c r="P97" s="131"/>
      <c r="Q97" s="131"/>
      <c r="R97" s="130"/>
      <c r="S97" s="66" t="s">
        <v>504</v>
      </c>
      <c r="T97" s="65"/>
      <c r="U97" s="57"/>
      <c r="V97" s="57"/>
      <c r="W97" s="57"/>
      <c r="X97" s="57"/>
      <c r="Y97" s="57"/>
      <c r="Z97" s="57"/>
      <c r="AA97" s="57"/>
      <c r="AB97" s="57"/>
      <c r="AC97" s="57"/>
      <c r="AD97" s="57"/>
      <c r="AE97" s="57"/>
      <c r="AF97" s="57"/>
      <c r="AG97" s="57"/>
      <c r="AH97" s="57"/>
      <c r="AI97" s="57"/>
      <c r="AJ97" s="57"/>
      <c r="AK97" s="57"/>
      <c r="AL97" s="57"/>
      <c r="AM97" s="57"/>
      <c r="AN97" s="57"/>
      <c r="AO97" s="57"/>
      <c r="AP97" s="57"/>
      <c r="AQ97" s="57"/>
      <c r="AR97" s="57"/>
      <c r="AS97" s="57"/>
      <c r="AT97" s="57"/>
      <c r="AU97" s="57"/>
      <c r="AV97" s="57"/>
      <c r="AW97" s="57"/>
      <c r="AX97" s="57"/>
      <c r="AY97" s="57"/>
      <c r="AZ97" s="57"/>
      <c r="BA97" s="372" t="s">
        <v>59</v>
      </c>
      <c r="BB97" s="57"/>
      <c r="BC97" s="57"/>
      <c r="BD97" s="57"/>
      <c r="BE97" s="57"/>
      <c r="BF97" s="57"/>
      <c r="BG97" s="57"/>
      <c r="BH97" s="57"/>
      <c r="BI97" s="57"/>
      <c r="BJ97" s="57"/>
      <c r="BK97" s="57"/>
    </row>
    <row r="98" spans="1:63" s="27" customFormat="1" ht="12">
      <c r="A98" s="64"/>
      <c r="B98" s="63"/>
      <c r="C98" s="129" t="s">
        <v>232</v>
      </c>
      <c r="D98" s="128"/>
      <c r="E98" s="128"/>
      <c r="F98" s="128"/>
      <c r="G98" s="128"/>
      <c r="H98" s="128"/>
      <c r="I98" s="128"/>
      <c r="J98" s="128"/>
      <c r="K98" s="128"/>
      <c r="L98" s="128"/>
      <c r="M98" s="128"/>
      <c r="N98" s="128"/>
      <c r="O98" s="128"/>
      <c r="P98" s="128"/>
      <c r="Q98" s="128"/>
      <c r="R98" s="127"/>
      <c r="S98" s="66" t="s">
        <v>745</v>
      </c>
      <c r="T98" s="65"/>
      <c r="U98" s="57"/>
      <c r="V98" s="57"/>
      <c r="W98" s="57"/>
      <c r="X98" s="57"/>
      <c r="Y98" s="57"/>
      <c r="Z98" s="57"/>
      <c r="AA98" s="57"/>
      <c r="AB98" s="57"/>
      <c r="AC98" s="57"/>
      <c r="AD98" s="57"/>
      <c r="AE98" s="57"/>
      <c r="AF98" s="57"/>
      <c r="AG98" s="57"/>
      <c r="AH98" s="57"/>
      <c r="AI98" s="57"/>
      <c r="AJ98" s="57"/>
      <c r="AK98" s="57"/>
      <c r="AL98" s="57"/>
      <c r="AM98" s="57"/>
      <c r="AN98" s="57"/>
      <c r="AO98" s="57"/>
      <c r="AP98" s="57"/>
      <c r="AQ98" s="57"/>
      <c r="AR98" s="57"/>
      <c r="AS98" s="57"/>
      <c r="AT98" s="57"/>
      <c r="AU98" s="57"/>
      <c r="AV98" s="57"/>
      <c r="AW98" s="57"/>
      <c r="AX98" s="57"/>
      <c r="AY98" s="57"/>
      <c r="AZ98" s="57"/>
      <c r="BA98" s="57"/>
      <c r="BB98" s="57"/>
      <c r="BC98" s="57"/>
      <c r="BD98" s="57"/>
      <c r="BE98" s="57"/>
      <c r="BF98" s="57"/>
      <c r="BG98" s="57"/>
      <c r="BH98" s="57"/>
      <c r="BI98" s="57"/>
      <c r="BJ98" s="57"/>
      <c r="BK98" s="372" t="s">
        <v>59</v>
      </c>
    </row>
    <row r="99" spans="1:63" s="27" customFormat="1" ht="12">
      <c r="A99" s="64"/>
      <c r="B99" s="63"/>
      <c r="C99" s="126"/>
      <c r="D99" s="125"/>
      <c r="E99" s="125"/>
      <c r="F99" s="125"/>
      <c r="G99" s="125"/>
      <c r="H99" s="125"/>
      <c r="I99" s="125"/>
      <c r="J99" s="125"/>
      <c r="K99" s="125"/>
      <c r="L99" s="125"/>
      <c r="M99" s="125"/>
      <c r="N99" s="125"/>
      <c r="O99" s="125"/>
      <c r="P99" s="125"/>
      <c r="Q99" s="125"/>
      <c r="R99" s="124"/>
      <c r="S99" s="66" t="s">
        <v>744</v>
      </c>
      <c r="T99" s="65"/>
      <c r="U99" s="57"/>
      <c r="V99" s="57"/>
      <c r="W99" s="57"/>
      <c r="X99" s="57"/>
      <c r="Y99" s="57"/>
      <c r="Z99" s="57"/>
      <c r="AA99" s="57"/>
      <c r="AB99" s="57"/>
      <c r="AC99" s="57"/>
      <c r="AD99" s="57"/>
      <c r="AE99" s="57"/>
      <c r="AF99" s="57"/>
      <c r="AG99" s="57"/>
      <c r="AH99" s="57"/>
      <c r="AI99" s="57"/>
      <c r="AJ99" s="57"/>
      <c r="AK99" s="57"/>
      <c r="AL99" s="57"/>
      <c r="AM99" s="57"/>
      <c r="AN99" s="57"/>
      <c r="AO99" s="57"/>
      <c r="AP99" s="57"/>
      <c r="AQ99" s="57"/>
      <c r="AR99" s="57"/>
      <c r="AS99" s="57"/>
      <c r="AT99" s="57"/>
      <c r="AU99" s="57"/>
      <c r="AV99" s="57"/>
      <c r="AW99" s="57"/>
      <c r="AX99" s="57"/>
      <c r="AY99" s="57"/>
      <c r="AZ99" s="57"/>
      <c r="BA99" s="57"/>
      <c r="BB99" s="372" t="s">
        <v>59</v>
      </c>
      <c r="BC99" s="57"/>
      <c r="BD99" s="57"/>
      <c r="BE99" s="57"/>
      <c r="BF99" s="57"/>
      <c r="BG99" s="57"/>
      <c r="BH99" s="57"/>
      <c r="BI99" s="57"/>
      <c r="BJ99" s="57"/>
      <c r="BK99" s="57"/>
    </row>
    <row r="100" spans="1:63" s="27" customFormat="1" ht="12">
      <c r="A100" s="64"/>
      <c r="B100" s="63"/>
      <c r="C100" s="126"/>
      <c r="D100" s="125"/>
      <c r="E100" s="125"/>
      <c r="F100" s="125"/>
      <c r="G100" s="125"/>
      <c r="H100" s="125"/>
      <c r="I100" s="125"/>
      <c r="J100" s="125"/>
      <c r="K100" s="125"/>
      <c r="L100" s="125"/>
      <c r="M100" s="125"/>
      <c r="N100" s="125"/>
      <c r="O100" s="125"/>
      <c r="P100" s="125"/>
      <c r="Q100" s="125"/>
      <c r="R100" s="124"/>
      <c r="S100" s="66" t="s">
        <v>501</v>
      </c>
      <c r="T100" s="65"/>
      <c r="U100" s="57"/>
      <c r="V100" s="57"/>
      <c r="W100" s="57"/>
      <c r="X100" s="57"/>
      <c r="Y100" s="57"/>
      <c r="Z100" s="57"/>
      <c r="AA100" s="57"/>
      <c r="AB100" s="57"/>
      <c r="AC100" s="57"/>
      <c r="AD100" s="57"/>
      <c r="AE100" s="57"/>
      <c r="AF100" s="57"/>
      <c r="AG100" s="57"/>
      <c r="AH100" s="57"/>
      <c r="AI100" s="57"/>
      <c r="AJ100" s="57"/>
      <c r="AK100" s="57"/>
      <c r="AL100" s="57"/>
      <c r="AM100" s="57"/>
      <c r="AN100" s="57"/>
      <c r="AO100" s="57"/>
      <c r="AP100" s="57"/>
      <c r="AQ100" s="57"/>
      <c r="AR100" s="57"/>
      <c r="AS100" s="57"/>
      <c r="AT100" s="57"/>
      <c r="AU100" s="57"/>
      <c r="AV100" s="57"/>
      <c r="AW100" s="57"/>
      <c r="AX100" s="57"/>
      <c r="AY100" s="57"/>
      <c r="AZ100" s="57"/>
      <c r="BA100" s="57"/>
      <c r="BB100" s="57"/>
      <c r="BC100" s="57"/>
      <c r="BD100" s="57"/>
      <c r="BE100" s="57"/>
      <c r="BF100" s="57"/>
      <c r="BG100" s="57"/>
      <c r="BH100" s="57"/>
      <c r="BI100" s="57"/>
      <c r="BJ100" s="57"/>
      <c r="BK100" s="372" t="s">
        <v>59</v>
      </c>
    </row>
    <row r="101" spans="1:63" s="27" customFormat="1" ht="12">
      <c r="A101" s="64"/>
      <c r="B101" s="63"/>
      <c r="C101" s="126"/>
      <c r="D101" s="125"/>
      <c r="E101" s="125"/>
      <c r="F101" s="125"/>
      <c r="G101" s="125"/>
      <c r="H101" s="125"/>
      <c r="I101" s="125"/>
      <c r="J101" s="125"/>
      <c r="K101" s="125"/>
      <c r="L101" s="125"/>
      <c r="M101" s="125"/>
      <c r="N101" s="125"/>
      <c r="O101" s="125"/>
      <c r="P101" s="125"/>
      <c r="Q101" s="125"/>
      <c r="R101" s="124"/>
      <c r="S101" s="66" t="s">
        <v>502</v>
      </c>
      <c r="T101" s="65"/>
      <c r="U101" s="57"/>
      <c r="V101" s="57"/>
      <c r="W101" s="57"/>
      <c r="X101" s="57"/>
      <c r="Y101" s="57"/>
      <c r="Z101" s="57"/>
      <c r="AA101" s="57"/>
      <c r="AB101" s="57"/>
      <c r="AC101" s="57"/>
      <c r="AD101" s="57"/>
      <c r="AE101" s="57"/>
      <c r="AF101" s="57"/>
      <c r="AG101" s="57"/>
      <c r="AH101" s="57"/>
      <c r="AI101" s="57"/>
      <c r="AJ101" s="57"/>
      <c r="AK101" s="57"/>
      <c r="AL101" s="57"/>
      <c r="AM101" s="57"/>
      <c r="AN101" s="57"/>
      <c r="AO101" s="57"/>
      <c r="AP101" s="57"/>
      <c r="AQ101" s="57"/>
      <c r="AR101" s="57"/>
      <c r="AS101" s="57"/>
      <c r="AT101" s="57"/>
      <c r="AU101" s="57"/>
      <c r="AV101" s="57"/>
      <c r="AW101" s="57"/>
      <c r="AX101" s="57"/>
      <c r="AY101" s="57"/>
      <c r="AZ101" s="57"/>
      <c r="BA101" s="57"/>
      <c r="BB101" s="57"/>
      <c r="BC101" s="372" t="s">
        <v>59</v>
      </c>
      <c r="BD101" s="57"/>
      <c r="BE101" s="57"/>
      <c r="BF101" s="57"/>
      <c r="BG101" s="57"/>
      <c r="BH101" s="57"/>
      <c r="BI101" s="57"/>
      <c r="BJ101" s="57"/>
      <c r="BK101" s="57"/>
    </row>
    <row r="102" spans="1:63" s="27" customFormat="1" ht="12">
      <c r="A102" s="64"/>
      <c r="B102" s="63"/>
      <c r="C102" s="126"/>
      <c r="D102" s="125"/>
      <c r="E102" s="125"/>
      <c r="F102" s="125"/>
      <c r="G102" s="125"/>
      <c r="H102" s="125"/>
      <c r="I102" s="125"/>
      <c r="J102" s="125"/>
      <c r="K102" s="125"/>
      <c r="L102" s="125"/>
      <c r="M102" s="125"/>
      <c r="N102" s="125"/>
      <c r="O102" s="125"/>
      <c r="P102" s="125"/>
      <c r="Q102" s="125"/>
      <c r="R102" s="124"/>
      <c r="S102" s="66" t="s">
        <v>503</v>
      </c>
      <c r="T102" s="65"/>
      <c r="U102" s="57"/>
      <c r="V102" s="57"/>
      <c r="W102" s="57"/>
      <c r="X102" s="57"/>
      <c r="Y102" s="57"/>
      <c r="Z102" s="57"/>
      <c r="AA102" s="57"/>
      <c r="AB102" s="57"/>
      <c r="AC102" s="57"/>
      <c r="AD102" s="57"/>
      <c r="AE102" s="57"/>
      <c r="AF102" s="57"/>
      <c r="AG102" s="57"/>
      <c r="AH102" s="57"/>
      <c r="AI102" s="57"/>
      <c r="AJ102" s="57"/>
      <c r="AK102" s="57"/>
      <c r="AL102" s="57"/>
      <c r="AM102" s="57"/>
      <c r="AN102" s="57"/>
      <c r="AO102" s="57"/>
      <c r="AP102" s="57"/>
      <c r="AQ102" s="57"/>
      <c r="AR102" s="57"/>
      <c r="AS102" s="57"/>
      <c r="AT102" s="57"/>
      <c r="AU102" s="57"/>
      <c r="AV102" s="57"/>
      <c r="AW102" s="57"/>
      <c r="AX102" s="57"/>
      <c r="AY102" s="57"/>
      <c r="AZ102" s="57"/>
      <c r="BA102" s="57"/>
      <c r="BB102" s="57"/>
      <c r="BC102" s="57"/>
      <c r="BD102" s="57"/>
      <c r="BE102" s="57"/>
      <c r="BF102" s="57"/>
      <c r="BG102" s="57"/>
      <c r="BH102" s="57"/>
      <c r="BI102" s="57"/>
      <c r="BJ102" s="57"/>
      <c r="BK102" s="372" t="s">
        <v>59</v>
      </c>
    </row>
    <row r="103" spans="1:63" s="27" customFormat="1" ht="12">
      <c r="A103" s="64"/>
      <c r="B103" s="63"/>
      <c r="C103" s="132"/>
      <c r="D103" s="131"/>
      <c r="E103" s="131"/>
      <c r="F103" s="131"/>
      <c r="G103" s="131"/>
      <c r="H103" s="131"/>
      <c r="I103" s="131"/>
      <c r="J103" s="131"/>
      <c r="K103" s="131"/>
      <c r="L103" s="131"/>
      <c r="M103" s="131"/>
      <c r="N103" s="131"/>
      <c r="O103" s="131"/>
      <c r="P103" s="131"/>
      <c r="Q103" s="131"/>
      <c r="R103" s="130"/>
      <c r="S103" s="66" t="s">
        <v>504</v>
      </c>
      <c r="T103" s="65"/>
      <c r="U103" s="57"/>
      <c r="V103" s="57"/>
      <c r="W103" s="57"/>
      <c r="X103" s="57"/>
      <c r="Y103" s="57"/>
      <c r="Z103" s="57"/>
      <c r="AA103" s="57"/>
      <c r="AB103" s="57"/>
      <c r="AC103" s="57"/>
      <c r="AD103" s="57"/>
      <c r="AE103" s="57"/>
      <c r="AF103" s="57"/>
      <c r="AG103" s="57"/>
      <c r="AH103" s="57"/>
      <c r="AI103" s="57"/>
      <c r="AJ103" s="57"/>
      <c r="AK103" s="57"/>
      <c r="AL103" s="57"/>
      <c r="AM103" s="57"/>
      <c r="AN103" s="57"/>
      <c r="AO103" s="57"/>
      <c r="AP103" s="57"/>
      <c r="AQ103" s="57"/>
      <c r="AR103" s="57"/>
      <c r="AS103" s="57"/>
      <c r="AT103" s="57"/>
      <c r="AU103" s="57"/>
      <c r="AV103" s="57"/>
      <c r="AW103" s="57"/>
      <c r="AX103" s="57"/>
      <c r="AY103" s="57"/>
      <c r="AZ103" s="57"/>
      <c r="BA103" s="57"/>
      <c r="BB103" s="57"/>
      <c r="BC103" s="57"/>
      <c r="BD103" s="372" t="s">
        <v>59</v>
      </c>
      <c r="BE103" s="57"/>
      <c r="BF103" s="57"/>
      <c r="BG103" s="57"/>
      <c r="BH103" s="57"/>
      <c r="BI103" s="57"/>
      <c r="BJ103" s="57"/>
      <c r="BK103" s="57"/>
    </row>
    <row r="104" spans="1:63" s="27" customFormat="1" ht="12">
      <c r="A104" s="64"/>
      <c r="B104" s="63"/>
      <c r="C104" s="129" t="s">
        <v>231</v>
      </c>
      <c r="D104" s="128"/>
      <c r="E104" s="128"/>
      <c r="F104" s="128"/>
      <c r="G104" s="128"/>
      <c r="H104" s="128"/>
      <c r="I104" s="128"/>
      <c r="J104" s="128"/>
      <c r="K104" s="128"/>
      <c r="L104" s="128"/>
      <c r="M104" s="128"/>
      <c r="N104" s="128"/>
      <c r="O104" s="128"/>
      <c r="P104" s="128"/>
      <c r="Q104" s="128"/>
      <c r="R104" s="127"/>
      <c r="S104" s="66" t="s">
        <v>745</v>
      </c>
      <c r="T104" s="65"/>
      <c r="U104" s="57"/>
      <c r="V104" s="57"/>
      <c r="W104" s="57"/>
      <c r="X104" s="57"/>
      <c r="Y104" s="57"/>
      <c r="Z104" s="57"/>
      <c r="AA104" s="57"/>
      <c r="AB104" s="57"/>
      <c r="AC104" s="57"/>
      <c r="AD104" s="57"/>
      <c r="AE104" s="57"/>
      <c r="AF104" s="57"/>
      <c r="AG104" s="57"/>
      <c r="AH104" s="57"/>
      <c r="AI104" s="57"/>
      <c r="AJ104" s="57"/>
      <c r="AK104" s="57"/>
      <c r="AL104" s="57"/>
      <c r="AM104" s="57"/>
      <c r="AN104" s="57"/>
      <c r="AO104" s="57"/>
      <c r="AP104" s="57"/>
      <c r="AQ104" s="57"/>
      <c r="AR104" s="57"/>
      <c r="AS104" s="57"/>
      <c r="AT104" s="57"/>
      <c r="AU104" s="57"/>
      <c r="AV104" s="57"/>
      <c r="AW104" s="57"/>
      <c r="AX104" s="57"/>
      <c r="AY104" s="57"/>
      <c r="AZ104" s="57"/>
      <c r="BA104" s="57"/>
      <c r="BB104" s="57"/>
      <c r="BC104" s="57"/>
      <c r="BD104" s="57"/>
      <c r="BE104" s="57"/>
      <c r="BF104" s="57"/>
      <c r="BG104" s="57"/>
      <c r="BH104" s="57"/>
      <c r="BI104" s="57"/>
      <c r="BJ104" s="57"/>
      <c r="BK104" s="372" t="s">
        <v>59</v>
      </c>
    </row>
    <row r="105" spans="1:63" s="27" customFormat="1" ht="12">
      <c r="A105" s="64"/>
      <c r="B105" s="63"/>
      <c r="C105" s="126"/>
      <c r="D105" s="125"/>
      <c r="E105" s="125"/>
      <c r="F105" s="125"/>
      <c r="G105" s="125"/>
      <c r="H105" s="125"/>
      <c r="I105" s="125"/>
      <c r="J105" s="125"/>
      <c r="K105" s="125"/>
      <c r="L105" s="125"/>
      <c r="M105" s="125"/>
      <c r="N105" s="125"/>
      <c r="O105" s="125"/>
      <c r="P105" s="125"/>
      <c r="Q105" s="125"/>
      <c r="R105" s="124"/>
      <c r="S105" s="66" t="s">
        <v>744</v>
      </c>
      <c r="T105" s="65"/>
      <c r="U105" s="57"/>
      <c r="V105" s="57"/>
      <c r="W105" s="57"/>
      <c r="X105" s="57"/>
      <c r="Y105" s="57"/>
      <c r="Z105" s="57"/>
      <c r="AA105" s="57"/>
      <c r="AB105" s="57"/>
      <c r="AC105" s="57"/>
      <c r="AD105" s="57"/>
      <c r="AE105" s="57"/>
      <c r="AF105" s="57"/>
      <c r="AG105" s="57"/>
      <c r="AH105" s="57"/>
      <c r="AI105" s="57"/>
      <c r="AJ105" s="57"/>
      <c r="AK105" s="57"/>
      <c r="AL105" s="57"/>
      <c r="AM105" s="57"/>
      <c r="AN105" s="57"/>
      <c r="AO105" s="57"/>
      <c r="AP105" s="57"/>
      <c r="AQ105" s="57"/>
      <c r="AR105" s="57"/>
      <c r="AS105" s="57"/>
      <c r="AT105" s="57"/>
      <c r="AU105" s="57"/>
      <c r="AV105" s="57"/>
      <c r="AW105" s="57"/>
      <c r="AX105" s="57"/>
      <c r="AY105" s="57"/>
      <c r="AZ105" s="57"/>
      <c r="BA105" s="57"/>
      <c r="BB105" s="57"/>
      <c r="BC105" s="57"/>
      <c r="BD105" s="57"/>
      <c r="BE105" s="372" t="s">
        <v>59</v>
      </c>
      <c r="BF105" s="57"/>
      <c r="BG105" s="57"/>
      <c r="BH105" s="57"/>
      <c r="BI105" s="57"/>
      <c r="BJ105" s="57"/>
      <c r="BK105" s="57"/>
    </row>
    <row r="106" spans="1:63" s="27" customFormat="1" ht="12">
      <c r="A106" s="64"/>
      <c r="B106" s="63"/>
      <c r="C106" s="126"/>
      <c r="D106" s="125"/>
      <c r="E106" s="125"/>
      <c r="F106" s="125"/>
      <c r="G106" s="125"/>
      <c r="H106" s="125"/>
      <c r="I106" s="125"/>
      <c r="J106" s="125"/>
      <c r="K106" s="125"/>
      <c r="L106" s="125"/>
      <c r="M106" s="125"/>
      <c r="N106" s="125"/>
      <c r="O106" s="125"/>
      <c r="P106" s="125"/>
      <c r="Q106" s="125"/>
      <c r="R106" s="124"/>
      <c r="S106" s="66" t="s">
        <v>501</v>
      </c>
      <c r="T106" s="65"/>
      <c r="U106" s="57"/>
      <c r="V106" s="57"/>
      <c r="W106" s="57"/>
      <c r="X106" s="57"/>
      <c r="Y106" s="57"/>
      <c r="Z106" s="57"/>
      <c r="AA106" s="57"/>
      <c r="AB106" s="57"/>
      <c r="AC106" s="57"/>
      <c r="AD106" s="57"/>
      <c r="AE106" s="57"/>
      <c r="AF106" s="57"/>
      <c r="AG106" s="57"/>
      <c r="AH106" s="57"/>
      <c r="AI106" s="57"/>
      <c r="AJ106" s="57"/>
      <c r="AK106" s="57"/>
      <c r="AL106" s="57"/>
      <c r="AM106" s="57"/>
      <c r="AN106" s="57"/>
      <c r="AO106" s="57"/>
      <c r="AP106" s="57"/>
      <c r="AQ106" s="57"/>
      <c r="AR106" s="57"/>
      <c r="AS106" s="57"/>
      <c r="AT106" s="57"/>
      <c r="AU106" s="57"/>
      <c r="AV106" s="57"/>
      <c r="AW106" s="57"/>
      <c r="AX106" s="57"/>
      <c r="AY106" s="57"/>
      <c r="AZ106" s="57"/>
      <c r="BA106" s="57"/>
      <c r="BB106" s="57"/>
      <c r="BC106" s="57"/>
      <c r="BD106" s="57"/>
      <c r="BE106" s="57"/>
      <c r="BF106" s="57"/>
      <c r="BG106" s="57"/>
      <c r="BH106" s="57"/>
      <c r="BI106" s="57"/>
      <c r="BJ106" s="57"/>
      <c r="BK106" s="372" t="s">
        <v>59</v>
      </c>
    </row>
    <row r="107" spans="1:63" s="27" customFormat="1" ht="12">
      <c r="A107" s="64"/>
      <c r="B107" s="63"/>
      <c r="C107" s="126"/>
      <c r="D107" s="125"/>
      <c r="E107" s="125"/>
      <c r="F107" s="125"/>
      <c r="G107" s="125"/>
      <c r="H107" s="125"/>
      <c r="I107" s="125"/>
      <c r="J107" s="125"/>
      <c r="K107" s="125"/>
      <c r="L107" s="125"/>
      <c r="M107" s="125"/>
      <c r="N107" s="125"/>
      <c r="O107" s="125"/>
      <c r="P107" s="125"/>
      <c r="Q107" s="125"/>
      <c r="R107" s="124"/>
      <c r="S107" s="66" t="s">
        <v>502</v>
      </c>
      <c r="T107" s="65"/>
      <c r="U107" s="57"/>
      <c r="V107" s="57"/>
      <c r="W107" s="57"/>
      <c r="X107" s="57"/>
      <c r="Y107" s="57"/>
      <c r="Z107" s="57"/>
      <c r="AA107" s="57"/>
      <c r="AB107" s="57"/>
      <c r="AC107" s="57"/>
      <c r="AD107" s="57"/>
      <c r="AE107" s="57"/>
      <c r="AF107" s="57"/>
      <c r="AG107" s="57"/>
      <c r="AH107" s="57"/>
      <c r="AI107" s="57"/>
      <c r="AJ107" s="57"/>
      <c r="AK107" s="57"/>
      <c r="AL107" s="57"/>
      <c r="AM107" s="57"/>
      <c r="AN107" s="57"/>
      <c r="AO107" s="57"/>
      <c r="AP107" s="57"/>
      <c r="AQ107" s="57"/>
      <c r="AR107" s="57"/>
      <c r="AS107" s="57"/>
      <c r="AT107" s="57"/>
      <c r="AU107" s="57"/>
      <c r="AV107" s="57"/>
      <c r="AW107" s="57"/>
      <c r="AX107" s="57"/>
      <c r="AY107" s="57"/>
      <c r="AZ107" s="57"/>
      <c r="BA107" s="57"/>
      <c r="BB107" s="57"/>
      <c r="BC107" s="57"/>
      <c r="BD107" s="57"/>
      <c r="BE107" s="57"/>
      <c r="BF107" s="372" t="s">
        <v>59</v>
      </c>
      <c r="BG107" s="57"/>
      <c r="BH107" s="57"/>
      <c r="BI107" s="57"/>
      <c r="BJ107" s="57"/>
      <c r="BK107" s="57"/>
    </row>
    <row r="108" spans="1:63" s="27" customFormat="1" ht="12">
      <c r="A108" s="64"/>
      <c r="B108" s="63"/>
      <c r="C108" s="126"/>
      <c r="D108" s="125"/>
      <c r="E108" s="125"/>
      <c r="F108" s="125"/>
      <c r="G108" s="125"/>
      <c r="H108" s="125"/>
      <c r="I108" s="125"/>
      <c r="J108" s="125"/>
      <c r="K108" s="125"/>
      <c r="L108" s="125"/>
      <c r="M108" s="125"/>
      <c r="N108" s="125"/>
      <c r="O108" s="125"/>
      <c r="P108" s="125"/>
      <c r="Q108" s="125"/>
      <c r="R108" s="124"/>
      <c r="S108" s="66" t="s">
        <v>503</v>
      </c>
      <c r="T108" s="65"/>
      <c r="U108" s="57"/>
      <c r="V108" s="57"/>
      <c r="W108" s="57"/>
      <c r="X108" s="57"/>
      <c r="Y108" s="57"/>
      <c r="Z108" s="57"/>
      <c r="AA108" s="57"/>
      <c r="AB108" s="57"/>
      <c r="AC108" s="57"/>
      <c r="AD108" s="57"/>
      <c r="AE108" s="57"/>
      <c r="AF108" s="57"/>
      <c r="AG108" s="57"/>
      <c r="AH108" s="57"/>
      <c r="AI108" s="57"/>
      <c r="AJ108" s="57"/>
      <c r="AK108" s="57"/>
      <c r="AL108" s="57"/>
      <c r="AM108" s="57"/>
      <c r="AN108" s="57"/>
      <c r="AO108" s="57"/>
      <c r="AP108" s="57"/>
      <c r="AQ108" s="57"/>
      <c r="AR108" s="57"/>
      <c r="AS108" s="57"/>
      <c r="AT108" s="57"/>
      <c r="AU108" s="57"/>
      <c r="AV108" s="57"/>
      <c r="AW108" s="57"/>
      <c r="AX108" s="57"/>
      <c r="AY108" s="57"/>
      <c r="AZ108" s="57"/>
      <c r="BA108" s="57"/>
      <c r="BB108" s="57"/>
      <c r="BC108" s="57"/>
      <c r="BD108" s="57"/>
      <c r="BE108" s="57"/>
      <c r="BF108" s="57"/>
      <c r="BG108" s="57"/>
      <c r="BH108" s="57"/>
      <c r="BI108" s="57"/>
      <c r="BJ108" s="57"/>
      <c r="BK108" s="372" t="s">
        <v>59</v>
      </c>
    </row>
    <row r="109" spans="1:63" s="27" customFormat="1" ht="12">
      <c r="A109" s="64"/>
      <c r="B109" s="63"/>
      <c r="C109" s="132"/>
      <c r="D109" s="131"/>
      <c r="E109" s="131"/>
      <c r="F109" s="131"/>
      <c r="G109" s="131"/>
      <c r="H109" s="131"/>
      <c r="I109" s="131"/>
      <c r="J109" s="131"/>
      <c r="K109" s="131"/>
      <c r="L109" s="131"/>
      <c r="M109" s="131"/>
      <c r="N109" s="131"/>
      <c r="O109" s="131"/>
      <c r="P109" s="131"/>
      <c r="Q109" s="131"/>
      <c r="R109" s="130"/>
      <c r="S109" s="66" t="s">
        <v>504</v>
      </c>
      <c r="T109" s="65"/>
      <c r="U109" s="57"/>
      <c r="V109" s="57"/>
      <c r="W109" s="57"/>
      <c r="X109" s="57"/>
      <c r="Y109" s="57"/>
      <c r="Z109" s="57"/>
      <c r="AA109" s="57"/>
      <c r="AB109" s="57"/>
      <c r="AC109" s="57"/>
      <c r="AD109" s="57"/>
      <c r="AE109" s="57"/>
      <c r="AF109" s="57"/>
      <c r="AG109" s="57"/>
      <c r="AH109" s="57"/>
      <c r="AI109" s="57"/>
      <c r="AJ109" s="57"/>
      <c r="AK109" s="57"/>
      <c r="AL109" s="57"/>
      <c r="AM109" s="57"/>
      <c r="AN109" s="57"/>
      <c r="AO109" s="57"/>
      <c r="AP109" s="57"/>
      <c r="AQ109" s="57"/>
      <c r="AR109" s="57"/>
      <c r="AS109" s="57"/>
      <c r="AT109" s="57"/>
      <c r="AU109" s="57"/>
      <c r="AV109" s="57"/>
      <c r="AW109" s="57"/>
      <c r="AX109" s="57"/>
      <c r="AY109" s="57"/>
      <c r="AZ109" s="57"/>
      <c r="BA109" s="57"/>
      <c r="BB109" s="57"/>
      <c r="BC109" s="57"/>
      <c r="BD109" s="57"/>
      <c r="BE109" s="57"/>
      <c r="BF109" s="57"/>
      <c r="BG109" s="372" t="s">
        <v>59</v>
      </c>
      <c r="BH109" s="57"/>
      <c r="BI109" s="57"/>
      <c r="BJ109" s="57"/>
      <c r="BK109" s="57"/>
    </row>
    <row r="110" spans="1:63" s="27" customFormat="1" ht="12">
      <c r="A110" s="64"/>
      <c r="B110" s="63"/>
      <c r="C110" s="129" t="s">
        <v>230</v>
      </c>
      <c r="D110" s="128"/>
      <c r="E110" s="128"/>
      <c r="F110" s="128"/>
      <c r="G110" s="128"/>
      <c r="H110" s="128"/>
      <c r="I110" s="128"/>
      <c r="J110" s="128"/>
      <c r="K110" s="128"/>
      <c r="L110" s="128"/>
      <c r="M110" s="128"/>
      <c r="N110" s="128"/>
      <c r="O110" s="128"/>
      <c r="P110" s="128"/>
      <c r="Q110" s="128"/>
      <c r="R110" s="127"/>
      <c r="S110" s="66" t="s">
        <v>745</v>
      </c>
      <c r="T110" s="65"/>
      <c r="U110" s="57"/>
      <c r="V110" s="57"/>
      <c r="W110" s="57"/>
      <c r="X110" s="57"/>
      <c r="Y110" s="57"/>
      <c r="Z110" s="57"/>
      <c r="AA110" s="57"/>
      <c r="AB110" s="57"/>
      <c r="AC110" s="57"/>
      <c r="AD110" s="57"/>
      <c r="AE110" s="57"/>
      <c r="AF110" s="57"/>
      <c r="AG110" s="57"/>
      <c r="AH110" s="57"/>
      <c r="AI110" s="57"/>
      <c r="AJ110" s="57"/>
      <c r="AK110" s="57"/>
      <c r="AL110" s="57"/>
      <c r="AM110" s="57"/>
      <c r="AN110" s="57"/>
      <c r="AO110" s="57"/>
      <c r="AP110" s="57"/>
      <c r="AQ110" s="57"/>
      <c r="AR110" s="57"/>
      <c r="AS110" s="57"/>
      <c r="AT110" s="57"/>
      <c r="AU110" s="57"/>
      <c r="AV110" s="57"/>
      <c r="AW110" s="57"/>
      <c r="AX110" s="57"/>
      <c r="AY110" s="57"/>
      <c r="AZ110" s="57"/>
      <c r="BA110" s="57"/>
      <c r="BB110" s="57"/>
      <c r="BC110" s="57"/>
      <c r="BD110" s="57"/>
      <c r="BE110" s="57"/>
      <c r="BF110" s="57"/>
      <c r="BG110" s="57"/>
      <c r="BH110" s="57"/>
      <c r="BI110" s="57"/>
      <c r="BJ110" s="57"/>
      <c r="BK110" s="372" t="s">
        <v>59</v>
      </c>
    </row>
    <row r="111" spans="1:63" s="27" customFormat="1" ht="12">
      <c r="A111" s="64"/>
      <c r="B111" s="63"/>
      <c r="C111" s="126"/>
      <c r="D111" s="125"/>
      <c r="E111" s="125"/>
      <c r="F111" s="125"/>
      <c r="G111" s="125"/>
      <c r="H111" s="125"/>
      <c r="I111" s="125"/>
      <c r="J111" s="125"/>
      <c r="K111" s="125"/>
      <c r="L111" s="125"/>
      <c r="M111" s="125"/>
      <c r="N111" s="125"/>
      <c r="O111" s="125"/>
      <c r="P111" s="125"/>
      <c r="Q111" s="125"/>
      <c r="R111" s="124"/>
      <c r="S111" s="66" t="s">
        <v>744</v>
      </c>
      <c r="T111" s="65"/>
      <c r="U111" s="57"/>
      <c r="V111" s="57"/>
      <c r="W111" s="57"/>
      <c r="X111" s="57"/>
      <c r="Y111" s="57"/>
      <c r="Z111" s="57"/>
      <c r="AA111" s="57"/>
      <c r="AB111" s="57"/>
      <c r="AC111" s="57"/>
      <c r="AD111" s="57"/>
      <c r="AE111" s="57"/>
      <c r="AF111" s="57"/>
      <c r="AG111" s="57"/>
      <c r="AH111" s="57"/>
      <c r="AI111" s="57"/>
      <c r="AJ111" s="57"/>
      <c r="AK111" s="57"/>
      <c r="AL111" s="57"/>
      <c r="AM111" s="57"/>
      <c r="AN111" s="57"/>
      <c r="AO111" s="57"/>
      <c r="AP111" s="57"/>
      <c r="AQ111" s="57"/>
      <c r="AR111" s="57"/>
      <c r="AS111" s="57"/>
      <c r="AT111" s="57"/>
      <c r="AU111" s="57"/>
      <c r="AV111" s="57"/>
      <c r="AW111" s="57"/>
      <c r="AX111" s="57"/>
      <c r="AY111" s="57"/>
      <c r="AZ111" s="57"/>
      <c r="BA111" s="57"/>
      <c r="BB111" s="57"/>
      <c r="BC111" s="57"/>
      <c r="BD111" s="57"/>
      <c r="BE111" s="57"/>
      <c r="BF111" s="57"/>
      <c r="BG111" s="57"/>
      <c r="BH111" s="372" t="s">
        <v>59</v>
      </c>
      <c r="BI111" s="57"/>
      <c r="BJ111" s="57"/>
      <c r="BK111" s="57"/>
    </row>
    <row r="112" spans="1:63" s="27" customFormat="1" ht="12">
      <c r="A112" s="64"/>
      <c r="B112" s="63"/>
      <c r="C112" s="126"/>
      <c r="D112" s="125"/>
      <c r="E112" s="125"/>
      <c r="F112" s="125"/>
      <c r="G112" s="125"/>
      <c r="H112" s="125"/>
      <c r="I112" s="125"/>
      <c r="J112" s="125"/>
      <c r="K112" s="125"/>
      <c r="L112" s="125"/>
      <c r="M112" s="125"/>
      <c r="N112" s="125"/>
      <c r="O112" s="125"/>
      <c r="P112" s="125"/>
      <c r="Q112" s="125"/>
      <c r="R112" s="124"/>
      <c r="S112" s="66" t="s">
        <v>501</v>
      </c>
      <c r="T112" s="65"/>
      <c r="U112" s="57"/>
      <c r="V112" s="57"/>
      <c r="W112" s="57"/>
      <c r="X112" s="57"/>
      <c r="Y112" s="57"/>
      <c r="Z112" s="57"/>
      <c r="AA112" s="57"/>
      <c r="AB112" s="57"/>
      <c r="AC112" s="57"/>
      <c r="AD112" s="57"/>
      <c r="AE112" s="57"/>
      <c r="AF112" s="57"/>
      <c r="AG112" s="57"/>
      <c r="AH112" s="57"/>
      <c r="AI112" s="57"/>
      <c r="AJ112" s="57"/>
      <c r="AK112" s="57"/>
      <c r="AL112" s="57"/>
      <c r="AM112" s="57"/>
      <c r="AN112" s="57"/>
      <c r="AO112" s="57"/>
      <c r="AP112" s="57"/>
      <c r="AQ112" s="57"/>
      <c r="AR112" s="57"/>
      <c r="AS112" s="57"/>
      <c r="AT112" s="57"/>
      <c r="AU112" s="57"/>
      <c r="AV112" s="57"/>
      <c r="AW112" s="57"/>
      <c r="AX112" s="57"/>
      <c r="AY112" s="57"/>
      <c r="AZ112" s="57"/>
      <c r="BA112" s="57"/>
      <c r="BB112" s="57"/>
      <c r="BC112" s="57"/>
      <c r="BD112" s="57"/>
      <c r="BE112" s="57"/>
      <c r="BF112" s="57"/>
      <c r="BG112" s="57"/>
      <c r="BH112" s="57"/>
      <c r="BI112" s="57"/>
      <c r="BJ112" s="57"/>
      <c r="BK112" s="372" t="s">
        <v>59</v>
      </c>
    </row>
    <row r="113" spans="1:63" s="27" customFormat="1" ht="12">
      <c r="A113" s="64"/>
      <c r="B113" s="63"/>
      <c r="C113" s="126"/>
      <c r="D113" s="125"/>
      <c r="E113" s="125"/>
      <c r="F113" s="125"/>
      <c r="G113" s="125"/>
      <c r="H113" s="125"/>
      <c r="I113" s="125"/>
      <c r="J113" s="125"/>
      <c r="K113" s="125"/>
      <c r="L113" s="125"/>
      <c r="M113" s="125"/>
      <c r="N113" s="125"/>
      <c r="O113" s="125"/>
      <c r="P113" s="125"/>
      <c r="Q113" s="125"/>
      <c r="R113" s="124"/>
      <c r="S113" s="66" t="s">
        <v>502</v>
      </c>
      <c r="T113" s="65"/>
      <c r="U113" s="57"/>
      <c r="V113" s="57"/>
      <c r="W113" s="57"/>
      <c r="X113" s="57"/>
      <c r="Y113" s="57"/>
      <c r="Z113" s="57"/>
      <c r="AA113" s="57"/>
      <c r="AB113" s="57"/>
      <c r="AC113" s="57"/>
      <c r="AD113" s="57"/>
      <c r="AE113" s="57"/>
      <c r="AF113" s="57"/>
      <c r="AG113" s="57"/>
      <c r="AH113" s="57"/>
      <c r="AI113" s="57"/>
      <c r="AJ113" s="57"/>
      <c r="AK113" s="57"/>
      <c r="AL113" s="57"/>
      <c r="AM113" s="57"/>
      <c r="AN113" s="57"/>
      <c r="AO113" s="57"/>
      <c r="AP113" s="57"/>
      <c r="AQ113" s="57"/>
      <c r="AR113" s="57"/>
      <c r="AS113" s="57"/>
      <c r="AT113" s="57"/>
      <c r="AU113" s="57"/>
      <c r="AV113" s="57"/>
      <c r="AW113" s="57"/>
      <c r="AX113" s="57"/>
      <c r="AY113" s="57"/>
      <c r="AZ113" s="57"/>
      <c r="BA113" s="57"/>
      <c r="BB113" s="57"/>
      <c r="BC113" s="57"/>
      <c r="BD113" s="57"/>
      <c r="BE113" s="57"/>
      <c r="BF113" s="57"/>
      <c r="BG113" s="57"/>
      <c r="BH113" s="57"/>
      <c r="BI113" s="372" t="s">
        <v>59</v>
      </c>
      <c r="BJ113" s="57"/>
      <c r="BK113" s="57"/>
    </row>
    <row r="114" spans="1:63" s="27" customFormat="1" ht="12">
      <c r="A114" s="64"/>
      <c r="B114" s="63"/>
      <c r="C114" s="126"/>
      <c r="D114" s="125"/>
      <c r="E114" s="125"/>
      <c r="F114" s="125"/>
      <c r="G114" s="125"/>
      <c r="H114" s="125"/>
      <c r="I114" s="125"/>
      <c r="J114" s="125"/>
      <c r="K114" s="125"/>
      <c r="L114" s="125"/>
      <c r="M114" s="125"/>
      <c r="N114" s="125"/>
      <c r="O114" s="125"/>
      <c r="P114" s="125"/>
      <c r="Q114" s="125"/>
      <c r="R114" s="124"/>
      <c r="S114" s="66" t="s">
        <v>503</v>
      </c>
      <c r="T114" s="65"/>
      <c r="U114" s="57"/>
      <c r="V114" s="57"/>
      <c r="W114" s="57"/>
      <c r="X114" s="57"/>
      <c r="Y114" s="57"/>
      <c r="Z114" s="57"/>
      <c r="AA114" s="57"/>
      <c r="AB114" s="57"/>
      <c r="AC114" s="57"/>
      <c r="AD114" s="57"/>
      <c r="AE114" s="57"/>
      <c r="AF114" s="57"/>
      <c r="AG114" s="57"/>
      <c r="AH114" s="57"/>
      <c r="AI114" s="57"/>
      <c r="AJ114" s="57"/>
      <c r="AK114" s="57"/>
      <c r="AL114" s="57"/>
      <c r="AM114" s="57"/>
      <c r="AN114" s="57"/>
      <c r="AO114" s="57"/>
      <c r="AP114" s="57"/>
      <c r="AQ114" s="57"/>
      <c r="AR114" s="57"/>
      <c r="AS114" s="57"/>
      <c r="AT114" s="57"/>
      <c r="AU114" s="57"/>
      <c r="AV114" s="57"/>
      <c r="AW114" s="57"/>
      <c r="AX114" s="57"/>
      <c r="AY114" s="57"/>
      <c r="AZ114" s="57"/>
      <c r="BA114" s="57"/>
      <c r="BB114" s="57"/>
      <c r="BC114" s="57"/>
      <c r="BD114" s="57"/>
      <c r="BE114" s="57"/>
      <c r="BF114" s="57"/>
      <c r="BG114" s="57"/>
      <c r="BH114" s="57"/>
      <c r="BI114" s="57"/>
      <c r="BJ114" s="57"/>
      <c r="BK114" s="372" t="s">
        <v>59</v>
      </c>
    </row>
    <row r="115" spans="1:63" s="27" customFormat="1" ht="12">
      <c r="A115" s="64"/>
      <c r="B115" s="63"/>
      <c r="C115" s="132"/>
      <c r="D115" s="131"/>
      <c r="E115" s="131"/>
      <c r="F115" s="131"/>
      <c r="G115" s="131"/>
      <c r="H115" s="131"/>
      <c r="I115" s="131"/>
      <c r="J115" s="131"/>
      <c r="K115" s="131"/>
      <c r="L115" s="131"/>
      <c r="M115" s="131"/>
      <c r="N115" s="131"/>
      <c r="O115" s="131"/>
      <c r="P115" s="131"/>
      <c r="Q115" s="131"/>
      <c r="R115" s="130"/>
      <c r="S115" s="66" t="s">
        <v>504</v>
      </c>
      <c r="T115" s="65"/>
      <c r="U115" s="57"/>
      <c r="V115" s="57"/>
      <c r="W115" s="57"/>
      <c r="X115" s="57"/>
      <c r="Y115" s="57"/>
      <c r="Z115" s="57"/>
      <c r="AA115" s="57"/>
      <c r="AB115" s="57"/>
      <c r="AC115" s="57"/>
      <c r="AD115" s="57"/>
      <c r="AE115" s="57"/>
      <c r="AF115" s="57"/>
      <c r="AG115" s="57"/>
      <c r="AH115" s="57"/>
      <c r="AI115" s="57"/>
      <c r="AJ115" s="57"/>
      <c r="AK115" s="57"/>
      <c r="AL115" s="57"/>
      <c r="AM115" s="57"/>
      <c r="AN115" s="57"/>
      <c r="AO115" s="57"/>
      <c r="AP115" s="57"/>
      <c r="AQ115" s="57"/>
      <c r="AR115" s="57"/>
      <c r="AS115" s="57"/>
      <c r="AT115" s="57"/>
      <c r="AU115" s="57"/>
      <c r="AV115" s="57"/>
      <c r="AW115" s="57"/>
      <c r="AX115" s="57"/>
      <c r="AY115" s="57"/>
      <c r="AZ115" s="57"/>
      <c r="BA115" s="57"/>
      <c r="BB115" s="57"/>
      <c r="BC115" s="57"/>
      <c r="BD115" s="57"/>
      <c r="BE115" s="57"/>
      <c r="BF115" s="57"/>
      <c r="BG115" s="57"/>
      <c r="BH115" s="57"/>
      <c r="BI115" s="57"/>
      <c r="BJ115" s="372" t="s">
        <v>59</v>
      </c>
      <c r="BK115" s="57"/>
    </row>
    <row r="116" spans="1:63" s="27" customFormat="1" ht="12">
      <c r="A116" s="64"/>
      <c r="B116" s="63"/>
      <c r="C116" s="123" t="s">
        <v>229</v>
      </c>
      <c r="D116" s="122"/>
      <c r="E116" s="122"/>
      <c r="F116" s="122"/>
      <c r="G116" s="122"/>
      <c r="H116" s="122"/>
      <c r="I116" s="122"/>
      <c r="J116" s="122"/>
      <c r="K116" s="122"/>
      <c r="L116" s="122"/>
      <c r="M116" s="122"/>
      <c r="N116" s="122"/>
      <c r="O116" s="122"/>
      <c r="P116" s="122"/>
      <c r="Q116" s="122"/>
      <c r="R116" s="121"/>
      <c r="S116" s="104" t="s">
        <v>228</v>
      </c>
      <c r="T116" s="103"/>
      <c r="U116" s="57" t="s">
        <v>23</v>
      </c>
      <c r="V116" s="57" t="s">
        <v>23</v>
      </c>
      <c r="W116" s="57" t="s">
        <v>23</v>
      </c>
      <c r="X116" s="57" t="s">
        <v>23</v>
      </c>
      <c r="Y116" s="57" t="s">
        <v>23</v>
      </c>
      <c r="Z116" s="57" t="s">
        <v>23</v>
      </c>
      <c r="AA116" s="57" t="s">
        <v>23</v>
      </c>
      <c r="AB116" s="57" t="s">
        <v>23</v>
      </c>
      <c r="AC116" s="57" t="s">
        <v>23</v>
      </c>
      <c r="AD116" s="57" t="s">
        <v>23</v>
      </c>
      <c r="AE116" s="57" t="s">
        <v>23</v>
      </c>
      <c r="AF116" s="57" t="s">
        <v>23</v>
      </c>
      <c r="AG116" s="57" t="s">
        <v>23</v>
      </c>
      <c r="AH116" s="57" t="s">
        <v>23</v>
      </c>
      <c r="AI116" s="57" t="s">
        <v>23</v>
      </c>
      <c r="AJ116" s="57" t="s">
        <v>23</v>
      </c>
      <c r="AK116" s="57" t="s">
        <v>23</v>
      </c>
      <c r="AL116" s="57" t="s">
        <v>23</v>
      </c>
      <c r="AM116" s="57" t="s">
        <v>23</v>
      </c>
      <c r="AN116" s="57" t="s">
        <v>23</v>
      </c>
      <c r="AO116" s="57" t="s">
        <v>23</v>
      </c>
      <c r="AP116" s="57" t="s">
        <v>23</v>
      </c>
      <c r="AQ116" s="57" t="s">
        <v>23</v>
      </c>
      <c r="AR116" s="57" t="s">
        <v>23</v>
      </c>
      <c r="AS116" s="57" t="s">
        <v>23</v>
      </c>
      <c r="AT116" s="57" t="s">
        <v>23</v>
      </c>
      <c r="AU116" s="57" t="s">
        <v>23</v>
      </c>
      <c r="AV116" s="57" t="s">
        <v>23</v>
      </c>
      <c r="AW116" s="57" t="s">
        <v>23</v>
      </c>
      <c r="AX116" s="57" t="s">
        <v>23</v>
      </c>
      <c r="AY116" s="57" t="s">
        <v>23</v>
      </c>
      <c r="AZ116" s="57" t="s">
        <v>23</v>
      </c>
      <c r="BA116" s="57" t="s">
        <v>23</v>
      </c>
      <c r="BB116" s="57" t="s">
        <v>23</v>
      </c>
      <c r="BC116" s="57" t="s">
        <v>23</v>
      </c>
      <c r="BD116" s="57" t="s">
        <v>23</v>
      </c>
      <c r="BE116" s="57" t="s">
        <v>23</v>
      </c>
      <c r="BF116" s="57" t="s">
        <v>23</v>
      </c>
      <c r="BG116" s="57" t="s">
        <v>23</v>
      </c>
      <c r="BH116" s="57" t="s">
        <v>23</v>
      </c>
      <c r="BI116" s="57" t="s">
        <v>23</v>
      </c>
      <c r="BJ116" s="57" t="s">
        <v>23</v>
      </c>
      <c r="BK116" s="57" t="s">
        <v>23</v>
      </c>
    </row>
    <row r="117" spans="1:63" s="27" customFormat="1" ht="12">
      <c r="A117" s="64"/>
      <c r="B117" s="63"/>
      <c r="C117" s="123" t="s">
        <v>227</v>
      </c>
      <c r="D117" s="122"/>
      <c r="E117" s="122"/>
      <c r="F117" s="122"/>
      <c r="G117" s="122"/>
      <c r="H117" s="122"/>
      <c r="I117" s="122"/>
      <c r="J117" s="122"/>
      <c r="K117" s="122"/>
      <c r="L117" s="122"/>
      <c r="M117" s="122"/>
      <c r="N117" s="122"/>
      <c r="O117" s="122"/>
      <c r="P117" s="122"/>
      <c r="Q117" s="122"/>
      <c r="R117" s="121"/>
      <c r="S117" s="104" t="s">
        <v>226</v>
      </c>
      <c r="T117" s="103"/>
      <c r="U117" s="57" t="s">
        <v>23</v>
      </c>
      <c r="V117" s="57" t="s">
        <v>23</v>
      </c>
      <c r="W117" s="57" t="s">
        <v>23</v>
      </c>
      <c r="X117" s="57" t="s">
        <v>23</v>
      </c>
      <c r="Y117" s="57" t="s">
        <v>23</v>
      </c>
      <c r="Z117" s="57" t="s">
        <v>23</v>
      </c>
      <c r="AA117" s="57" t="s">
        <v>23</v>
      </c>
      <c r="AB117" s="57" t="s">
        <v>23</v>
      </c>
      <c r="AC117" s="57" t="s">
        <v>23</v>
      </c>
      <c r="AD117" s="57" t="s">
        <v>23</v>
      </c>
      <c r="AE117" s="57" t="s">
        <v>23</v>
      </c>
      <c r="AF117" s="57" t="s">
        <v>23</v>
      </c>
      <c r="AG117" s="57" t="s">
        <v>23</v>
      </c>
      <c r="AH117" s="57" t="s">
        <v>23</v>
      </c>
      <c r="AI117" s="57" t="s">
        <v>23</v>
      </c>
      <c r="AJ117" s="57" t="s">
        <v>23</v>
      </c>
      <c r="AK117" s="57" t="s">
        <v>23</v>
      </c>
      <c r="AL117" s="57" t="s">
        <v>23</v>
      </c>
      <c r="AM117" s="57" t="s">
        <v>23</v>
      </c>
      <c r="AN117" s="57" t="s">
        <v>23</v>
      </c>
      <c r="AO117" s="57" t="s">
        <v>23</v>
      </c>
      <c r="AP117" s="57" t="s">
        <v>23</v>
      </c>
      <c r="AQ117" s="57" t="s">
        <v>23</v>
      </c>
      <c r="AR117" s="57" t="s">
        <v>23</v>
      </c>
      <c r="AS117" s="57" t="s">
        <v>23</v>
      </c>
      <c r="AT117" s="57" t="s">
        <v>23</v>
      </c>
      <c r="AU117" s="57" t="s">
        <v>23</v>
      </c>
      <c r="AV117" s="57" t="s">
        <v>23</v>
      </c>
      <c r="AW117" s="57" t="s">
        <v>23</v>
      </c>
      <c r="AX117" s="57" t="s">
        <v>23</v>
      </c>
      <c r="AY117" s="57" t="s">
        <v>23</v>
      </c>
      <c r="AZ117" s="57" t="s">
        <v>23</v>
      </c>
      <c r="BA117" s="57" t="s">
        <v>23</v>
      </c>
      <c r="BB117" s="57" t="s">
        <v>23</v>
      </c>
      <c r="BC117" s="57" t="s">
        <v>23</v>
      </c>
      <c r="BD117" s="57" t="s">
        <v>23</v>
      </c>
      <c r="BE117" s="57" t="s">
        <v>23</v>
      </c>
      <c r="BF117" s="57" t="s">
        <v>23</v>
      </c>
      <c r="BG117" s="57" t="s">
        <v>23</v>
      </c>
      <c r="BH117" s="57" t="s">
        <v>23</v>
      </c>
      <c r="BI117" s="57" t="s">
        <v>23</v>
      </c>
      <c r="BJ117" s="57" t="s">
        <v>23</v>
      </c>
      <c r="BK117" s="57" t="s">
        <v>23</v>
      </c>
    </row>
    <row r="118" spans="1:63" s="27" customFormat="1" ht="12">
      <c r="A118" s="64"/>
      <c r="B118" s="63"/>
      <c r="C118" s="123" t="s">
        <v>225</v>
      </c>
      <c r="D118" s="122"/>
      <c r="E118" s="122"/>
      <c r="F118" s="122"/>
      <c r="G118" s="122"/>
      <c r="H118" s="122"/>
      <c r="I118" s="122"/>
      <c r="J118" s="122"/>
      <c r="K118" s="122"/>
      <c r="L118" s="122"/>
      <c r="M118" s="122"/>
      <c r="N118" s="122"/>
      <c r="O118" s="122"/>
      <c r="P118" s="122"/>
      <c r="Q118" s="122"/>
      <c r="R118" s="121"/>
      <c r="S118" s="104" t="s">
        <v>57</v>
      </c>
      <c r="T118" s="103"/>
      <c r="U118" s="57" t="s">
        <v>23</v>
      </c>
      <c r="V118" s="57" t="s">
        <v>23</v>
      </c>
      <c r="W118" s="57" t="s">
        <v>23</v>
      </c>
      <c r="X118" s="57" t="s">
        <v>23</v>
      </c>
      <c r="Y118" s="57" t="s">
        <v>23</v>
      </c>
      <c r="Z118" s="57" t="s">
        <v>23</v>
      </c>
      <c r="AA118" s="57" t="s">
        <v>23</v>
      </c>
      <c r="AB118" s="57" t="s">
        <v>23</v>
      </c>
      <c r="AC118" s="57" t="s">
        <v>23</v>
      </c>
      <c r="AD118" s="57" t="s">
        <v>23</v>
      </c>
      <c r="AE118" s="57" t="s">
        <v>23</v>
      </c>
      <c r="AF118" s="57" t="s">
        <v>23</v>
      </c>
      <c r="AG118" s="57" t="s">
        <v>23</v>
      </c>
      <c r="AH118" s="57" t="s">
        <v>23</v>
      </c>
      <c r="AI118" s="57" t="s">
        <v>23</v>
      </c>
      <c r="AJ118" s="57" t="s">
        <v>23</v>
      </c>
      <c r="AK118" s="57" t="s">
        <v>23</v>
      </c>
      <c r="AL118" s="57" t="s">
        <v>23</v>
      </c>
      <c r="AM118" s="57" t="s">
        <v>23</v>
      </c>
      <c r="AN118" s="57" t="s">
        <v>23</v>
      </c>
      <c r="AO118" s="57" t="s">
        <v>23</v>
      </c>
      <c r="AP118" s="57" t="s">
        <v>23</v>
      </c>
      <c r="AQ118" s="57" t="s">
        <v>23</v>
      </c>
      <c r="AR118" s="57" t="s">
        <v>23</v>
      </c>
      <c r="AS118" s="57" t="s">
        <v>23</v>
      </c>
      <c r="AT118" s="57" t="s">
        <v>23</v>
      </c>
      <c r="AU118" s="57" t="s">
        <v>23</v>
      </c>
      <c r="AV118" s="57" t="s">
        <v>23</v>
      </c>
      <c r="AW118" s="57" t="s">
        <v>23</v>
      </c>
      <c r="AX118" s="57" t="s">
        <v>23</v>
      </c>
      <c r="AY118" s="57" t="s">
        <v>23</v>
      </c>
      <c r="AZ118" s="57" t="s">
        <v>23</v>
      </c>
      <c r="BA118" s="57" t="s">
        <v>23</v>
      </c>
      <c r="BB118" s="57" t="s">
        <v>23</v>
      </c>
      <c r="BC118" s="57" t="s">
        <v>23</v>
      </c>
      <c r="BD118" s="57" t="s">
        <v>23</v>
      </c>
      <c r="BE118" s="57" t="s">
        <v>23</v>
      </c>
      <c r="BF118" s="57" t="s">
        <v>23</v>
      </c>
      <c r="BG118" s="57" t="s">
        <v>23</v>
      </c>
      <c r="BH118" s="57" t="s">
        <v>23</v>
      </c>
      <c r="BI118" s="57" t="s">
        <v>23</v>
      </c>
      <c r="BJ118" s="57" t="s">
        <v>23</v>
      </c>
      <c r="BK118" s="57" t="s">
        <v>23</v>
      </c>
    </row>
    <row r="119" spans="1:63" s="27" customFormat="1" ht="15.25" customHeight="1">
      <c r="A119" s="64"/>
      <c r="B119" s="120" t="s">
        <v>224</v>
      </c>
      <c r="C119" s="119"/>
      <c r="D119" s="112"/>
      <c r="E119" s="112"/>
      <c r="F119" s="112"/>
      <c r="G119" s="112"/>
      <c r="H119" s="112"/>
      <c r="I119" s="118"/>
      <c r="J119" s="112"/>
      <c r="K119" s="118"/>
      <c r="L119" s="118"/>
      <c r="M119" s="112"/>
      <c r="N119" s="112"/>
      <c r="O119" s="112"/>
      <c r="P119" s="112"/>
      <c r="Q119" s="112"/>
      <c r="R119" s="118"/>
      <c r="S119" s="112"/>
      <c r="T119" s="117"/>
      <c r="U119" s="110"/>
      <c r="V119" s="110"/>
      <c r="W119" s="109"/>
      <c r="X119" s="109"/>
      <c r="Y119" s="110"/>
      <c r="Z119" s="109"/>
      <c r="AA119" s="109"/>
      <c r="AB119" s="110"/>
      <c r="AC119" s="109"/>
      <c r="AD119" s="109"/>
      <c r="AE119" s="110"/>
      <c r="AF119" s="109"/>
      <c r="AG119" s="109"/>
      <c r="AH119" s="110"/>
      <c r="AI119" s="109"/>
      <c r="AJ119" s="109"/>
      <c r="AK119" s="110"/>
      <c r="AL119" s="109"/>
      <c r="AM119" s="109"/>
      <c r="AN119" s="110"/>
      <c r="AO119" s="109"/>
      <c r="AP119" s="109"/>
      <c r="AQ119" s="110"/>
      <c r="AR119" s="109"/>
      <c r="AS119" s="109"/>
      <c r="AT119" s="110"/>
      <c r="AU119" s="109"/>
      <c r="AV119" s="109"/>
      <c r="AW119" s="110"/>
      <c r="AX119" s="109"/>
      <c r="AY119" s="109"/>
      <c r="AZ119" s="110"/>
      <c r="BA119" s="109"/>
      <c r="BB119" s="109"/>
      <c r="BC119" s="110"/>
      <c r="BD119" s="109"/>
      <c r="BE119" s="109"/>
      <c r="BF119" s="110"/>
      <c r="BG119" s="109"/>
      <c r="BH119" s="109"/>
      <c r="BI119" s="110"/>
      <c r="BJ119" s="109"/>
      <c r="BK119" s="109"/>
    </row>
    <row r="120" spans="1:63" s="27" customFormat="1" ht="15.25" customHeight="1">
      <c r="A120" s="64"/>
      <c r="B120" s="63"/>
      <c r="C120" s="74" t="s">
        <v>223</v>
      </c>
      <c r="D120" s="72"/>
      <c r="E120" s="72"/>
      <c r="F120" s="72"/>
      <c r="G120" s="72"/>
      <c r="H120" s="72"/>
      <c r="I120" s="73"/>
      <c r="J120" s="72"/>
      <c r="K120" s="73"/>
      <c r="L120" s="73"/>
      <c r="M120" s="72"/>
      <c r="N120" s="72"/>
      <c r="O120" s="72"/>
      <c r="P120" s="72"/>
      <c r="Q120" s="72"/>
      <c r="R120" s="73"/>
      <c r="S120" s="72"/>
      <c r="T120" s="71"/>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s="27" customFormat="1" ht="15.25" customHeight="1">
      <c r="A121" s="64"/>
      <c r="B121" s="63"/>
      <c r="C121" s="62" t="s">
        <v>222</v>
      </c>
      <c r="D121" s="61"/>
      <c r="E121" s="61"/>
      <c r="F121" s="61"/>
      <c r="G121" s="61"/>
      <c r="H121" s="61"/>
      <c r="I121" s="60"/>
      <c r="J121" s="61"/>
      <c r="K121" s="60"/>
      <c r="L121" s="60"/>
      <c r="M121" s="61"/>
      <c r="N121" s="61"/>
      <c r="O121" s="61"/>
      <c r="P121" s="61"/>
      <c r="Q121" s="61"/>
      <c r="R121" s="60"/>
      <c r="S121" s="59" t="s">
        <v>221</v>
      </c>
      <c r="T121" s="58"/>
      <c r="U121" s="57" t="s">
        <v>23</v>
      </c>
      <c r="V121" s="57" t="s">
        <v>23</v>
      </c>
      <c r="W121" s="57" t="s">
        <v>23</v>
      </c>
      <c r="X121" s="57" t="s">
        <v>23</v>
      </c>
      <c r="Y121" s="57" t="s">
        <v>23</v>
      </c>
      <c r="Z121" s="57" t="s">
        <v>23</v>
      </c>
      <c r="AA121" s="57" t="s">
        <v>23</v>
      </c>
      <c r="AB121" s="57" t="s">
        <v>23</v>
      </c>
      <c r="AC121" s="57" t="s">
        <v>23</v>
      </c>
      <c r="AD121" s="57" t="s">
        <v>23</v>
      </c>
      <c r="AE121" s="57" t="s">
        <v>23</v>
      </c>
      <c r="AF121" s="57" t="s">
        <v>23</v>
      </c>
      <c r="AG121" s="57" t="s">
        <v>23</v>
      </c>
      <c r="AH121" s="57" t="s">
        <v>23</v>
      </c>
      <c r="AI121" s="57" t="s">
        <v>23</v>
      </c>
      <c r="AJ121" s="57" t="s">
        <v>23</v>
      </c>
      <c r="AK121" s="57" t="s">
        <v>23</v>
      </c>
      <c r="AL121" s="57" t="s">
        <v>23</v>
      </c>
      <c r="AM121" s="57" t="s">
        <v>23</v>
      </c>
      <c r="AN121" s="57" t="s">
        <v>23</v>
      </c>
      <c r="AO121" s="57" t="s">
        <v>23</v>
      </c>
      <c r="AP121" s="57" t="s">
        <v>23</v>
      </c>
      <c r="AQ121" s="57" t="s">
        <v>23</v>
      </c>
      <c r="AR121" s="57" t="s">
        <v>23</v>
      </c>
      <c r="AS121" s="57" t="s">
        <v>23</v>
      </c>
      <c r="AT121" s="57" t="s">
        <v>23</v>
      </c>
      <c r="AU121" s="57" t="s">
        <v>23</v>
      </c>
      <c r="AV121" s="57" t="s">
        <v>23</v>
      </c>
      <c r="AW121" s="57" t="s">
        <v>23</v>
      </c>
      <c r="AX121" s="57" t="s">
        <v>23</v>
      </c>
      <c r="AY121" s="57" t="s">
        <v>23</v>
      </c>
      <c r="AZ121" s="57" t="s">
        <v>23</v>
      </c>
      <c r="BA121" s="57" t="s">
        <v>23</v>
      </c>
      <c r="BB121" s="57" t="s">
        <v>23</v>
      </c>
      <c r="BC121" s="57" t="s">
        <v>23</v>
      </c>
      <c r="BD121" s="57" t="s">
        <v>23</v>
      </c>
      <c r="BE121" s="57" t="s">
        <v>23</v>
      </c>
      <c r="BF121" s="57" t="s">
        <v>23</v>
      </c>
      <c r="BG121" s="57" t="s">
        <v>23</v>
      </c>
      <c r="BH121" s="57" t="s">
        <v>23</v>
      </c>
      <c r="BI121" s="57" t="s">
        <v>23</v>
      </c>
      <c r="BJ121" s="57" t="s">
        <v>23</v>
      </c>
      <c r="BK121" s="57" t="s">
        <v>23</v>
      </c>
    </row>
    <row r="122" spans="1:63" s="27" customFormat="1" ht="15.25" customHeight="1">
      <c r="A122" s="64"/>
      <c r="B122" s="63"/>
      <c r="C122" s="62" t="s">
        <v>220</v>
      </c>
      <c r="D122" s="61"/>
      <c r="E122" s="61"/>
      <c r="F122" s="61"/>
      <c r="G122" s="61"/>
      <c r="H122" s="61"/>
      <c r="I122" s="60"/>
      <c r="J122" s="61"/>
      <c r="K122" s="60"/>
      <c r="L122" s="60"/>
      <c r="M122" s="61"/>
      <c r="N122" s="61"/>
      <c r="O122" s="61"/>
      <c r="P122" s="61"/>
      <c r="Q122" s="61"/>
      <c r="R122" s="60"/>
      <c r="S122" s="59" t="s">
        <v>219</v>
      </c>
      <c r="T122" s="58"/>
      <c r="U122" s="57" t="s">
        <v>23</v>
      </c>
      <c r="V122" s="57" t="s">
        <v>23</v>
      </c>
      <c r="W122" s="57" t="s">
        <v>23</v>
      </c>
      <c r="X122" s="57" t="s">
        <v>23</v>
      </c>
      <c r="Y122" s="57" t="s">
        <v>23</v>
      </c>
      <c r="Z122" s="57" t="s">
        <v>23</v>
      </c>
      <c r="AA122" s="57" t="s">
        <v>23</v>
      </c>
      <c r="AB122" s="57" t="s">
        <v>23</v>
      </c>
      <c r="AC122" s="57" t="s">
        <v>23</v>
      </c>
      <c r="AD122" s="57" t="s">
        <v>23</v>
      </c>
      <c r="AE122" s="57" t="s">
        <v>23</v>
      </c>
      <c r="AF122" s="57" t="s">
        <v>23</v>
      </c>
      <c r="AG122" s="57" t="s">
        <v>23</v>
      </c>
      <c r="AH122" s="57" t="s">
        <v>23</v>
      </c>
      <c r="AI122" s="57" t="s">
        <v>23</v>
      </c>
      <c r="AJ122" s="57" t="s">
        <v>23</v>
      </c>
      <c r="AK122" s="57" t="s">
        <v>23</v>
      </c>
      <c r="AL122" s="57" t="s">
        <v>23</v>
      </c>
      <c r="AM122" s="57" t="s">
        <v>23</v>
      </c>
      <c r="AN122" s="57" t="s">
        <v>23</v>
      </c>
      <c r="AO122" s="57" t="s">
        <v>23</v>
      </c>
      <c r="AP122" s="57" t="s">
        <v>23</v>
      </c>
      <c r="AQ122" s="57" t="s">
        <v>23</v>
      </c>
      <c r="AR122" s="57" t="s">
        <v>23</v>
      </c>
      <c r="AS122" s="57" t="s">
        <v>23</v>
      </c>
      <c r="AT122" s="57" t="s">
        <v>23</v>
      </c>
      <c r="AU122" s="57" t="s">
        <v>23</v>
      </c>
      <c r="AV122" s="57" t="s">
        <v>23</v>
      </c>
      <c r="AW122" s="57" t="s">
        <v>23</v>
      </c>
      <c r="AX122" s="57" t="s">
        <v>23</v>
      </c>
      <c r="AY122" s="57" t="s">
        <v>23</v>
      </c>
      <c r="AZ122" s="57" t="s">
        <v>23</v>
      </c>
      <c r="BA122" s="57" t="s">
        <v>23</v>
      </c>
      <c r="BB122" s="57" t="s">
        <v>23</v>
      </c>
      <c r="BC122" s="57" t="s">
        <v>23</v>
      </c>
      <c r="BD122" s="57" t="s">
        <v>23</v>
      </c>
      <c r="BE122" s="57" t="s">
        <v>23</v>
      </c>
      <c r="BF122" s="57" t="s">
        <v>23</v>
      </c>
      <c r="BG122" s="57" t="s">
        <v>23</v>
      </c>
      <c r="BH122" s="57" t="s">
        <v>23</v>
      </c>
      <c r="BI122" s="57" t="s">
        <v>23</v>
      </c>
      <c r="BJ122" s="57" t="s">
        <v>23</v>
      </c>
      <c r="BK122" s="57" t="s">
        <v>23</v>
      </c>
    </row>
    <row r="123" spans="1:63" s="27" customFormat="1" ht="15.25" customHeight="1">
      <c r="A123" s="64"/>
      <c r="B123" s="63"/>
      <c r="C123" s="62" t="s">
        <v>218</v>
      </c>
      <c r="D123" s="61"/>
      <c r="E123" s="61"/>
      <c r="F123" s="61"/>
      <c r="G123" s="61"/>
      <c r="H123" s="61"/>
      <c r="I123" s="60"/>
      <c r="J123" s="61"/>
      <c r="K123" s="60"/>
      <c r="L123" s="60"/>
      <c r="M123" s="61"/>
      <c r="N123" s="61"/>
      <c r="O123" s="61"/>
      <c r="P123" s="61"/>
      <c r="Q123" s="61"/>
      <c r="R123" s="60"/>
      <c r="S123" s="59" t="s">
        <v>71</v>
      </c>
      <c r="T123" s="58"/>
      <c r="U123" s="57" t="s">
        <v>23</v>
      </c>
      <c r="V123" s="57" t="s">
        <v>23</v>
      </c>
      <c r="W123" s="57" t="s">
        <v>23</v>
      </c>
      <c r="X123" s="57" t="s">
        <v>23</v>
      </c>
      <c r="Y123" s="57" t="s">
        <v>23</v>
      </c>
      <c r="Z123" s="57" t="s">
        <v>23</v>
      </c>
      <c r="AA123" s="57" t="s">
        <v>23</v>
      </c>
      <c r="AB123" s="57" t="s">
        <v>23</v>
      </c>
      <c r="AC123" s="57" t="s">
        <v>23</v>
      </c>
      <c r="AD123" s="57" t="s">
        <v>23</v>
      </c>
      <c r="AE123" s="57" t="s">
        <v>23</v>
      </c>
      <c r="AF123" s="57" t="s">
        <v>23</v>
      </c>
      <c r="AG123" s="57" t="s">
        <v>23</v>
      </c>
      <c r="AH123" s="57" t="s">
        <v>23</v>
      </c>
      <c r="AI123" s="57" t="s">
        <v>23</v>
      </c>
      <c r="AJ123" s="57" t="s">
        <v>23</v>
      </c>
      <c r="AK123" s="57" t="s">
        <v>23</v>
      </c>
      <c r="AL123" s="57" t="s">
        <v>23</v>
      </c>
      <c r="AM123" s="57" t="s">
        <v>23</v>
      </c>
      <c r="AN123" s="57" t="s">
        <v>23</v>
      </c>
      <c r="AO123" s="57" t="s">
        <v>23</v>
      </c>
      <c r="AP123" s="57" t="s">
        <v>23</v>
      </c>
      <c r="AQ123" s="57" t="s">
        <v>23</v>
      </c>
      <c r="AR123" s="57" t="s">
        <v>23</v>
      </c>
      <c r="AS123" s="57" t="s">
        <v>23</v>
      </c>
      <c r="AT123" s="57" t="s">
        <v>23</v>
      </c>
      <c r="AU123" s="57" t="s">
        <v>23</v>
      </c>
      <c r="AV123" s="57" t="s">
        <v>23</v>
      </c>
      <c r="AW123" s="57" t="s">
        <v>23</v>
      </c>
      <c r="AX123" s="57" t="s">
        <v>23</v>
      </c>
      <c r="AY123" s="57" t="s">
        <v>23</v>
      </c>
      <c r="AZ123" s="57" t="s">
        <v>23</v>
      </c>
      <c r="BA123" s="57" t="s">
        <v>23</v>
      </c>
      <c r="BB123" s="57" t="s">
        <v>23</v>
      </c>
      <c r="BC123" s="57" t="s">
        <v>23</v>
      </c>
      <c r="BD123" s="57" t="s">
        <v>23</v>
      </c>
      <c r="BE123" s="57" t="s">
        <v>23</v>
      </c>
      <c r="BF123" s="57" t="s">
        <v>23</v>
      </c>
      <c r="BG123" s="57" t="s">
        <v>23</v>
      </c>
      <c r="BH123" s="57" t="s">
        <v>23</v>
      </c>
      <c r="BI123" s="57" t="s">
        <v>23</v>
      </c>
      <c r="BJ123" s="57" t="s">
        <v>23</v>
      </c>
      <c r="BK123" s="57" t="s">
        <v>23</v>
      </c>
    </row>
    <row r="124" spans="1:63" s="27" customFormat="1" ht="15.25" customHeight="1">
      <c r="A124" s="64"/>
      <c r="B124" s="116" t="s">
        <v>217</v>
      </c>
      <c r="C124" s="115"/>
      <c r="D124" s="114"/>
      <c r="E124" s="114"/>
      <c r="F124" s="114"/>
      <c r="G124" s="114"/>
      <c r="H124" s="114"/>
      <c r="I124" s="113"/>
      <c r="J124" s="112"/>
      <c r="K124" s="113"/>
      <c r="L124" s="113"/>
      <c r="M124" s="114"/>
      <c r="N124" s="114"/>
      <c r="O124" s="114"/>
      <c r="P124" s="114"/>
      <c r="Q124" s="114"/>
      <c r="R124" s="113"/>
      <c r="S124" s="112"/>
      <c r="T124" s="111"/>
      <c r="U124" s="110"/>
      <c r="V124" s="110"/>
      <c r="W124" s="109"/>
      <c r="X124" s="109"/>
      <c r="Y124" s="110"/>
      <c r="Z124" s="109"/>
      <c r="AA124" s="109"/>
      <c r="AB124" s="110"/>
      <c r="AC124" s="109"/>
      <c r="AD124" s="109"/>
      <c r="AE124" s="110"/>
      <c r="AF124" s="109"/>
      <c r="AG124" s="109"/>
      <c r="AH124" s="110"/>
      <c r="AI124" s="109"/>
      <c r="AJ124" s="109"/>
      <c r="AK124" s="110"/>
      <c r="AL124" s="109"/>
      <c r="AM124" s="109"/>
      <c r="AN124" s="110"/>
      <c r="AO124" s="109"/>
      <c r="AP124" s="109"/>
      <c r="AQ124" s="110"/>
      <c r="AR124" s="109"/>
      <c r="AS124" s="109"/>
      <c r="AT124" s="110"/>
      <c r="AU124" s="109"/>
      <c r="AV124" s="109"/>
      <c r="AW124" s="110"/>
      <c r="AX124" s="109"/>
      <c r="AY124" s="109"/>
      <c r="AZ124" s="110"/>
      <c r="BA124" s="109"/>
      <c r="BB124" s="109"/>
      <c r="BC124" s="110"/>
      <c r="BD124" s="109"/>
      <c r="BE124" s="109"/>
      <c r="BF124" s="110"/>
      <c r="BG124" s="109"/>
      <c r="BH124" s="109"/>
      <c r="BI124" s="110"/>
      <c r="BJ124" s="109"/>
      <c r="BK124" s="109"/>
    </row>
    <row r="125" spans="1:63" s="27" customFormat="1" ht="14.25" customHeight="1" thickBot="1">
      <c r="A125" s="64"/>
      <c r="B125" s="108"/>
      <c r="C125" s="107" t="s">
        <v>216</v>
      </c>
      <c r="D125" s="106"/>
      <c r="E125" s="106"/>
      <c r="F125" s="106"/>
      <c r="G125" s="106"/>
      <c r="H125" s="106"/>
      <c r="I125" s="106"/>
      <c r="J125" s="106"/>
      <c r="K125" s="106"/>
      <c r="L125" s="106"/>
      <c r="M125" s="106"/>
      <c r="N125" s="106"/>
      <c r="O125" s="106"/>
      <c r="P125" s="106"/>
      <c r="Q125" s="106"/>
      <c r="R125" s="105"/>
      <c r="S125" s="104"/>
      <c r="T125" s="103"/>
      <c r="U125" s="102" t="s">
        <v>23</v>
      </c>
      <c r="V125" s="102" t="s">
        <v>23</v>
      </c>
      <c r="W125" s="102" t="s">
        <v>23</v>
      </c>
      <c r="X125" s="102" t="s">
        <v>23</v>
      </c>
      <c r="Y125" s="102" t="s">
        <v>23</v>
      </c>
      <c r="Z125" s="102" t="s">
        <v>23</v>
      </c>
      <c r="AA125" s="102" t="s">
        <v>23</v>
      </c>
      <c r="AB125" s="102" t="s">
        <v>23</v>
      </c>
      <c r="AC125" s="102" t="s">
        <v>23</v>
      </c>
      <c r="AD125" s="102" t="s">
        <v>23</v>
      </c>
      <c r="AE125" s="102" t="s">
        <v>23</v>
      </c>
      <c r="AF125" s="102" t="s">
        <v>23</v>
      </c>
      <c r="AG125" s="102" t="s">
        <v>23</v>
      </c>
      <c r="AH125" s="102" t="s">
        <v>23</v>
      </c>
      <c r="AI125" s="102" t="s">
        <v>23</v>
      </c>
      <c r="AJ125" s="102" t="s">
        <v>23</v>
      </c>
      <c r="AK125" s="102" t="s">
        <v>23</v>
      </c>
      <c r="AL125" s="102" t="s">
        <v>23</v>
      </c>
      <c r="AM125" s="102" t="s">
        <v>23</v>
      </c>
      <c r="AN125" s="102" t="s">
        <v>23</v>
      </c>
      <c r="AO125" s="102" t="s">
        <v>23</v>
      </c>
      <c r="AP125" s="102" t="s">
        <v>23</v>
      </c>
      <c r="AQ125" s="102" t="s">
        <v>23</v>
      </c>
      <c r="AR125" s="102" t="s">
        <v>23</v>
      </c>
      <c r="AS125" s="102" t="s">
        <v>23</v>
      </c>
      <c r="AT125" s="102" t="s">
        <v>23</v>
      </c>
      <c r="AU125" s="102" t="s">
        <v>23</v>
      </c>
      <c r="AV125" s="102" t="s">
        <v>23</v>
      </c>
      <c r="AW125" s="102" t="s">
        <v>23</v>
      </c>
      <c r="AX125" s="102" t="s">
        <v>23</v>
      </c>
      <c r="AY125" s="102" t="s">
        <v>23</v>
      </c>
      <c r="AZ125" s="102" t="s">
        <v>23</v>
      </c>
      <c r="BA125" s="102" t="s">
        <v>23</v>
      </c>
      <c r="BB125" s="102" t="s">
        <v>23</v>
      </c>
      <c r="BC125" s="102" t="s">
        <v>23</v>
      </c>
      <c r="BD125" s="102" t="s">
        <v>23</v>
      </c>
      <c r="BE125" s="102" t="s">
        <v>23</v>
      </c>
      <c r="BF125" s="102" t="s">
        <v>23</v>
      </c>
      <c r="BG125" s="102" t="s">
        <v>23</v>
      </c>
      <c r="BH125" s="102" t="s">
        <v>23</v>
      </c>
      <c r="BI125" s="102" t="s">
        <v>23</v>
      </c>
      <c r="BJ125" s="102" t="s">
        <v>23</v>
      </c>
      <c r="BK125" s="102" t="s">
        <v>23</v>
      </c>
    </row>
    <row r="126" spans="1:63" s="27" customFormat="1" ht="15.25" customHeight="1" thickTop="1">
      <c r="A126" s="101" t="s">
        <v>215</v>
      </c>
      <c r="B126" s="100"/>
      <c r="C126" s="99"/>
      <c r="D126" s="99"/>
      <c r="E126" s="99"/>
      <c r="F126" s="99"/>
      <c r="G126" s="99"/>
      <c r="H126" s="99"/>
      <c r="I126" s="99"/>
      <c r="J126" s="99"/>
      <c r="K126" s="99"/>
      <c r="L126" s="99"/>
      <c r="M126" s="99"/>
      <c r="N126" s="99"/>
      <c r="O126" s="392"/>
      <c r="P126" s="392"/>
      <c r="Q126" s="392"/>
      <c r="R126" s="392"/>
      <c r="S126" s="392"/>
      <c r="T126" s="393"/>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c r="BD126" s="98"/>
      <c r="BE126" s="98"/>
      <c r="BF126" s="98"/>
      <c r="BG126" s="98"/>
      <c r="BH126" s="98"/>
      <c r="BI126" s="98"/>
      <c r="BJ126" s="98"/>
      <c r="BK126" s="98"/>
    </row>
    <row r="127" spans="1:63" s="27" customFormat="1" ht="15.25" customHeight="1">
      <c r="A127" s="64"/>
      <c r="B127" s="79"/>
      <c r="C127" s="84" t="s">
        <v>214</v>
      </c>
      <c r="D127" s="83"/>
      <c r="E127" s="83"/>
      <c r="F127" s="83"/>
      <c r="G127" s="83"/>
      <c r="H127" s="83"/>
      <c r="I127" s="83"/>
      <c r="J127" s="83"/>
      <c r="K127" s="83"/>
      <c r="L127" s="83"/>
      <c r="M127" s="83"/>
      <c r="N127" s="83"/>
      <c r="O127" s="83"/>
      <c r="P127" s="83"/>
      <c r="Q127" s="83"/>
      <c r="R127" s="83"/>
      <c r="S127" s="82"/>
      <c r="T127" s="81"/>
      <c r="U127" s="80"/>
      <c r="V127" s="80"/>
      <c r="W127" s="80"/>
      <c r="X127" s="80"/>
      <c r="Y127" s="80"/>
      <c r="Z127" s="80"/>
      <c r="AA127" s="80"/>
      <c r="AB127" s="80"/>
      <c r="AC127" s="80"/>
      <c r="AD127" s="80"/>
      <c r="AE127" s="80"/>
      <c r="AF127" s="80"/>
      <c r="AG127" s="80"/>
      <c r="AH127" s="80"/>
      <c r="AI127" s="80"/>
      <c r="AJ127" s="80"/>
      <c r="AK127" s="80"/>
      <c r="AL127" s="80"/>
      <c r="AM127" s="80"/>
      <c r="AN127" s="80"/>
      <c r="AO127" s="80"/>
      <c r="AP127" s="80"/>
      <c r="AQ127" s="80"/>
      <c r="AR127" s="80"/>
      <c r="AS127" s="80"/>
      <c r="AT127" s="80"/>
      <c r="AU127" s="80"/>
      <c r="AV127" s="80"/>
      <c r="AW127" s="80"/>
      <c r="AX127" s="80"/>
      <c r="AY127" s="80"/>
      <c r="AZ127" s="80"/>
      <c r="BA127" s="80"/>
      <c r="BB127" s="80"/>
      <c r="BC127" s="80"/>
      <c r="BD127" s="80"/>
      <c r="BE127" s="80"/>
      <c r="BF127" s="80"/>
      <c r="BG127" s="80"/>
      <c r="BH127" s="80"/>
      <c r="BI127" s="80"/>
      <c r="BJ127" s="80"/>
      <c r="BK127" s="80"/>
    </row>
    <row r="128" spans="1:63" s="27" customFormat="1" ht="15.25" customHeight="1">
      <c r="A128" s="64"/>
      <c r="B128" s="79"/>
      <c r="C128" s="78" t="s">
        <v>213</v>
      </c>
      <c r="D128" s="77"/>
      <c r="E128" s="77"/>
      <c r="F128" s="77"/>
      <c r="G128" s="77"/>
      <c r="H128" s="77"/>
      <c r="I128" s="77"/>
      <c r="J128" s="77"/>
      <c r="K128" s="77"/>
      <c r="L128" s="77"/>
      <c r="M128" s="77"/>
      <c r="N128" s="77"/>
      <c r="O128" s="77"/>
      <c r="P128" s="77"/>
      <c r="Q128" s="77"/>
      <c r="R128" s="96"/>
      <c r="S128" s="97" t="s">
        <v>51</v>
      </c>
      <c r="T128" s="87"/>
      <c r="U128" s="86" t="s">
        <v>59</v>
      </c>
      <c r="V128" s="86"/>
      <c r="W128" s="86"/>
      <c r="X128" s="86" t="s">
        <v>59</v>
      </c>
      <c r="Y128" s="86"/>
      <c r="Z128" s="86"/>
      <c r="AA128" s="86" t="s">
        <v>59</v>
      </c>
      <c r="AB128" s="86"/>
      <c r="AC128" s="86"/>
      <c r="AD128" s="86" t="s">
        <v>59</v>
      </c>
      <c r="AE128" s="86"/>
      <c r="AF128" s="86"/>
      <c r="AG128" s="86" t="s">
        <v>59</v>
      </c>
      <c r="AH128" s="86"/>
      <c r="AI128" s="86"/>
      <c r="AJ128" s="86" t="s">
        <v>59</v>
      </c>
      <c r="AK128" s="86"/>
      <c r="AL128" s="86"/>
      <c r="AM128" s="86" t="s">
        <v>59</v>
      </c>
      <c r="AN128" s="86"/>
      <c r="AO128" s="86"/>
      <c r="AP128" s="86" t="s">
        <v>59</v>
      </c>
      <c r="AQ128" s="86"/>
      <c r="AR128" s="86"/>
      <c r="AS128" s="86" t="s">
        <v>59</v>
      </c>
      <c r="AT128" s="86"/>
      <c r="AU128" s="86"/>
      <c r="AV128" s="86" t="s">
        <v>59</v>
      </c>
      <c r="AW128" s="86"/>
      <c r="AX128" s="86"/>
      <c r="AY128" s="86" t="s">
        <v>59</v>
      </c>
      <c r="AZ128" s="86"/>
      <c r="BA128" s="86"/>
      <c r="BB128" s="86" t="s">
        <v>59</v>
      </c>
      <c r="BC128" s="86"/>
      <c r="BD128" s="86"/>
      <c r="BE128" s="86" t="s">
        <v>59</v>
      </c>
      <c r="BF128" s="86"/>
      <c r="BG128" s="86"/>
      <c r="BH128" s="86" t="s">
        <v>59</v>
      </c>
      <c r="BI128" s="86"/>
      <c r="BJ128" s="86"/>
      <c r="BK128" s="86" t="s">
        <v>59</v>
      </c>
    </row>
    <row r="129" spans="1:63" s="27" customFormat="1" ht="15.25" customHeight="1">
      <c r="A129" s="64"/>
      <c r="B129" s="79"/>
      <c r="C129" s="95"/>
      <c r="D129" s="94"/>
      <c r="E129" s="94"/>
      <c r="F129" s="94"/>
      <c r="G129" s="94"/>
      <c r="H129" s="94"/>
      <c r="I129" s="94"/>
      <c r="J129" s="94"/>
      <c r="K129" s="94"/>
      <c r="L129" s="94"/>
      <c r="M129" s="94"/>
      <c r="N129" s="94"/>
      <c r="O129" s="94"/>
      <c r="P129" s="94"/>
      <c r="Q129" s="94"/>
      <c r="R129" s="93"/>
      <c r="S129" s="92" t="s">
        <v>79</v>
      </c>
      <c r="T129" s="87"/>
      <c r="U129" s="86"/>
      <c r="V129" s="86" t="s">
        <v>59</v>
      </c>
      <c r="W129" s="86" t="s">
        <v>59</v>
      </c>
      <c r="X129" s="86"/>
      <c r="Y129" s="86" t="s">
        <v>59</v>
      </c>
      <c r="Z129" s="86" t="s">
        <v>59</v>
      </c>
      <c r="AA129" s="86"/>
      <c r="AB129" s="86" t="s">
        <v>59</v>
      </c>
      <c r="AC129" s="86" t="s">
        <v>59</v>
      </c>
      <c r="AD129" s="86"/>
      <c r="AE129" s="86" t="s">
        <v>59</v>
      </c>
      <c r="AF129" s="86" t="s">
        <v>59</v>
      </c>
      <c r="AG129" s="86"/>
      <c r="AH129" s="86" t="s">
        <v>59</v>
      </c>
      <c r="AI129" s="86" t="s">
        <v>59</v>
      </c>
      <c r="AJ129" s="86"/>
      <c r="AK129" s="86" t="s">
        <v>59</v>
      </c>
      <c r="AL129" s="86" t="s">
        <v>59</v>
      </c>
      <c r="AM129" s="86"/>
      <c r="AN129" s="86" t="s">
        <v>59</v>
      </c>
      <c r="AO129" s="86" t="s">
        <v>59</v>
      </c>
      <c r="AP129" s="86"/>
      <c r="AQ129" s="86" t="s">
        <v>59</v>
      </c>
      <c r="AR129" s="86" t="s">
        <v>59</v>
      </c>
      <c r="AS129" s="86"/>
      <c r="AT129" s="86" t="s">
        <v>59</v>
      </c>
      <c r="AU129" s="86" t="s">
        <v>59</v>
      </c>
      <c r="AV129" s="86"/>
      <c r="AW129" s="86" t="s">
        <v>59</v>
      </c>
      <c r="AX129" s="86" t="s">
        <v>59</v>
      </c>
      <c r="AY129" s="86"/>
      <c r="AZ129" s="86" t="s">
        <v>59</v>
      </c>
      <c r="BA129" s="86" t="s">
        <v>59</v>
      </c>
      <c r="BB129" s="86"/>
      <c r="BC129" s="86" t="s">
        <v>59</v>
      </c>
      <c r="BD129" s="86" t="s">
        <v>59</v>
      </c>
      <c r="BE129" s="86"/>
      <c r="BF129" s="86" t="s">
        <v>59</v>
      </c>
      <c r="BG129" s="86" t="s">
        <v>59</v>
      </c>
      <c r="BH129" s="86"/>
      <c r="BI129" s="86" t="s">
        <v>59</v>
      </c>
      <c r="BJ129" s="86" t="s">
        <v>59</v>
      </c>
      <c r="BK129" s="86"/>
    </row>
    <row r="130" spans="1:63" s="27" customFormat="1" ht="15.25" customHeight="1">
      <c r="A130" s="64"/>
      <c r="B130" s="79"/>
      <c r="C130" s="78" t="s">
        <v>212</v>
      </c>
      <c r="D130" s="77"/>
      <c r="E130" s="77"/>
      <c r="F130" s="77"/>
      <c r="G130" s="77"/>
      <c r="H130" s="77"/>
      <c r="I130" s="77"/>
      <c r="J130" s="77"/>
      <c r="K130" s="77"/>
      <c r="L130" s="77"/>
      <c r="M130" s="77"/>
      <c r="N130" s="77"/>
      <c r="O130" s="77"/>
      <c r="P130" s="77"/>
      <c r="Q130" s="77"/>
      <c r="R130" s="96"/>
      <c r="S130" s="92" t="s">
        <v>76</v>
      </c>
      <c r="T130" s="87"/>
      <c r="U130" s="86" t="s">
        <v>59</v>
      </c>
      <c r="V130" s="86"/>
      <c r="W130" s="86"/>
      <c r="X130" s="86" t="s">
        <v>59</v>
      </c>
      <c r="Y130" s="86"/>
      <c r="Z130" s="86"/>
      <c r="AA130" s="86" t="s">
        <v>59</v>
      </c>
      <c r="AB130" s="86"/>
      <c r="AC130" s="86"/>
      <c r="AD130" s="86" t="s">
        <v>59</v>
      </c>
      <c r="AE130" s="86"/>
      <c r="AF130" s="86"/>
      <c r="AG130" s="86" t="s">
        <v>59</v>
      </c>
      <c r="AH130" s="86"/>
      <c r="AI130" s="86"/>
      <c r="AJ130" s="86" t="s">
        <v>59</v>
      </c>
      <c r="AK130" s="86"/>
      <c r="AL130" s="86"/>
      <c r="AM130" s="86" t="s">
        <v>59</v>
      </c>
      <c r="AN130" s="86"/>
      <c r="AO130" s="86"/>
      <c r="AP130" s="86" t="s">
        <v>59</v>
      </c>
      <c r="AQ130" s="86"/>
      <c r="AR130" s="86"/>
      <c r="AS130" s="86" t="s">
        <v>59</v>
      </c>
      <c r="AT130" s="86"/>
      <c r="AU130" s="86"/>
      <c r="AV130" s="86" t="s">
        <v>59</v>
      </c>
      <c r="AW130" s="86"/>
      <c r="AX130" s="86"/>
      <c r="AY130" s="86" t="s">
        <v>59</v>
      </c>
      <c r="AZ130" s="86"/>
      <c r="BA130" s="86"/>
      <c r="BB130" s="86" t="s">
        <v>59</v>
      </c>
      <c r="BC130" s="86"/>
      <c r="BD130" s="86"/>
      <c r="BE130" s="86" t="s">
        <v>59</v>
      </c>
      <c r="BF130" s="86"/>
      <c r="BG130" s="86"/>
      <c r="BH130" s="86" t="s">
        <v>59</v>
      </c>
      <c r="BI130" s="86"/>
      <c r="BJ130" s="86"/>
      <c r="BK130" s="86" t="s">
        <v>59</v>
      </c>
    </row>
    <row r="131" spans="1:63" s="27" customFormat="1" ht="15.25" customHeight="1">
      <c r="A131" s="64"/>
      <c r="B131" s="79"/>
      <c r="C131" s="95"/>
      <c r="D131" s="94"/>
      <c r="E131" s="94"/>
      <c r="F131" s="94"/>
      <c r="G131" s="94"/>
      <c r="H131" s="94"/>
      <c r="I131" s="94"/>
      <c r="J131" s="94"/>
      <c r="K131" s="94"/>
      <c r="L131" s="94"/>
      <c r="M131" s="94"/>
      <c r="N131" s="94"/>
      <c r="O131" s="94"/>
      <c r="P131" s="94"/>
      <c r="Q131" s="94"/>
      <c r="R131" s="93"/>
      <c r="S131" s="92" t="s">
        <v>209</v>
      </c>
      <c r="T131" s="87"/>
      <c r="U131" s="86"/>
      <c r="V131" s="86" t="s">
        <v>59</v>
      </c>
      <c r="W131" s="86" t="s">
        <v>59</v>
      </c>
      <c r="X131" s="86"/>
      <c r="Y131" s="86" t="s">
        <v>59</v>
      </c>
      <c r="Z131" s="86" t="s">
        <v>59</v>
      </c>
      <c r="AA131" s="86"/>
      <c r="AB131" s="86" t="s">
        <v>59</v>
      </c>
      <c r="AC131" s="86" t="s">
        <v>59</v>
      </c>
      <c r="AD131" s="86"/>
      <c r="AE131" s="86" t="s">
        <v>59</v>
      </c>
      <c r="AF131" s="86" t="s">
        <v>59</v>
      </c>
      <c r="AG131" s="86"/>
      <c r="AH131" s="86" t="s">
        <v>59</v>
      </c>
      <c r="AI131" s="86" t="s">
        <v>59</v>
      </c>
      <c r="AJ131" s="86"/>
      <c r="AK131" s="86" t="s">
        <v>59</v>
      </c>
      <c r="AL131" s="86" t="s">
        <v>59</v>
      </c>
      <c r="AM131" s="86"/>
      <c r="AN131" s="86" t="s">
        <v>59</v>
      </c>
      <c r="AO131" s="86" t="s">
        <v>59</v>
      </c>
      <c r="AP131" s="86"/>
      <c r="AQ131" s="86" t="s">
        <v>59</v>
      </c>
      <c r="AR131" s="86" t="s">
        <v>59</v>
      </c>
      <c r="AS131" s="86"/>
      <c r="AT131" s="86" t="s">
        <v>59</v>
      </c>
      <c r="AU131" s="86" t="s">
        <v>59</v>
      </c>
      <c r="AV131" s="86"/>
      <c r="AW131" s="86" t="s">
        <v>59</v>
      </c>
      <c r="AX131" s="86" t="s">
        <v>59</v>
      </c>
      <c r="AY131" s="86"/>
      <c r="AZ131" s="86" t="s">
        <v>59</v>
      </c>
      <c r="BA131" s="86" t="s">
        <v>59</v>
      </c>
      <c r="BB131" s="86"/>
      <c r="BC131" s="86" t="s">
        <v>59</v>
      </c>
      <c r="BD131" s="86" t="s">
        <v>59</v>
      </c>
      <c r="BE131" s="86"/>
      <c r="BF131" s="86" t="s">
        <v>59</v>
      </c>
      <c r="BG131" s="86" t="s">
        <v>59</v>
      </c>
      <c r="BH131" s="86"/>
      <c r="BI131" s="86" t="s">
        <v>59</v>
      </c>
      <c r="BJ131" s="86" t="s">
        <v>59</v>
      </c>
      <c r="BK131" s="86"/>
    </row>
    <row r="132" spans="1:63" s="27" customFormat="1" ht="15.25" customHeight="1">
      <c r="A132" s="64"/>
      <c r="B132" s="79"/>
      <c r="C132" s="78" t="s">
        <v>202</v>
      </c>
      <c r="D132" s="77"/>
      <c r="E132" s="77"/>
      <c r="F132" s="77"/>
      <c r="G132" s="77"/>
      <c r="H132" s="77"/>
      <c r="I132" s="77"/>
      <c r="J132" s="77"/>
      <c r="K132" s="77"/>
      <c r="L132" s="77"/>
      <c r="M132" s="77"/>
      <c r="N132" s="77"/>
      <c r="O132" s="77"/>
      <c r="P132" s="77"/>
      <c r="Q132" s="77"/>
      <c r="R132" s="96"/>
      <c r="S132" s="92" t="s">
        <v>211</v>
      </c>
      <c r="T132" s="87"/>
      <c r="U132" s="86" t="s">
        <v>59</v>
      </c>
      <c r="V132" s="86"/>
      <c r="W132" s="86"/>
      <c r="X132" s="86" t="s">
        <v>59</v>
      </c>
      <c r="Y132" s="86"/>
      <c r="Z132" s="86"/>
      <c r="AA132" s="86" t="s">
        <v>59</v>
      </c>
      <c r="AB132" s="86"/>
      <c r="AC132" s="86"/>
      <c r="AD132" s="86" t="s">
        <v>59</v>
      </c>
      <c r="AE132" s="86"/>
      <c r="AF132" s="86"/>
      <c r="AG132" s="86" t="s">
        <v>59</v>
      </c>
      <c r="AH132" s="86"/>
      <c r="AI132" s="86"/>
      <c r="AJ132" s="86" t="s">
        <v>59</v>
      </c>
      <c r="AK132" s="86"/>
      <c r="AL132" s="86"/>
      <c r="AM132" s="86" t="s">
        <v>59</v>
      </c>
      <c r="AN132" s="86"/>
      <c r="AO132" s="86"/>
      <c r="AP132" s="86" t="s">
        <v>59</v>
      </c>
      <c r="AQ132" s="86"/>
      <c r="AR132" s="86"/>
      <c r="AS132" s="86" t="s">
        <v>59</v>
      </c>
      <c r="AT132" s="86"/>
      <c r="AU132" s="86"/>
      <c r="AV132" s="86" t="s">
        <v>59</v>
      </c>
      <c r="AW132" s="86"/>
      <c r="AX132" s="86"/>
      <c r="AY132" s="86" t="s">
        <v>59</v>
      </c>
      <c r="AZ132" s="86"/>
      <c r="BA132" s="86"/>
      <c r="BB132" s="86" t="s">
        <v>59</v>
      </c>
      <c r="BC132" s="86"/>
      <c r="BD132" s="86"/>
      <c r="BE132" s="86" t="s">
        <v>59</v>
      </c>
      <c r="BF132" s="86"/>
      <c r="BG132" s="86"/>
      <c r="BH132" s="86" t="s">
        <v>59</v>
      </c>
      <c r="BI132" s="86"/>
      <c r="BJ132" s="86"/>
      <c r="BK132" s="86" t="s">
        <v>59</v>
      </c>
    </row>
    <row r="133" spans="1:63" s="27" customFormat="1" ht="15.25" customHeight="1">
      <c r="A133" s="64"/>
      <c r="B133" s="79"/>
      <c r="C133" s="95"/>
      <c r="D133" s="94"/>
      <c r="E133" s="94"/>
      <c r="F133" s="94"/>
      <c r="G133" s="94"/>
      <c r="H133" s="94"/>
      <c r="I133" s="94"/>
      <c r="J133" s="94"/>
      <c r="K133" s="94"/>
      <c r="L133" s="94"/>
      <c r="M133" s="94"/>
      <c r="N133" s="94"/>
      <c r="O133" s="94"/>
      <c r="P133" s="94"/>
      <c r="Q133" s="94"/>
      <c r="R133" s="93"/>
      <c r="S133" s="92" t="s">
        <v>209</v>
      </c>
      <c r="T133" s="87"/>
      <c r="U133" s="86"/>
      <c r="V133" s="86" t="s">
        <v>59</v>
      </c>
      <c r="W133" s="86" t="s">
        <v>59</v>
      </c>
      <c r="X133" s="86"/>
      <c r="Y133" s="86" t="s">
        <v>59</v>
      </c>
      <c r="Z133" s="86" t="s">
        <v>59</v>
      </c>
      <c r="AA133" s="86"/>
      <c r="AB133" s="86" t="s">
        <v>59</v>
      </c>
      <c r="AC133" s="86" t="s">
        <v>59</v>
      </c>
      <c r="AD133" s="86"/>
      <c r="AE133" s="86" t="s">
        <v>59</v>
      </c>
      <c r="AF133" s="86" t="s">
        <v>59</v>
      </c>
      <c r="AG133" s="86"/>
      <c r="AH133" s="86" t="s">
        <v>59</v>
      </c>
      <c r="AI133" s="86" t="s">
        <v>59</v>
      </c>
      <c r="AJ133" s="86"/>
      <c r="AK133" s="86" t="s">
        <v>59</v>
      </c>
      <c r="AL133" s="86" t="s">
        <v>59</v>
      </c>
      <c r="AM133" s="86"/>
      <c r="AN133" s="86" t="s">
        <v>59</v>
      </c>
      <c r="AO133" s="86" t="s">
        <v>59</v>
      </c>
      <c r="AP133" s="86"/>
      <c r="AQ133" s="86" t="s">
        <v>59</v>
      </c>
      <c r="AR133" s="86" t="s">
        <v>59</v>
      </c>
      <c r="AS133" s="86"/>
      <c r="AT133" s="86" t="s">
        <v>59</v>
      </c>
      <c r="AU133" s="86" t="s">
        <v>59</v>
      </c>
      <c r="AV133" s="86"/>
      <c r="AW133" s="86" t="s">
        <v>59</v>
      </c>
      <c r="AX133" s="86" t="s">
        <v>59</v>
      </c>
      <c r="AY133" s="86"/>
      <c r="AZ133" s="86" t="s">
        <v>59</v>
      </c>
      <c r="BA133" s="86" t="s">
        <v>59</v>
      </c>
      <c r="BB133" s="86"/>
      <c r="BC133" s="86" t="s">
        <v>59</v>
      </c>
      <c r="BD133" s="86" t="s">
        <v>59</v>
      </c>
      <c r="BE133" s="86"/>
      <c r="BF133" s="86" t="s">
        <v>59</v>
      </c>
      <c r="BG133" s="86" t="s">
        <v>59</v>
      </c>
      <c r="BH133" s="86"/>
      <c r="BI133" s="86" t="s">
        <v>59</v>
      </c>
      <c r="BJ133" s="86" t="s">
        <v>59</v>
      </c>
      <c r="BK133" s="86"/>
    </row>
    <row r="134" spans="1:63" s="27" customFormat="1" ht="15.25" customHeight="1">
      <c r="A134" s="64"/>
      <c r="B134" s="79"/>
      <c r="C134" s="78" t="s">
        <v>198</v>
      </c>
      <c r="D134" s="77"/>
      <c r="E134" s="77"/>
      <c r="F134" s="77"/>
      <c r="G134" s="77"/>
      <c r="H134" s="77"/>
      <c r="I134" s="77"/>
      <c r="J134" s="77"/>
      <c r="K134" s="77"/>
      <c r="L134" s="77"/>
      <c r="M134" s="77"/>
      <c r="N134" s="77"/>
      <c r="O134" s="77"/>
      <c r="P134" s="77"/>
      <c r="Q134" s="77"/>
      <c r="R134" s="96"/>
      <c r="S134" s="92" t="s">
        <v>210</v>
      </c>
      <c r="T134" s="87"/>
      <c r="U134" s="86" t="s">
        <v>59</v>
      </c>
      <c r="V134" s="86"/>
      <c r="W134" s="86"/>
      <c r="X134" s="86" t="s">
        <v>59</v>
      </c>
      <c r="Y134" s="86"/>
      <c r="Z134" s="86"/>
      <c r="AA134" s="86" t="s">
        <v>59</v>
      </c>
      <c r="AB134" s="86"/>
      <c r="AC134" s="86"/>
      <c r="AD134" s="86" t="s">
        <v>59</v>
      </c>
      <c r="AE134" s="86"/>
      <c r="AF134" s="86"/>
      <c r="AG134" s="86" t="s">
        <v>59</v>
      </c>
      <c r="AH134" s="86"/>
      <c r="AI134" s="86"/>
      <c r="AJ134" s="86" t="s">
        <v>59</v>
      </c>
      <c r="AK134" s="86"/>
      <c r="AL134" s="86"/>
      <c r="AM134" s="86" t="s">
        <v>59</v>
      </c>
      <c r="AN134" s="86"/>
      <c r="AO134" s="86"/>
      <c r="AP134" s="86" t="s">
        <v>59</v>
      </c>
      <c r="AQ134" s="86"/>
      <c r="AR134" s="86"/>
      <c r="AS134" s="86" t="s">
        <v>59</v>
      </c>
      <c r="AT134" s="86"/>
      <c r="AU134" s="86"/>
      <c r="AV134" s="86" t="s">
        <v>59</v>
      </c>
      <c r="AW134" s="86"/>
      <c r="AX134" s="86"/>
      <c r="AY134" s="86" t="s">
        <v>59</v>
      </c>
      <c r="AZ134" s="86"/>
      <c r="BA134" s="86"/>
      <c r="BB134" s="86" t="s">
        <v>59</v>
      </c>
      <c r="BC134" s="86"/>
      <c r="BD134" s="86"/>
      <c r="BE134" s="86" t="s">
        <v>59</v>
      </c>
      <c r="BF134" s="86"/>
      <c r="BG134" s="86"/>
      <c r="BH134" s="86" t="s">
        <v>59</v>
      </c>
      <c r="BI134" s="86"/>
      <c r="BJ134" s="86"/>
      <c r="BK134" s="86" t="s">
        <v>59</v>
      </c>
    </row>
    <row r="135" spans="1:63" s="27" customFormat="1" ht="15.25" customHeight="1">
      <c r="A135" s="64"/>
      <c r="B135" s="79"/>
      <c r="C135" s="95"/>
      <c r="D135" s="94"/>
      <c r="E135" s="94"/>
      <c r="F135" s="94"/>
      <c r="G135" s="94"/>
      <c r="H135" s="94"/>
      <c r="I135" s="94"/>
      <c r="J135" s="94"/>
      <c r="K135" s="94"/>
      <c r="L135" s="94"/>
      <c r="M135" s="94"/>
      <c r="N135" s="94"/>
      <c r="O135" s="94"/>
      <c r="P135" s="94"/>
      <c r="Q135" s="94"/>
      <c r="R135" s="93"/>
      <c r="S135" s="92" t="s">
        <v>209</v>
      </c>
      <c r="T135" s="87"/>
      <c r="U135" s="86"/>
      <c r="V135" s="86" t="s">
        <v>59</v>
      </c>
      <c r="W135" s="86" t="s">
        <v>59</v>
      </c>
      <c r="X135" s="86"/>
      <c r="Y135" s="86" t="s">
        <v>59</v>
      </c>
      <c r="Z135" s="86" t="s">
        <v>59</v>
      </c>
      <c r="AA135" s="86"/>
      <c r="AB135" s="86" t="s">
        <v>59</v>
      </c>
      <c r="AC135" s="86" t="s">
        <v>59</v>
      </c>
      <c r="AD135" s="86"/>
      <c r="AE135" s="86" t="s">
        <v>59</v>
      </c>
      <c r="AF135" s="86" t="s">
        <v>59</v>
      </c>
      <c r="AG135" s="86"/>
      <c r="AH135" s="86" t="s">
        <v>59</v>
      </c>
      <c r="AI135" s="86" t="s">
        <v>59</v>
      </c>
      <c r="AJ135" s="86"/>
      <c r="AK135" s="86" t="s">
        <v>59</v>
      </c>
      <c r="AL135" s="86" t="s">
        <v>59</v>
      </c>
      <c r="AM135" s="86"/>
      <c r="AN135" s="86" t="s">
        <v>59</v>
      </c>
      <c r="AO135" s="86" t="s">
        <v>59</v>
      </c>
      <c r="AP135" s="86"/>
      <c r="AQ135" s="86" t="s">
        <v>59</v>
      </c>
      <c r="AR135" s="86" t="s">
        <v>59</v>
      </c>
      <c r="AS135" s="86"/>
      <c r="AT135" s="86" t="s">
        <v>59</v>
      </c>
      <c r="AU135" s="86" t="s">
        <v>59</v>
      </c>
      <c r="AV135" s="86"/>
      <c r="AW135" s="86" t="s">
        <v>59</v>
      </c>
      <c r="AX135" s="86" t="s">
        <v>59</v>
      </c>
      <c r="AY135" s="86"/>
      <c r="AZ135" s="86" t="s">
        <v>59</v>
      </c>
      <c r="BA135" s="86" t="s">
        <v>59</v>
      </c>
      <c r="BB135" s="86"/>
      <c r="BC135" s="86" t="s">
        <v>59</v>
      </c>
      <c r="BD135" s="86" t="s">
        <v>59</v>
      </c>
      <c r="BE135" s="86"/>
      <c r="BF135" s="86" t="s">
        <v>59</v>
      </c>
      <c r="BG135" s="86" t="s">
        <v>59</v>
      </c>
      <c r="BH135" s="86"/>
      <c r="BI135" s="86" t="s">
        <v>59</v>
      </c>
      <c r="BJ135" s="86" t="s">
        <v>59</v>
      </c>
      <c r="BK135" s="86"/>
    </row>
    <row r="136" spans="1:63" s="27" customFormat="1" ht="15.25" customHeight="1">
      <c r="A136" s="64"/>
      <c r="B136" s="79"/>
      <c r="C136" s="91" t="s">
        <v>208</v>
      </c>
      <c r="D136" s="90"/>
      <c r="E136" s="90"/>
      <c r="F136" s="90"/>
      <c r="G136" s="90"/>
      <c r="H136" s="90"/>
      <c r="I136" s="90"/>
      <c r="J136" s="90"/>
      <c r="K136" s="90"/>
      <c r="L136" s="90"/>
      <c r="M136" s="90"/>
      <c r="N136" s="90"/>
      <c r="O136" s="90"/>
      <c r="P136" s="90"/>
      <c r="Q136" s="90"/>
      <c r="R136" s="89"/>
      <c r="S136" s="88" t="s">
        <v>207</v>
      </c>
      <c r="T136" s="87"/>
      <c r="U136" s="86" t="s">
        <v>59</v>
      </c>
      <c r="V136" s="86"/>
      <c r="W136" s="86"/>
      <c r="X136" s="86" t="s">
        <v>59</v>
      </c>
      <c r="Y136" s="86"/>
      <c r="Z136" s="86"/>
      <c r="AA136" s="86" t="s">
        <v>59</v>
      </c>
      <c r="AB136" s="86"/>
      <c r="AC136" s="86"/>
      <c r="AD136" s="86" t="s">
        <v>59</v>
      </c>
      <c r="AE136" s="86"/>
      <c r="AF136" s="86"/>
      <c r="AG136" s="86" t="s">
        <v>59</v>
      </c>
      <c r="AH136" s="86"/>
      <c r="AI136" s="86"/>
      <c r="AJ136" s="86" t="s">
        <v>59</v>
      </c>
      <c r="AK136" s="86"/>
      <c r="AL136" s="86"/>
      <c r="AM136" s="86" t="s">
        <v>59</v>
      </c>
      <c r="AN136" s="86"/>
      <c r="AO136" s="86"/>
      <c r="AP136" s="86" t="s">
        <v>59</v>
      </c>
      <c r="AQ136" s="86"/>
      <c r="AR136" s="86"/>
      <c r="AS136" s="86" t="s">
        <v>59</v>
      </c>
      <c r="AT136" s="86"/>
      <c r="AU136" s="86"/>
      <c r="AV136" s="86" t="s">
        <v>59</v>
      </c>
      <c r="AW136" s="86"/>
      <c r="AX136" s="86"/>
      <c r="AY136" s="86" t="s">
        <v>59</v>
      </c>
      <c r="AZ136" s="86"/>
      <c r="BA136" s="86"/>
      <c r="BB136" s="86" t="s">
        <v>59</v>
      </c>
      <c r="BC136" s="86"/>
      <c r="BD136" s="86"/>
      <c r="BE136" s="86" t="s">
        <v>59</v>
      </c>
      <c r="BF136" s="86"/>
      <c r="BG136" s="86"/>
      <c r="BH136" s="86" t="s">
        <v>59</v>
      </c>
      <c r="BI136" s="86"/>
      <c r="BJ136" s="86"/>
      <c r="BK136" s="86" t="s">
        <v>59</v>
      </c>
    </row>
    <row r="137" spans="1:63" s="27" customFormat="1" ht="15.25" customHeight="1">
      <c r="A137" s="64"/>
      <c r="B137" s="79"/>
      <c r="C137" s="84" t="s">
        <v>206</v>
      </c>
      <c r="D137" s="83"/>
      <c r="E137" s="83"/>
      <c r="F137" s="83"/>
      <c r="G137" s="83"/>
      <c r="H137" s="83"/>
      <c r="I137" s="83"/>
      <c r="J137" s="83"/>
      <c r="K137" s="83"/>
      <c r="L137" s="83"/>
      <c r="M137" s="83"/>
      <c r="N137" s="83"/>
      <c r="O137" s="83"/>
      <c r="P137" s="83"/>
      <c r="Q137" s="83"/>
      <c r="R137" s="83"/>
      <c r="S137" s="82"/>
      <c r="T137" s="81"/>
      <c r="U137" s="80"/>
      <c r="V137" s="80"/>
      <c r="W137" s="80"/>
      <c r="X137" s="80"/>
      <c r="Y137" s="80"/>
      <c r="Z137" s="80"/>
      <c r="AA137" s="80"/>
      <c r="AB137" s="80"/>
      <c r="AC137" s="80"/>
      <c r="AD137" s="80"/>
      <c r="AE137" s="80"/>
      <c r="AF137" s="80"/>
      <c r="AG137" s="80"/>
      <c r="AH137" s="80"/>
      <c r="AI137" s="80"/>
      <c r="AJ137" s="80"/>
      <c r="AK137" s="80"/>
      <c r="AL137" s="80"/>
      <c r="AM137" s="80"/>
      <c r="AN137" s="80"/>
      <c r="AO137" s="80"/>
      <c r="AP137" s="80"/>
      <c r="AQ137" s="80"/>
      <c r="AR137" s="80"/>
      <c r="AS137" s="80"/>
      <c r="AT137" s="80"/>
      <c r="AU137" s="80"/>
      <c r="AV137" s="80"/>
      <c r="AW137" s="80"/>
      <c r="AX137" s="80"/>
      <c r="AY137" s="80"/>
      <c r="AZ137" s="80"/>
      <c r="BA137" s="80"/>
      <c r="BB137" s="80"/>
      <c r="BC137" s="80"/>
      <c r="BD137" s="80"/>
      <c r="BE137" s="80"/>
      <c r="BF137" s="80"/>
      <c r="BG137" s="80"/>
      <c r="BH137" s="80"/>
      <c r="BI137" s="80"/>
      <c r="BJ137" s="80"/>
      <c r="BK137" s="80"/>
    </row>
    <row r="138" spans="1:63" s="27" customFormat="1" ht="15.25" customHeight="1">
      <c r="A138" s="64"/>
      <c r="B138" s="79"/>
      <c r="C138" s="78" t="s">
        <v>541</v>
      </c>
      <c r="D138" s="77"/>
      <c r="E138" s="77"/>
      <c r="F138" s="77"/>
      <c r="G138" s="77"/>
      <c r="H138" s="77"/>
      <c r="I138" s="77"/>
      <c r="J138" s="77"/>
      <c r="K138" s="77"/>
      <c r="L138" s="77"/>
      <c r="M138" s="77"/>
      <c r="N138" s="77"/>
      <c r="O138" s="77"/>
      <c r="P138" s="77"/>
      <c r="Q138" s="77"/>
      <c r="R138" s="77"/>
      <c r="S138" s="76"/>
      <c r="T138" s="75"/>
      <c r="U138" s="86"/>
      <c r="V138" s="86" t="s">
        <v>59</v>
      </c>
      <c r="W138" s="86"/>
      <c r="X138" s="86"/>
      <c r="Y138" s="86" t="s">
        <v>59</v>
      </c>
      <c r="Z138" s="86"/>
      <c r="AA138" s="86"/>
      <c r="AB138" s="86" t="s">
        <v>59</v>
      </c>
      <c r="AC138" s="86"/>
      <c r="AD138" s="86"/>
      <c r="AE138" s="86" t="s">
        <v>59</v>
      </c>
      <c r="AF138" s="86"/>
      <c r="AG138" s="86"/>
      <c r="AH138" s="86" t="s">
        <v>59</v>
      </c>
      <c r="AI138" s="86"/>
      <c r="AJ138" s="86"/>
      <c r="AK138" s="86" t="s">
        <v>59</v>
      </c>
      <c r="AL138" s="86"/>
      <c r="AM138" s="86"/>
      <c r="AN138" s="86" t="s">
        <v>59</v>
      </c>
      <c r="AO138" s="86"/>
      <c r="AP138" s="86"/>
      <c r="AQ138" s="86" t="s">
        <v>59</v>
      </c>
      <c r="AR138" s="86"/>
      <c r="AS138" s="86"/>
      <c r="AT138" s="86" t="s">
        <v>59</v>
      </c>
      <c r="AU138" s="86"/>
      <c r="AV138" s="86"/>
      <c r="AW138" s="86" t="s">
        <v>59</v>
      </c>
      <c r="AX138" s="86"/>
      <c r="AY138" s="86"/>
      <c r="AZ138" s="86" t="s">
        <v>59</v>
      </c>
      <c r="BA138" s="86"/>
      <c r="BB138" s="86"/>
      <c r="BC138" s="86" t="s">
        <v>59</v>
      </c>
      <c r="BD138" s="86"/>
      <c r="BE138" s="86"/>
      <c r="BF138" s="86" t="s">
        <v>59</v>
      </c>
      <c r="BG138" s="86"/>
      <c r="BH138" s="86"/>
      <c r="BI138" s="86" t="s">
        <v>59</v>
      </c>
      <c r="BJ138" s="86"/>
      <c r="BK138" s="86"/>
    </row>
    <row r="139" spans="1:63" s="27" customFormat="1" ht="15.25" customHeight="1">
      <c r="A139" s="64"/>
      <c r="B139" s="79"/>
      <c r="C139" s="78" t="s">
        <v>540</v>
      </c>
      <c r="D139" s="77"/>
      <c r="E139" s="77"/>
      <c r="F139" s="77"/>
      <c r="G139" s="77"/>
      <c r="H139" s="77"/>
      <c r="I139" s="77"/>
      <c r="J139" s="77"/>
      <c r="K139" s="77"/>
      <c r="L139" s="77"/>
      <c r="M139" s="77"/>
      <c r="N139" s="77"/>
      <c r="O139" s="77"/>
      <c r="P139" s="77"/>
      <c r="Q139" s="77"/>
      <c r="R139" s="77"/>
      <c r="S139" s="76"/>
      <c r="T139" s="75"/>
      <c r="U139" s="85"/>
      <c r="V139" s="85"/>
      <c r="W139" s="86" t="s">
        <v>59</v>
      </c>
      <c r="X139" s="85"/>
      <c r="Y139" s="85"/>
      <c r="Z139" s="86" t="s">
        <v>59</v>
      </c>
      <c r="AA139" s="85"/>
      <c r="AB139" s="85"/>
      <c r="AC139" s="86" t="s">
        <v>59</v>
      </c>
      <c r="AD139" s="85"/>
      <c r="AE139" s="85"/>
      <c r="AF139" s="86" t="s">
        <v>59</v>
      </c>
      <c r="AG139" s="85"/>
      <c r="AH139" s="85"/>
      <c r="AI139" s="86" t="s">
        <v>59</v>
      </c>
      <c r="AJ139" s="85"/>
      <c r="AK139" s="85"/>
      <c r="AL139" s="86" t="s">
        <v>59</v>
      </c>
      <c r="AM139" s="85"/>
      <c r="AN139" s="85"/>
      <c r="AO139" s="86" t="s">
        <v>59</v>
      </c>
      <c r="AP139" s="85"/>
      <c r="AQ139" s="85"/>
      <c r="AR139" s="86" t="s">
        <v>59</v>
      </c>
      <c r="AS139" s="85"/>
      <c r="AT139" s="85"/>
      <c r="AU139" s="86" t="s">
        <v>59</v>
      </c>
      <c r="AV139" s="85"/>
      <c r="AW139" s="85"/>
      <c r="AX139" s="86" t="s">
        <v>59</v>
      </c>
      <c r="AY139" s="85"/>
      <c r="AZ139" s="85"/>
      <c r="BA139" s="86" t="s">
        <v>59</v>
      </c>
      <c r="BB139" s="85"/>
      <c r="BC139" s="85"/>
      <c r="BD139" s="86" t="s">
        <v>59</v>
      </c>
      <c r="BE139" s="85"/>
      <c r="BF139" s="85"/>
      <c r="BG139" s="86" t="s">
        <v>59</v>
      </c>
      <c r="BH139" s="85"/>
      <c r="BI139" s="85"/>
      <c r="BJ139" s="86" t="s">
        <v>59</v>
      </c>
      <c r="BK139" s="86"/>
    </row>
    <row r="140" spans="1:63" s="27" customFormat="1" ht="15.25" customHeight="1">
      <c r="A140" s="64"/>
      <c r="B140" s="79"/>
      <c r="C140" s="78" t="s">
        <v>204</v>
      </c>
      <c r="D140" s="77"/>
      <c r="E140" s="77"/>
      <c r="F140" s="77"/>
      <c r="G140" s="77"/>
      <c r="H140" s="77"/>
      <c r="I140" s="77"/>
      <c r="J140" s="77"/>
      <c r="K140" s="77"/>
      <c r="L140" s="77"/>
      <c r="M140" s="77"/>
      <c r="N140" s="77"/>
      <c r="O140" s="77"/>
      <c r="P140" s="77"/>
      <c r="Q140" s="77"/>
      <c r="R140" s="77"/>
      <c r="S140" s="76"/>
      <c r="T140" s="75"/>
      <c r="U140" s="85" t="s">
        <v>59</v>
      </c>
      <c r="V140" s="85"/>
      <c r="W140" s="85"/>
      <c r="X140" s="85" t="s">
        <v>59</v>
      </c>
      <c r="Y140" s="85"/>
      <c r="Z140" s="85"/>
      <c r="AA140" s="85" t="s">
        <v>59</v>
      </c>
      <c r="AB140" s="85"/>
      <c r="AC140" s="85"/>
      <c r="AD140" s="85" t="s">
        <v>59</v>
      </c>
      <c r="AE140" s="85"/>
      <c r="AF140" s="85"/>
      <c r="AG140" s="85" t="s">
        <v>59</v>
      </c>
      <c r="AH140" s="85"/>
      <c r="AI140" s="85"/>
      <c r="AJ140" s="85" t="s">
        <v>59</v>
      </c>
      <c r="AK140" s="85"/>
      <c r="AL140" s="85"/>
      <c r="AM140" s="85" t="s">
        <v>59</v>
      </c>
      <c r="AN140" s="85"/>
      <c r="AO140" s="85"/>
      <c r="AP140" s="85" t="s">
        <v>59</v>
      </c>
      <c r="AQ140" s="85"/>
      <c r="AR140" s="85"/>
      <c r="AS140" s="85" t="s">
        <v>59</v>
      </c>
      <c r="AT140" s="85"/>
      <c r="AU140" s="85"/>
      <c r="AV140" s="85" t="s">
        <v>59</v>
      </c>
      <c r="AW140" s="85"/>
      <c r="AX140" s="85"/>
      <c r="AY140" s="85" t="s">
        <v>59</v>
      </c>
      <c r="AZ140" s="85"/>
      <c r="BA140" s="85"/>
      <c r="BB140" s="85" t="s">
        <v>59</v>
      </c>
      <c r="BC140" s="85"/>
      <c r="BD140" s="85"/>
      <c r="BE140" s="85" t="s">
        <v>59</v>
      </c>
      <c r="BF140" s="85"/>
      <c r="BG140" s="85"/>
      <c r="BH140" s="85" t="s">
        <v>59</v>
      </c>
      <c r="BI140" s="85"/>
      <c r="BJ140" s="85"/>
      <c r="BK140" s="86" t="s">
        <v>59</v>
      </c>
    </row>
    <row r="141" spans="1:63" s="27" customFormat="1" ht="15.25" customHeight="1">
      <c r="A141" s="64"/>
      <c r="B141" s="79"/>
      <c r="C141" s="84" t="s">
        <v>205</v>
      </c>
      <c r="D141" s="83"/>
      <c r="E141" s="83"/>
      <c r="F141" s="83"/>
      <c r="G141" s="83"/>
      <c r="H141" s="83"/>
      <c r="I141" s="83"/>
      <c r="J141" s="83"/>
      <c r="K141" s="83"/>
      <c r="L141" s="83"/>
      <c r="M141" s="83"/>
      <c r="N141" s="83"/>
      <c r="O141" s="83"/>
      <c r="P141" s="83"/>
      <c r="Q141" s="83"/>
      <c r="R141" s="83"/>
      <c r="S141" s="82"/>
      <c r="T141" s="81"/>
      <c r="U141" s="80"/>
      <c r="V141" s="80"/>
      <c r="W141" s="80"/>
      <c r="X141" s="80"/>
      <c r="Y141" s="80"/>
      <c r="Z141" s="80"/>
      <c r="AA141" s="80"/>
      <c r="AB141" s="80"/>
      <c r="AC141" s="80"/>
      <c r="AD141" s="80"/>
      <c r="AE141" s="80"/>
      <c r="AF141" s="80"/>
      <c r="AG141" s="80"/>
      <c r="AH141" s="80"/>
      <c r="AI141" s="80"/>
      <c r="AJ141" s="80"/>
      <c r="AK141" s="80"/>
      <c r="AL141" s="80"/>
      <c r="AM141" s="80"/>
      <c r="AN141" s="80"/>
      <c r="AO141" s="80"/>
      <c r="AP141" s="80"/>
      <c r="AQ141" s="80"/>
      <c r="AR141" s="80"/>
      <c r="AS141" s="80"/>
      <c r="AT141" s="80"/>
      <c r="AU141" s="80"/>
      <c r="AV141" s="80"/>
      <c r="AW141" s="80"/>
      <c r="AX141" s="80"/>
      <c r="AY141" s="80"/>
      <c r="AZ141" s="80"/>
      <c r="BA141" s="80"/>
      <c r="BB141" s="80"/>
      <c r="BC141" s="80"/>
      <c r="BD141" s="80"/>
      <c r="BE141" s="80"/>
      <c r="BF141" s="80"/>
      <c r="BG141" s="80"/>
      <c r="BH141" s="80"/>
      <c r="BI141" s="80"/>
      <c r="BJ141" s="80"/>
      <c r="BK141" s="80"/>
    </row>
    <row r="142" spans="1:63" s="27" customFormat="1" ht="15.25" customHeight="1">
      <c r="A142" s="64"/>
      <c r="B142" s="79"/>
      <c r="C142" s="78" t="s">
        <v>204</v>
      </c>
      <c r="D142" s="77"/>
      <c r="E142" s="77"/>
      <c r="F142" s="77"/>
      <c r="G142" s="77"/>
      <c r="H142" s="77"/>
      <c r="I142" s="77"/>
      <c r="J142" s="77"/>
      <c r="K142" s="77"/>
      <c r="L142" s="77"/>
      <c r="M142" s="77"/>
      <c r="N142" s="77"/>
      <c r="O142" s="77"/>
      <c r="P142" s="77"/>
      <c r="Q142" s="77"/>
      <c r="R142" s="77"/>
      <c r="S142" s="76"/>
      <c r="T142" s="75"/>
      <c r="U142" s="49" t="s">
        <v>23</v>
      </c>
      <c r="V142" s="49" t="s">
        <v>23</v>
      </c>
      <c r="W142" s="49" t="s">
        <v>23</v>
      </c>
      <c r="X142" s="49" t="s">
        <v>23</v>
      </c>
      <c r="Y142" s="49" t="s">
        <v>23</v>
      </c>
      <c r="Z142" s="49" t="s">
        <v>23</v>
      </c>
      <c r="AA142" s="49" t="s">
        <v>23</v>
      </c>
      <c r="AB142" s="49" t="s">
        <v>23</v>
      </c>
      <c r="AC142" s="49" t="s">
        <v>23</v>
      </c>
      <c r="AD142" s="49" t="s">
        <v>23</v>
      </c>
      <c r="AE142" s="49" t="s">
        <v>23</v>
      </c>
      <c r="AF142" s="49" t="s">
        <v>23</v>
      </c>
      <c r="AG142" s="49" t="s">
        <v>23</v>
      </c>
      <c r="AH142" s="49" t="s">
        <v>23</v>
      </c>
      <c r="AI142" s="49" t="s">
        <v>23</v>
      </c>
      <c r="AJ142" s="49" t="s">
        <v>23</v>
      </c>
      <c r="AK142" s="49" t="s">
        <v>23</v>
      </c>
      <c r="AL142" s="49" t="s">
        <v>23</v>
      </c>
      <c r="AM142" s="49" t="s">
        <v>23</v>
      </c>
      <c r="AN142" s="49" t="s">
        <v>23</v>
      </c>
      <c r="AO142" s="49" t="s">
        <v>23</v>
      </c>
      <c r="AP142" s="49" t="s">
        <v>23</v>
      </c>
      <c r="AQ142" s="49" t="s">
        <v>23</v>
      </c>
      <c r="AR142" s="49" t="s">
        <v>23</v>
      </c>
      <c r="AS142" s="49" t="s">
        <v>23</v>
      </c>
      <c r="AT142" s="49" t="s">
        <v>23</v>
      </c>
      <c r="AU142" s="49" t="s">
        <v>23</v>
      </c>
      <c r="AV142" s="49" t="s">
        <v>23</v>
      </c>
      <c r="AW142" s="49" t="s">
        <v>23</v>
      </c>
      <c r="AX142" s="49" t="s">
        <v>23</v>
      </c>
      <c r="AY142" s="49" t="s">
        <v>23</v>
      </c>
      <c r="AZ142" s="49" t="s">
        <v>23</v>
      </c>
      <c r="BA142" s="49" t="s">
        <v>23</v>
      </c>
      <c r="BB142" s="49" t="s">
        <v>23</v>
      </c>
      <c r="BC142" s="49" t="s">
        <v>23</v>
      </c>
      <c r="BD142" s="49" t="s">
        <v>23</v>
      </c>
      <c r="BE142" s="49" t="s">
        <v>23</v>
      </c>
      <c r="BF142" s="49" t="s">
        <v>23</v>
      </c>
      <c r="BG142" s="49" t="s">
        <v>23</v>
      </c>
      <c r="BH142" s="49" t="s">
        <v>23</v>
      </c>
      <c r="BI142" s="49" t="s">
        <v>23</v>
      </c>
      <c r="BJ142" s="49" t="s">
        <v>23</v>
      </c>
      <c r="BK142" s="49" t="s">
        <v>23</v>
      </c>
    </row>
    <row r="143" spans="1:63" s="27" customFormat="1" ht="15" customHeight="1">
      <c r="A143" s="64"/>
      <c r="B143" s="63"/>
      <c r="C143" s="74" t="s">
        <v>203</v>
      </c>
      <c r="D143" s="72"/>
      <c r="E143" s="72"/>
      <c r="F143" s="72"/>
      <c r="G143" s="72"/>
      <c r="H143" s="72"/>
      <c r="I143" s="73"/>
      <c r="J143" s="72"/>
      <c r="K143" s="73"/>
      <c r="L143" s="73"/>
      <c r="M143" s="72"/>
      <c r="N143" s="72"/>
      <c r="O143" s="72"/>
      <c r="P143" s="72"/>
      <c r="Q143" s="72"/>
      <c r="R143" s="73"/>
      <c r="S143" s="72"/>
      <c r="T143" s="71"/>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row>
    <row r="144" spans="1:63" s="27" customFormat="1" ht="15.25" customHeight="1">
      <c r="A144" s="64"/>
      <c r="B144" s="63"/>
      <c r="C144" s="62" t="s">
        <v>202</v>
      </c>
      <c r="D144" s="61"/>
      <c r="E144" s="61"/>
      <c r="F144" s="61"/>
      <c r="G144" s="61"/>
      <c r="H144" s="61"/>
      <c r="I144" s="60"/>
      <c r="J144" s="61"/>
      <c r="K144" s="60"/>
      <c r="L144" s="60"/>
      <c r="M144" s="61"/>
      <c r="N144" s="61"/>
      <c r="O144" s="61"/>
      <c r="P144" s="61"/>
      <c r="Q144" s="61"/>
      <c r="R144" s="60"/>
      <c r="S144" s="59" t="s">
        <v>201</v>
      </c>
      <c r="T144" s="58"/>
      <c r="U144" s="57" t="s">
        <v>23</v>
      </c>
      <c r="V144" s="56"/>
      <c r="W144" s="56"/>
      <c r="X144" s="57" t="s">
        <v>23</v>
      </c>
      <c r="Y144" s="56"/>
      <c r="Z144" s="56"/>
      <c r="AA144" s="57" t="s">
        <v>23</v>
      </c>
      <c r="AB144" s="56"/>
      <c r="AC144" s="56"/>
      <c r="AD144" s="57" t="s">
        <v>23</v>
      </c>
      <c r="AE144" s="56"/>
      <c r="AF144" s="56"/>
      <c r="AG144" s="57" t="s">
        <v>23</v>
      </c>
      <c r="AH144" s="56"/>
      <c r="AI144" s="56"/>
      <c r="AJ144" s="57" t="s">
        <v>23</v>
      </c>
      <c r="AK144" s="56"/>
      <c r="AL144" s="56"/>
      <c r="AM144" s="57" t="s">
        <v>23</v>
      </c>
      <c r="AN144" s="56"/>
      <c r="AO144" s="56"/>
      <c r="AP144" s="57" t="s">
        <v>23</v>
      </c>
      <c r="AQ144" s="56"/>
      <c r="AR144" s="56"/>
      <c r="AS144" s="57" t="s">
        <v>23</v>
      </c>
      <c r="AT144" s="56"/>
      <c r="AU144" s="56"/>
      <c r="AV144" s="57" t="s">
        <v>23</v>
      </c>
      <c r="AW144" s="56"/>
      <c r="AX144" s="56"/>
      <c r="AY144" s="57" t="s">
        <v>23</v>
      </c>
      <c r="AZ144" s="56"/>
      <c r="BA144" s="56"/>
      <c r="BB144" s="57" t="s">
        <v>23</v>
      </c>
      <c r="BC144" s="56"/>
      <c r="BD144" s="56"/>
      <c r="BE144" s="57" t="s">
        <v>23</v>
      </c>
      <c r="BF144" s="56"/>
      <c r="BG144" s="56"/>
      <c r="BH144" s="57" t="s">
        <v>23</v>
      </c>
      <c r="BI144" s="56"/>
      <c r="BJ144" s="56"/>
      <c r="BK144" s="57" t="s">
        <v>23</v>
      </c>
    </row>
    <row r="145" spans="1:63" s="27" customFormat="1" ht="15.25" customHeight="1">
      <c r="A145" s="64"/>
      <c r="B145" s="63"/>
      <c r="C145" s="62" t="s">
        <v>200</v>
      </c>
      <c r="D145" s="61"/>
      <c r="E145" s="61"/>
      <c r="F145" s="61"/>
      <c r="G145" s="61"/>
      <c r="H145" s="61"/>
      <c r="I145" s="60"/>
      <c r="J145" s="61"/>
      <c r="K145" s="60"/>
      <c r="L145" s="60"/>
      <c r="M145" s="61"/>
      <c r="N145" s="61"/>
      <c r="O145" s="61"/>
      <c r="P145" s="61"/>
      <c r="Q145" s="61"/>
      <c r="R145" s="60"/>
      <c r="S145" s="59" t="s">
        <v>199</v>
      </c>
      <c r="T145" s="58"/>
      <c r="U145" s="57" t="s">
        <v>23</v>
      </c>
      <c r="V145" s="56"/>
      <c r="W145" s="56"/>
      <c r="X145" s="57" t="s">
        <v>23</v>
      </c>
      <c r="Y145" s="56"/>
      <c r="Z145" s="56"/>
      <c r="AA145" s="57" t="s">
        <v>23</v>
      </c>
      <c r="AB145" s="56"/>
      <c r="AC145" s="56"/>
      <c r="AD145" s="57" t="s">
        <v>23</v>
      </c>
      <c r="AE145" s="56"/>
      <c r="AF145" s="56"/>
      <c r="AG145" s="57" t="s">
        <v>23</v>
      </c>
      <c r="AH145" s="56"/>
      <c r="AI145" s="56"/>
      <c r="AJ145" s="57" t="s">
        <v>23</v>
      </c>
      <c r="AK145" s="56"/>
      <c r="AL145" s="56"/>
      <c r="AM145" s="57" t="s">
        <v>23</v>
      </c>
      <c r="AN145" s="56"/>
      <c r="AO145" s="56"/>
      <c r="AP145" s="57" t="s">
        <v>23</v>
      </c>
      <c r="AQ145" s="56"/>
      <c r="AR145" s="56"/>
      <c r="AS145" s="57" t="s">
        <v>23</v>
      </c>
      <c r="AT145" s="56"/>
      <c r="AU145" s="56"/>
      <c r="AV145" s="57" t="s">
        <v>23</v>
      </c>
      <c r="AW145" s="56"/>
      <c r="AX145" s="56"/>
      <c r="AY145" s="57" t="s">
        <v>23</v>
      </c>
      <c r="AZ145" s="56"/>
      <c r="BA145" s="56"/>
      <c r="BB145" s="57" t="s">
        <v>23</v>
      </c>
      <c r="BC145" s="56"/>
      <c r="BD145" s="56"/>
      <c r="BE145" s="57" t="s">
        <v>23</v>
      </c>
      <c r="BF145" s="56"/>
      <c r="BG145" s="56"/>
      <c r="BH145" s="57" t="s">
        <v>23</v>
      </c>
      <c r="BI145" s="56"/>
      <c r="BJ145" s="56"/>
      <c r="BK145" s="57" t="s">
        <v>23</v>
      </c>
    </row>
    <row r="146" spans="1:63" s="27" customFormat="1" ht="15.25" customHeight="1">
      <c r="A146" s="64"/>
      <c r="B146" s="63"/>
      <c r="C146" s="62" t="s">
        <v>198</v>
      </c>
      <c r="D146" s="61"/>
      <c r="E146" s="61"/>
      <c r="F146" s="61"/>
      <c r="G146" s="61"/>
      <c r="H146" s="61"/>
      <c r="I146" s="60"/>
      <c r="J146" s="61"/>
      <c r="K146" s="60"/>
      <c r="L146" s="60"/>
      <c r="M146" s="61"/>
      <c r="N146" s="61"/>
      <c r="O146" s="61"/>
      <c r="P146" s="61"/>
      <c r="Q146" s="61"/>
      <c r="R146" s="60"/>
      <c r="S146" s="59" t="s">
        <v>197</v>
      </c>
      <c r="T146" s="58"/>
      <c r="U146" s="57" t="s">
        <v>23</v>
      </c>
      <c r="V146" s="56"/>
      <c r="W146" s="56"/>
      <c r="X146" s="57" t="s">
        <v>23</v>
      </c>
      <c r="Y146" s="56"/>
      <c r="Z146" s="56"/>
      <c r="AA146" s="57" t="s">
        <v>23</v>
      </c>
      <c r="AB146" s="56"/>
      <c r="AC146" s="56"/>
      <c r="AD146" s="57" t="s">
        <v>23</v>
      </c>
      <c r="AE146" s="56"/>
      <c r="AF146" s="56"/>
      <c r="AG146" s="57" t="s">
        <v>23</v>
      </c>
      <c r="AH146" s="56"/>
      <c r="AI146" s="56"/>
      <c r="AJ146" s="57" t="s">
        <v>23</v>
      </c>
      <c r="AK146" s="56"/>
      <c r="AL146" s="56"/>
      <c r="AM146" s="57" t="s">
        <v>23</v>
      </c>
      <c r="AN146" s="56"/>
      <c r="AO146" s="56"/>
      <c r="AP146" s="57" t="s">
        <v>23</v>
      </c>
      <c r="AQ146" s="56"/>
      <c r="AR146" s="56"/>
      <c r="AS146" s="57" t="s">
        <v>23</v>
      </c>
      <c r="AT146" s="56"/>
      <c r="AU146" s="56"/>
      <c r="AV146" s="57" t="s">
        <v>23</v>
      </c>
      <c r="AW146" s="56"/>
      <c r="AX146" s="56"/>
      <c r="AY146" s="57" t="s">
        <v>23</v>
      </c>
      <c r="AZ146" s="56"/>
      <c r="BA146" s="56"/>
      <c r="BB146" s="57" t="s">
        <v>23</v>
      </c>
      <c r="BC146" s="56"/>
      <c r="BD146" s="56"/>
      <c r="BE146" s="57" t="s">
        <v>23</v>
      </c>
      <c r="BF146" s="56"/>
      <c r="BG146" s="56"/>
      <c r="BH146" s="57" t="s">
        <v>23</v>
      </c>
      <c r="BI146" s="56"/>
      <c r="BJ146" s="56"/>
      <c r="BK146" s="57" t="s">
        <v>23</v>
      </c>
    </row>
    <row r="147" spans="1:63" s="27" customFormat="1" ht="15.25" customHeight="1">
      <c r="A147" s="64"/>
      <c r="B147" s="63"/>
      <c r="C147" s="62" t="s">
        <v>196</v>
      </c>
      <c r="D147" s="61"/>
      <c r="E147" s="61"/>
      <c r="F147" s="61"/>
      <c r="G147" s="61"/>
      <c r="H147" s="61"/>
      <c r="I147" s="60"/>
      <c r="J147" s="61"/>
      <c r="K147" s="60"/>
      <c r="L147" s="60"/>
      <c r="M147" s="61"/>
      <c r="N147" s="61"/>
      <c r="O147" s="61"/>
      <c r="P147" s="61"/>
      <c r="Q147" s="61"/>
      <c r="R147" s="60"/>
      <c r="S147" s="59" t="s">
        <v>195</v>
      </c>
      <c r="T147" s="58"/>
      <c r="U147" s="57" t="s">
        <v>23</v>
      </c>
      <c r="V147" s="56"/>
      <c r="W147" s="56"/>
      <c r="X147" s="57" t="s">
        <v>23</v>
      </c>
      <c r="Y147" s="56"/>
      <c r="Z147" s="56"/>
      <c r="AA147" s="57" t="s">
        <v>23</v>
      </c>
      <c r="AB147" s="56"/>
      <c r="AC147" s="56"/>
      <c r="AD147" s="57" t="s">
        <v>23</v>
      </c>
      <c r="AE147" s="56"/>
      <c r="AF147" s="56"/>
      <c r="AG147" s="57" t="s">
        <v>23</v>
      </c>
      <c r="AH147" s="56"/>
      <c r="AI147" s="56"/>
      <c r="AJ147" s="57" t="s">
        <v>23</v>
      </c>
      <c r="AK147" s="56"/>
      <c r="AL147" s="56"/>
      <c r="AM147" s="57" t="s">
        <v>23</v>
      </c>
      <c r="AN147" s="56"/>
      <c r="AO147" s="56"/>
      <c r="AP147" s="57" t="s">
        <v>23</v>
      </c>
      <c r="AQ147" s="56"/>
      <c r="AR147" s="56"/>
      <c r="AS147" s="57" t="s">
        <v>23</v>
      </c>
      <c r="AT147" s="56"/>
      <c r="AU147" s="56"/>
      <c r="AV147" s="57" t="s">
        <v>23</v>
      </c>
      <c r="AW147" s="56"/>
      <c r="AX147" s="56"/>
      <c r="AY147" s="57" t="s">
        <v>23</v>
      </c>
      <c r="AZ147" s="56"/>
      <c r="BA147" s="56"/>
      <c r="BB147" s="57" t="s">
        <v>23</v>
      </c>
      <c r="BC147" s="56"/>
      <c r="BD147" s="56"/>
      <c r="BE147" s="57" t="s">
        <v>23</v>
      </c>
      <c r="BF147" s="56"/>
      <c r="BG147" s="56"/>
      <c r="BH147" s="57" t="s">
        <v>23</v>
      </c>
      <c r="BI147" s="56"/>
      <c r="BJ147" s="56"/>
      <c r="BK147" s="57" t="s">
        <v>23</v>
      </c>
    </row>
    <row r="148" spans="1:63" s="27" customFormat="1" ht="15.25" customHeight="1">
      <c r="A148" s="64"/>
      <c r="B148" s="63"/>
      <c r="C148" s="62" t="s">
        <v>194</v>
      </c>
      <c r="D148" s="61"/>
      <c r="E148" s="61"/>
      <c r="F148" s="61"/>
      <c r="G148" s="61"/>
      <c r="H148" s="61"/>
      <c r="I148" s="60"/>
      <c r="J148" s="61"/>
      <c r="K148" s="60"/>
      <c r="L148" s="60"/>
      <c r="M148" s="61"/>
      <c r="N148" s="61"/>
      <c r="O148" s="61"/>
      <c r="P148" s="61"/>
      <c r="Q148" s="61"/>
      <c r="R148" s="60"/>
      <c r="S148" s="59" t="s">
        <v>193</v>
      </c>
      <c r="T148" s="58"/>
      <c r="U148" s="57" t="s">
        <v>23</v>
      </c>
      <c r="V148" s="56"/>
      <c r="W148" s="56"/>
      <c r="X148" s="57" t="s">
        <v>23</v>
      </c>
      <c r="Y148" s="56"/>
      <c r="Z148" s="56"/>
      <c r="AA148" s="57" t="s">
        <v>23</v>
      </c>
      <c r="AB148" s="56"/>
      <c r="AC148" s="56"/>
      <c r="AD148" s="57" t="s">
        <v>23</v>
      </c>
      <c r="AE148" s="56"/>
      <c r="AF148" s="56"/>
      <c r="AG148" s="57" t="s">
        <v>23</v>
      </c>
      <c r="AH148" s="56"/>
      <c r="AI148" s="56"/>
      <c r="AJ148" s="57" t="s">
        <v>23</v>
      </c>
      <c r="AK148" s="56"/>
      <c r="AL148" s="56"/>
      <c r="AM148" s="57" t="s">
        <v>23</v>
      </c>
      <c r="AN148" s="56"/>
      <c r="AO148" s="56"/>
      <c r="AP148" s="57" t="s">
        <v>23</v>
      </c>
      <c r="AQ148" s="56"/>
      <c r="AR148" s="56"/>
      <c r="AS148" s="57" t="s">
        <v>23</v>
      </c>
      <c r="AT148" s="56"/>
      <c r="AU148" s="56"/>
      <c r="AV148" s="57" t="s">
        <v>23</v>
      </c>
      <c r="AW148" s="56"/>
      <c r="AX148" s="56"/>
      <c r="AY148" s="57" t="s">
        <v>23</v>
      </c>
      <c r="AZ148" s="56"/>
      <c r="BA148" s="56"/>
      <c r="BB148" s="57" t="s">
        <v>23</v>
      </c>
      <c r="BC148" s="56"/>
      <c r="BD148" s="56"/>
      <c r="BE148" s="57" t="s">
        <v>23</v>
      </c>
      <c r="BF148" s="56"/>
      <c r="BG148" s="56"/>
      <c r="BH148" s="57" t="s">
        <v>23</v>
      </c>
      <c r="BI148" s="56"/>
      <c r="BJ148" s="56"/>
      <c r="BK148" s="57" t="s">
        <v>23</v>
      </c>
    </row>
    <row r="149" spans="1:63" s="27" customFormat="1" ht="15.25" customHeight="1">
      <c r="A149" s="64"/>
      <c r="B149" s="63"/>
      <c r="C149" s="62" t="s">
        <v>192</v>
      </c>
      <c r="D149" s="61"/>
      <c r="E149" s="61"/>
      <c r="F149" s="61"/>
      <c r="G149" s="61"/>
      <c r="H149" s="61"/>
      <c r="I149" s="60"/>
      <c r="J149" s="61"/>
      <c r="K149" s="60"/>
      <c r="L149" s="60"/>
      <c r="M149" s="61"/>
      <c r="N149" s="61"/>
      <c r="O149" s="61"/>
      <c r="P149" s="61"/>
      <c r="Q149" s="61"/>
      <c r="R149" s="60"/>
      <c r="S149" s="59" t="s">
        <v>191</v>
      </c>
      <c r="T149" s="58"/>
      <c r="U149" s="57" t="s">
        <v>23</v>
      </c>
      <c r="V149" s="56"/>
      <c r="W149" s="56"/>
      <c r="X149" s="57" t="s">
        <v>23</v>
      </c>
      <c r="Y149" s="56"/>
      <c r="Z149" s="56"/>
      <c r="AA149" s="57" t="s">
        <v>23</v>
      </c>
      <c r="AB149" s="56"/>
      <c r="AC149" s="56"/>
      <c r="AD149" s="57" t="s">
        <v>23</v>
      </c>
      <c r="AE149" s="56"/>
      <c r="AF149" s="56"/>
      <c r="AG149" s="57" t="s">
        <v>23</v>
      </c>
      <c r="AH149" s="56"/>
      <c r="AI149" s="56"/>
      <c r="AJ149" s="57" t="s">
        <v>23</v>
      </c>
      <c r="AK149" s="56"/>
      <c r="AL149" s="56"/>
      <c r="AM149" s="57" t="s">
        <v>23</v>
      </c>
      <c r="AN149" s="56"/>
      <c r="AO149" s="56"/>
      <c r="AP149" s="57" t="s">
        <v>23</v>
      </c>
      <c r="AQ149" s="56"/>
      <c r="AR149" s="56"/>
      <c r="AS149" s="57" t="s">
        <v>23</v>
      </c>
      <c r="AT149" s="56"/>
      <c r="AU149" s="56"/>
      <c r="AV149" s="57" t="s">
        <v>23</v>
      </c>
      <c r="AW149" s="56"/>
      <c r="AX149" s="56"/>
      <c r="AY149" s="57" t="s">
        <v>23</v>
      </c>
      <c r="AZ149" s="56"/>
      <c r="BA149" s="56"/>
      <c r="BB149" s="57" t="s">
        <v>23</v>
      </c>
      <c r="BC149" s="56"/>
      <c r="BD149" s="56"/>
      <c r="BE149" s="57" t="s">
        <v>23</v>
      </c>
      <c r="BF149" s="56"/>
      <c r="BG149" s="56"/>
      <c r="BH149" s="57" t="s">
        <v>23</v>
      </c>
      <c r="BI149" s="56"/>
      <c r="BJ149" s="56"/>
      <c r="BK149" s="57" t="s">
        <v>23</v>
      </c>
    </row>
    <row r="150" spans="1:63" s="27" customFormat="1" ht="15.25" customHeight="1">
      <c r="A150" s="64"/>
      <c r="B150" s="63"/>
      <c r="C150" s="62" t="s">
        <v>190</v>
      </c>
      <c r="D150" s="61"/>
      <c r="E150" s="61"/>
      <c r="F150" s="61"/>
      <c r="G150" s="61"/>
      <c r="H150" s="61"/>
      <c r="I150" s="60"/>
      <c r="J150" s="61"/>
      <c r="K150" s="60"/>
      <c r="L150" s="60"/>
      <c r="M150" s="61"/>
      <c r="N150" s="61"/>
      <c r="O150" s="61"/>
      <c r="P150" s="61"/>
      <c r="Q150" s="61"/>
      <c r="R150" s="60"/>
      <c r="S150" s="59" t="s">
        <v>189</v>
      </c>
      <c r="T150" s="58"/>
      <c r="U150" s="57" t="s">
        <v>23</v>
      </c>
      <c r="V150" s="56"/>
      <c r="W150" s="56"/>
      <c r="X150" s="57" t="s">
        <v>23</v>
      </c>
      <c r="Y150" s="56"/>
      <c r="Z150" s="56"/>
      <c r="AA150" s="57" t="s">
        <v>23</v>
      </c>
      <c r="AB150" s="56"/>
      <c r="AC150" s="56"/>
      <c r="AD150" s="57" t="s">
        <v>23</v>
      </c>
      <c r="AE150" s="56"/>
      <c r="AF150" s="56"/>
      <c r="AG150" s="57" t="s">
        <v>23</v>
      </c>
      <c r="AH150" s="56"/>
      <c r="AI150" s="56"/>
      <c r="AJ150" s="57" t="s">
        <v>23</v>
      </c>
      <c r="AK150" s="56"/>
      <c r="AL150" s="56"/>
      <c r="AM150" s="57" t="s">
        <v>23</v>
      </c>
      <c r="AN150" s="56"/>
      <c r="AO150" s="56"/>
      <c r="AP150" s="57" t="s">
        <v>23</v>
      </c>
      <c r="AQ150" s="56"/>
      <c r="AR150" s="56"/>
      <c r="AS150" s="57" t="s">
        <v>23</v>
      </c>
      <c r="AT150" s="56"/>
      <c r="AU150" s="56"/>
      <c r="AV150" s="57" t="s">
        <v>23</v>
      </c>
      <c r="AW150" s="56"/>
      <c r="AX150" s="56"/>
      <c r="AY150" s="57" t="s">
        <v>23</v>
      </c>
      <c r="AZ150" s="56"/>
      <c r="BA150" s="56"/>
      <c r="BB150" s="57" t="s">
        <v>23</v>
      </c>
      <c r="BC150" s="56"/>
      <c r="BD150" s="56"/>
      <c r="BE150" s="57" t="s">
        <v>23</v>
      </c>
      <c r="BF150" s="56"/>
      <c r="BG150" s="56"/>
      <c r="BH150" s="57" t="s">
        <v>23</v>
      </c>
      <c r="BI150" s="56"/>
      <c r="BJ150" s="56"/>
      <c r="BK150" s="57" t="s">
        <v>23</v>
      </c>
    </row>
    <row r="151" spans="1:63" s="27" customFormat="1" ht="15.25" customHeight="1">
      <c r="A151" s="64"/>
      <c r="B151" s="63"/>
      <c r="C151" s="62" t="s">
        <v>188</v>
      </c>
      <c r="D151" s="61"/>
      <c r="E151" s="61"/>
      <c r="F151" s="61"/>
      <c r="G151" s="61"/>
      <c r="H151" s="61"/>
      <c r="I151" s="60"/>
      <c r="J151" s="61"/>
      <c r="K151" s="60"/>
      <c r="L151" s="60"/>
      <c r="M151" s="61"/>
      <c r="N151" s="61"/>
      <c r="O151" s="61"/>
      <c r="P151" s="61"/>
      <c r="Q151" s="61"/>
      <c r="R151" s="60"/>
      <c r="S151" s="59" t="s">
        <v>187</v>
      </c>
      <c r="T151" s="58"/>
      <c r="U151" s="57" t="s">
        <v>23</v>
      </c>
      <c r="V151" s="56"/>
      <c r="W151" s="56"/>
      <c r="X151" s="57" t="s">
        <v>23</v>
      </c>
      <c r="Y151" s="56"/>
      <c r="Z151" s="56"/>
      <c r="AA151" s="57" t="s">
        <v>23</v>
      </c>
      <c r="AB151" s="56"/>
      <c r="AC151" s="56"/>
      <c r="AD151" s="57" t="s">
        <v>23</v>
      </c>
      <c r="AE151" s="56"/>
      <c r="AF151" s="56"/>
      <c r="AG151" s="57" t="s">
        <v>23</v>
      </c>
      <c r="AH151" s="56"/>
      <c r="AI151" s="56"/>
      <c r="AJ151" s="57" t="s">
        <v>23</v>
      </c>
      <c r="AK151" s="56"/>
      <c r="AL151" s="56"/>
      <c r="AM151" s="57" t="s">
        <v>23</v>
      </c>
      <c r="AN151" s="56"/>
      <c r="AO151" s="56"/>
      <c r="AP151" s="57" t="s">
        <v>23</v>
      </c>
      <c r="AQ151" s="56"/>
      <c r="AR151" s="56"/>
      <c r="AS151" s="57" t="s">
        <v>23</v>
      </c>
      <c r="AT151" s="56"/>
      <c r="AU151" s="56"/>
      <c r="AV151" s="57" t="s">
        <v>23</v>
      </c>
      <c r="AW151" s="56"/>
      <c r="AX151" s="56"/>
      <c r="AY151" s="57" t="s">
        <v>23</v>
      </c>
      <c r="AZ151" s="56"/>
      <c r="BA151" s="56"/>
      <c r="BB151" s="57" t="s">
        <v>23</v>
      </c>
      <c r="BC151" s="56"/>
      <c r="BD151" s="56"/>
      <c r="BE151" s="57" t="s">
        <v>23</v>
      </c>
      <c r="BF151" s="56"/>
      <c r="BG151" s="56"/>
      <c r="BH151" s="57" t="s">
        <v>23</v>
      </c>
      <c r="BI151" s="56"/>
      <c r="BJ151" s="56"/>
      <c r="BK151" s="57" t="s">
        <v>23</v>
      </c>
    </row>
    <row r="152" spans="1:63" s="27" customFormat="1" ht="15.25" customHeight="1">
      <c r="A152" s="64"/>
      <c r="B152" s="63"/>
      <c r="C152" s="62" t="s">
        <v>186</v>
      </c>
      <c r="D152" s="61"/>
      <c r="E152" s="61"/>
      <c r="F152" s="61"/>
      <c r="G152" s="61"/>
      <c r="H152" s="61"/>
      <c r="I152" s="60"/>
      <c r="J152" s="61"/>
      <c r="K152" s="60"/>
      <c r="L152" s="60"/>
      <c r="M152" s="61"/>
      <c r="N152" s="61"/>
      <c r="O152" s="61"/>
      <c r="P152" s="61"/>
      <c r="Q152" s="61"/>
      <c r="R152" s="60"/>
      <c r="S152" s="59" t="s">
        <v>185</v>
      </c>
      <c r="T152" s="58"/>
      <c r="U152" s="57" t="s">
        <v>23</v>
      </c>
      <c r="V152" s="56"/>
      <c r="W152" s="56"/>
      <c r="X152" s="57" t="s">
        <v>23</v>
      </c>
      <c r="Y152" s="56"/>
      <c r="Z152" s="56"/>
      <c r="AA152" s="57" t="s">
        <v>23</v>
      </c>
      <c r="AB152" s="56"/>
      <c r="AC152" s="56"/>
      <c r="AD152" s="57" t="s">
        <v>23</v>
      </c>
      <c r="AE152" s="56"/>
      <c r="AF152" s="56"/>
      <c r="AG152" s="57" t="s">
        <v>23</v>
      </c>
      <c r="AH152" s="56"/>
      <c r="AI152" s="56"/>
      <c r="AJ152" s="57" t="s">
        <v>23</v>
      </c>
      <c r="AK152" s="56"/>
      <c r="AL152" s="56"/>
      <c r="AM152" s="57" t="s">
        <v>23</v>
      </c>
      <c r="AN152" s="56"/>
      <c r="AO152" s="56"/>
      <c r="AP152" s="57" t="s">
        <v>23</v>
      </c>
      <c r="AQ152" s="56"/>
      <c r="AR152" s="56"/>
      <c r="AS152" s="57" t="s">
        <v>23</v>
      </c>
      <c r="AT152" s="56"/>
      <c r="AU152" s="56"/>
      <c r="AV152" s="57" t="s">
        <v>23</v>
      </c>
      <c r="AW152" s="56"/>
      <c r="AX152" s="56"/>
      <c r="AY152" s="57" t="s">
        <v>23</v>
      </c>
      <c r="AZ152" s="56"/>
      <c r="BA152" s="56"/>
      <c r="BB152" s="57" t="s">
        <v>23</v>
      </c>
      <c r="BC152" s="56"/>
      <c r="BD152" s="56"/>
      <c r="BE152" s="57" t="s">
        <v>23</v>
      </c>
      <c r="BF152" s="56"/>
      <c r="BG152" s="56"/>
      <c r="BH152" s="57" t="s">
        <v>23</v>
      </c>
      <c r="BI152" s="56"/>
      <c r="BJ152" s="56"/>
      <c r="BK152" s="57" t="s">
        <v>23</v>
      </c>
    </row>
    <row r="153" spans="1:63" s="27" customFormat="1" ht="15.25" customHeight="1">
      <c r="A153" s="64"/>
      <c r="B153" s="63"/>
      <c r="C153" s="62" t="s">
        <v>184</v>
      </c>
      <c r="D153" s="61"/>
      <c r="E153" s="61"/>
      <c r="F153" s="61"/>
      <c r="G153" s="61"/>
      <c r="H153" s="61"/>
      <c r="I153" s="60"/>
      <c r="J153" s="61"/>
      <c r="K153" s="60"/>
      <c r="L153" s="60"/>
      <c r="M153" s="61"/>
      <c r="N153" s="61"/>
      <c r="O153" s="61"/>
      <c r="P153" s="61"/>
      <c r="Q153" s="61"/>
      <c r="R153" s="60"/>
      <c r="S153" s="59" t="s">
        <v>183</v>
      </c>
      <c r="T153" s="58"/>
      <c r="U153" s="57" t="s">
        <v>23</v>
      </c>
      <c r="V153" s="56"/>
      <c r="W153" s="56"/>
      <c r="X153" s="57" t="s">
        <v>23</v>
      </c>
      <c r="Y153" s="56"/>
      <c r="Z153" s="56"/>
      <c r="AA153" s="57" t="s">
        <v>23</v>
      </c>
      <c r="AB153" s="56"/>
      <c r="AC153" s="56"/>
      <c r="AD153" s="57" t="s">
        <v>23</v>
      </c>
      <c r="AE153" s="56"/>
      <c r="AF153" s="56"/>
      <c r="AG153" s="57" t="s">
        <v>23</v>
      </c>
      <c r="AH153" s="56"/>
      <c r="AI153" s="56"/>
      <c r="AJ153" s="57" t="s">
        <v>23</v>
      </c>
      <c r="AK153" s="56"/>
      <c r="AL153" s="56"/>
      <c r="AM153" s="57" t="s">
        <v>23</v>
      </c>
      <c r="AN153" s="56"/>
      <c r="AO153" s="56"/>
      <c r="AP153" s="57" t="s">
        <v>23</v>
      </c>
      <c r="AQ153" s="56"/>
      <c r="AR153" s="56"/>
      <c r="AS153" s="57" t="s">
        <v>23</v>
      </c>
      <c r="AT153" s="56"/>
      <c r="AU153" s="56"/>
      <c r="AV153" s="57" t="s">
        <v>23</v>
      </c>
      <c r="AW153" s="56"/>
      <c r="AX153" s="56"/>
      <c r="AY153" s="57" t="s">
        <v>23</v>
      </c>
      <c r="AZ153" s="56"/>
      <c r="BA153" s="56"/>
      <c r="BB153" s="57" t="s">
        <v>23</v>
      </c>
      <c r="BC153" s="56"/>
      <c r="BD153" s="56"/>
      <c r="BE153" s="57" t="s">
        <v>23</v>
      </c>
      <c r="BF153" s="56"/>
      <c r="BG153" s="56"/>
      <c r="BH153" s="57" t="s">
        <v>23</v>
      </c>
      <c r="BI153" s="56"/>
      <c r="BJ153" s="56"/>
      <c r="BK153" s="57" t="s">
        <v>23</v>
      </c>
    </row>
    <row r="154" spans="1:63" s="27" customFormat="1" ht="15.25" customHeight="1">
      <c r="A154" s="64"/>
      <c r="B154" s="63"/>
      <c r="C154" s="62" t="s">
        <v>182</v>
      </c>
      <c r="D154" s="61"/>
      <c r="E154" s="61"/>
      <c r="F154" s="61"/>
      <c r="G154" s="61"/>
      <c r="H154" s="61"/>
      <c r="I154" s="60"/>
      <c r="J154" s="61"/>
      <c r="K154" s="60"/>
      <c r="L154" s="60"/>
      <c r="M154" s="61"/>
      <c r="N154" s="61"/>
      <c r="O154" s="61"/>
      <c r="P154" s="61"/>
      <c r="Q154" s="61"/>
      <c r="R154" s="60"/>
      <c r="S154" s="59" t="s">
        <v>181</v>
      </c>
      <c r="T154" s="58"/>
      <c r="U154" s="57" t="s">
        <v>23</v>
      </c>
      <c r="V154" s="56"/>
      <c r="W154" s="56"/>
      <c r="X154" s="57" t="s">
        <v>23</v>
      </c>
      <c r="Y154" s="56"/>
      <c r="Z154" s="56"/>
      <c r="AA154" s="57" t="s">
        <v>23</v>
      </c>
      <c r="AB154" s="56"/>
      <c r="AC154" s="56"/>
      <c r="AD154" s="57" t="s">
        <v>23</v>
      </c>
      <c r="AE154" s="56"/>
      <c r="AF154" s="56"/>
      <c r="AG154" s="57" t="s">
        <v>23</v>
      </c>
      <c r="AH154" s="56"/>
      <c r="AI154" s="56"/>
      <c r="AJ154" s="57" t="s">
        <v>23</v>
      </c>
      <c r="AK154" s="56"/>
      <c r="AL154" s="56"/>
      <c r="AM154" s="57" t="s">
        <v>23</v>
      </c>
      <c r="AN154" s="56"/>
      <c r="AO154" s="56"/>
      <c r="AP154" s="57" t="s">
        <v>23</v>
      </c>
      <c r="AQ154" s="56"/>
      <c r="AR154" s="56"/>
      <c r="AS154" s="57" t="s">
        <v>23</v>
      </c>
      <c r="AT154" s="56"/>
      <c r="AU154" s="56"/>
      <c r="AV154" s="57" t="s">
        <v>23</v>
      </c>
      <c r="AW154" s="56"/>
      <c r="AX154" s="56"/>
      <c r="AY154" s="57" t="s">
        <v>23</v>
      </c>
      <c r="AZ154" s="56"/>
      <c r="BA154" s="56"/>
      <c r="BB154" s="57" t="s">
        <v>23</v>
      </c>
      <c r="BC154" s="56"/>
      <c r="BD154" s="56"/>
      <c r="BE154" s="57" t="s">
        <v>23</v>
      </c>
      <c r="BF154" s="56"/>
      <c r="BG154" s="56"/>
      <c r="BH154" s="57" t="s">
        <v>23</v>
      </c>
      <c r="BI154" s="56"/>
      <c r="BJ154" s="56"/>
      <c r="BK154" s="57" t="s">
        <v>23</v>
      </c>
    </row>
    <row r="155" spans="1:63" s="27" customFormat="1" ht="15.25" customHeight="1">
      <c r="A155" s="64"/>
      <c r="B155" s="63"/>
      <c r="C155" s="62" t="s">
        <v>180</v>
      </c>
      <c r="D155" s="61"/>
      <c r="E155" s="61"/>
      <c r="F155" s="61"/>
      <c r="G155" s="61"/>
      <c r="H155" s="61"/>
      <c r="I155" s="60"/>
      <c r="J155" s="61"/>
      <c r="K155" s="60"/>
      <c r="L155" s="60"/>
      <c r="M155" s="61"/>
      <c r="N155" s="61"/>
      <c r="O155" s="61"/>
      <c r="P155" s="61"/>
      <c r="Q155" s="61"/>
      <c r="R155" s="60"/>
      <c r="S155" s="59" t="s">
        <v>179</v>
      </c>
      <c r="T155" s="58"/>
      <c r="U155" s="57" t="s">
        <v>23</v>
      </c>
      <c r="V155" s="56"/>
      <c r="W155" s="56"/>
      <c r="X155" s="57" t="s">
        <v>23</v>
      </c>
      <c r="Y155" s="56"/>
      <c r="Z155" s="56"/>
      <c r="AA155" s="57" t="s">
        <v>23</v>
      </c>
      <c r="AB155" s="56"/>
      <c r="AC155" s="56"/>
      <c r="AD155" s="57" t="s">
        <v>23</v>
      </c>
      <c r="AE155" s="56"/>
      <c r="AF155" s="56"/>
      <c r="AG155" s="57" t="s">
        <v>23</v>
      </c>
      <c r="AH155" s="56"/>
      <c r="AI155" s="56"/>
      <c r="AJ155" s="57" t="s">
        <v>23</v>
      </c>
      <c r="AK155" s="56"/>
      <c r="AL155" s="56"/>
      <c r="AM155" s="57" t="s">
        <v>23</v>
      </c>
      <c r="AN155" s="56"/>
      <c r="AO155" s="56"/>
      <c r="AP155" s="57" t="s">
        <v>23</v>
      </c>
      <c r="AQ155" s="56"/>
      <c r="AR155" s="56"/>
      <c r="AS155" s="57" t="s">
        <v>23</v>
      </c>
      <c r="AT155" s="56"/>
      <c r="AU155" s="56"/>
      <c r="AV155" s="57" t="s">
        <v>23</v>
      </c>
      <c r="AW155" s="56"/>
      <c r="AX155" s="56"/>
      <c r="AY155" s="57" t="s">
        <v>23</v>
      </c>
      <c r="AZ155" s="56"/>
      <c r="BA155" s="56"/>
      <c r="BB155" s="57" t="s">
        <v>23</v>
      </c>
      <c r="BC155" s="56"/>
      <c r="BD155" s="56"/>
      <c r="BE155" s="57" t="s">
        <v>23</v>
      </c>
      <c r="BF155" s="56"/>
      <c r="BG155" s="56"/>
      <c r="BH155" s="57" t="s">
        <v>23</v>
      </c>
      <c r="BI155" s="56"/>
      <c r="BJ155" s="56"/>
      <c r="BK155" s="57" t="s">
        <v>23</v>
      </c>
    </row>
    <row r="156" spans="1:63" s="27" customFormat="1" ht="15.25" customHeight="1">
      <c r="A156" s="64"/>
      <c r="B156" s="63"/>
      <c r="C156" s="62" t="s">
        <v>178</v>
      </c>
      <c r="D156" s="61"/>
      <c r="E156" s="61"/>
      <c r="F156" s="61"/>
      <c r="G156" s="61"/>
      <c r="H156" s="61"/>
      <c r="I156" s="60"/>
      <c r="J156" s="61"/>
      <c r="K156" s="60"/>
      <c r="L156" s="60"/>
      <c r="M156" s="61"/>
      <c r="N156" s="61"/>
      <c r="O156" s="61"/>
      <c r="P156" s="61"/>
      <c r="Q156" s="61"/>
      <c r="R156" s="60"/>
      <c r="S156" s="59" t="s">
        <v>177</v>
      </c>
      <c r="T156" s="58"/>
      <c r="U156" s="57" t="s">
        <v>23</v>
      </c>
      <c r="V156" s="56"/>
      <c r="W156" s="56"/>
      <c r="X156" s="57" t="s">
        <v>23</v>
      </c>
      <c r="Y156" s="56"/>
      <c r="Z156" s="56"/>
      <c r="AA156" s="57" t="s">
        <v>23</v>
      </c>
      <c r="AB156" s="56"/>
      <c r="AC156" s="56"/>
      <c r="AD156" s="57" t="s">
        <v>23</v>
      </c>
      <c r="AE156" s="56"/>
      <c r="AF156" s="56"/>
      <c r="AG156" s="57" t="s">
        <v>23</v>
      </c>
      <c r="AH156" s="56"/>
      <c r="AI156" s="56"/>
      <c r="AJ156" s="57" t="s">
        <v>23</v>
      </c>
      <c r="AK156" s="56"/>
      <c r="AL156" s="56"/>
      <c r="AM156" s="57" t="s">
        <v>23</v>
      </c>
      <c r="AN156" s="56"/>
      <c r="AO156" s="56"/>
      <c r="AP156" s="57" t="s">
        <v>23</v>
      </c>
      <c r="AQ156" s="56"/>
      <c r="AR156" s="56"/>
      <c r="AS156" s="57" t="s">
        <v>23</v>
      </c>
      <c r="AT156" s="56"/>
      <c r="AU156" s="56"/>
      <c r="AV156" s="57" t="s">
        <v>23</v>
      </c>
      <c r="AW156" s="56"/>
      <c r="AX156" s="56"/>
      <c r="AY156" s="57" t="s">
        <v>23</v>
      </c>
      <c r="AZ156" s="56"/>
      <c r="BA156" s="56"/>
      <c r="BB156" s="57" t="s">
        <v>23</v>
      </c>
      <c r="BC156" s="56"/>
      <c r="BD156" s="56"/>
      <c r="BE156" s="57" t="s">
        <v>23</v>
      </c>
      <c r="BF156" s="56"/>
      <c r="BG156" s="56"/>
      <c r="BH156" s="57" t="s">
        <v>23</v>
      </c>
      <c r="BI156" s="56"/>
      <c r="BJ156" s="56"/>
      <c r="BK156" s="57" t="s">
        <v>23</v>
      </c>
    </row>
    <row r="157" spans="1:63" s="27" customFormat="1" ht="15.25" customHeight="1">
      <c r="A157" s="64"/>
      <c r="B157" s="63"/>
      <c r="C157" s="62" t="s">
        <v>176</v>
      </c>
      <c r="D157" s="61"/>
      <c r="E157" s="61"/>
      <c r="F157" s="61"/>
      <c r="G157" s="61"/>
      <c r="H157" s="61"/>
      <c r="I157" s="60"/>
      <c r="J157" s="61"/>
      <c r="K157" s="60"/>
      <c r="L157" s="60"/>
      <c r="M157" s="61"/>
      <c r="N157" s="61"/>
      <c r="O157" s="61"/>
      <c r="P157" s="61"/>
      <c r="Q157" s="61"/>
      <c r="R157" s="60"/>
      <c r="S157" s="59" t="s">
        <v>175</v>
      </c>
      <c r="T157" s="58"/>
      <c r="U157" s="57" t="s">
        <v>23</v>
      </c>
      <c r="V157" s="56"/>
      <c r="W157" s="56"/>
      <c r="X157" s="57" t="s">
        <v>23</v>
      </c>
      <c r="Y157" s="56"/>
      <c r="Z157" s="56"/>
      <c r="AA157" s="57" t="s">
        <v>23</v>
      </c>
      <c r="AB157" s="56"/>
      <c r="AC157" s="56"/>
      <c r="AD157" s="57" t="s">
        <v>23</v>
      </c>
      <c r="AE157" s="56"/>
      <c r="AF157" s="56"/>
      <c r="AG157" s="57" t="s">
        <v>23</v>
      </c>
      <c r="AH157" s="56"/>
      <c r="AI157" s="56"/>
      <c r="AJ157" s="57" t="s">
        <v>23</v>
      </c>
      <c r="AK157" s="56"/>
      <c r="AL157" s="56"/>
      <c r="AM157" s="57" t="s">
        <v>23</v>
      </c>
      <c r="AN157" s="56"/>
      <c r="AO157" s="56"/>
      <c r="AP157" s="57" t="s">
        <v>23</v>
      </c>
      <c r="AQ157" s="56"/>
      <c r="AR157" s="56"/>
      <c r="AS157" s="57" t="s">
        <v>23</v>
      </c>
      <c r="AT157" s="56"/>
      <c r="AU157" s="56"/>
      <c r="AV157" s="57" t="s">
        <v>23</v>
      </c>
      <c r="AW157" s="56"/>
      <c r="AX157" s="56"/>
      <c r="AY157" s="57" t="s">
        <v>23</v>
      </c>
      <c r="AZ157" s="56"/>
      <c r="BA157" s="56"/>
      <c r="BB157" s="57" t="s">
        <v>23</v>
      </c>
      <c r="BC157" s="56"/>
      <c r="BD157" s="56"/>
      <c r="BE157" s="57" t="s">
        <v>23</v>
      </c>
      <c r="BF157" s="56"/>
      <c r="BG157" s="56"/>
      <c r="BH157" s="57" t="s">
        <v>23</v>
      </c>
      <c r="BI157" s="56"/>
      <c r="BJ157" s="56"/>
      <c r="BK157" s="57" t="s">
        <v>23</v>
      </c>
    </row>
    <row r="158" spans="1:63" s="27" customFormat="1" ht="15.25" customHeight="1">
      <c r="A158" s="64"/>
      <c r="B158" s="63"/>
      <c r="C158" s="62" t="s">
        <v>174</v>
      </c>
      <c r="D158" s="61"/>
      <c r="E158" s="61"/>
      <c r="F158" s="61"/>
      <c r="G158" s="61"/>
      <c r="H158" s="61"/>
      <c r="I158" s="60"/>
      <c r="J158" s="61"/>
      <c r="K158" s="60"/>
      <c r="L158" s="60"/>
      <c r="M158" s="61"/>
      <c r="N158" s="61"/>
      <c r="O158" s="61"/>
      <c r="P158" s="61"/>
      <c r="Q158" s="61"/>
      <c r="R158" s="60"/>
      <c r="S158" s="59" t="s">
        <v>173</v>
      </c>
      <c r="T158" s="58"/>
      <c r="U158" s="57" t="s">
        <v>23</v>
      </c>
      <c r="V158" s="56"/>
      <c r="W158" s="56"/>
      <c r="X158" s="57" t="s">
        <v>23</v>
      </c>
      <c r="Y158" s="56"/>
      <c r="Z158" s="56"/>
      <c r="AA158" s="57" t="s">
        <v>23</v>
      </c>
      <c r="AB158" s="56"/>
      <c r="AC158" s="56"/>
      <c r="AD158" s="57" t="s">
        <v>23</v>
      </c>
      <c r="AE158" s="56"/>
      <c r="AF158" s="56"/>
      <c r="AG158" s="57" t="s">
        <v>23</v>
      </c>
      <c r="AH158" s="56"/>
      <c r="AI158" s="56"/>
      <c r="AJ158" s="57" t="s">
        <v>23</v>
      </c>
      <c r="AK158" s="56"/>
      <c r="AL158" s="56"/>
      <c r="AM158" s="57" t="s">
        <v>23</v>
      </c>
      <c r="AN158" s="56"/>
      <c r="AO158" s="56"/>
      <c r="AP158" s="57" t="s">
        <v>23</v>
      </c>
      <c r="AQ158" s="56"/>
      <c r="AR158" s="56"/>
      <c r="AS158" s="57" t="s">
        <v>23</v>
      </c>
      <c r="AT158" s="56"/>
      <c r="AU158" s="56"/>
      <c r="AV158" s="57" t="s">
        <v>23</v>
      </c>
      <c r="AW158" s="56"/>
      <c r="AX158" s="56"/>
      <c r="AY158" s="57" t="s">
        <v>23</v>
      </c>
      <c r="AZ158" s="56"/>
      <c r="BA158" s="56"/>
      <c r="BB158" s="57" t="s">
        <v>23</v>
      </c>
      <c r="BC158" s="56"/>
      <c r="BD158" s="56"/>
      <c r="BE158" s="57" t="s">
        <v>23</v>
      </c>
      <c r="BF158" s="56"/>
      <c r="BG158" s="56"/>
      <c r="BH158" s="57" t="s">
        <v>23</v>
      </c>
      <c r="BI158" s="56"/>
      <c r="BJ158" s="56"/>
      <c r="BK158" s="57" t="s">
        <v>23</v>
      </c>
    </row>
    <row r="159" spans="1:63" s="27" customFormat="1" ht="15.25" customHeight="1">
      <c r="A159" s="64"/>
      <c r="B159" s="63"/>
      <c r="C159" s="62" t="s">
        <v>172</v>
      </c>
      <c r="D159" s="61"/>
      <c r="E159" s="61"/>
      <c r="F159" s="61"/>
      <c r="G159" s="61"/>
      <c r="H159" s="61"/>
      <c r="I159" s="60"/>
      <c r="J159" s="61"/>
      <c r="K159" s="60"/>
      <c r="L159" s="60"/>
      <c r="M159" s="61"/>
      <c r="N159" s="61"/>
      <c r="O159" s="61"/>
      <c r="P159" s="61"/>
      <c r="Q159" s="61"/>
      <c r="R159" s="60"/>
      <c r="S159" s="59" t="s">
        <v>171</v>
      </c>
      <c r="T159" s="58"/>
      <c r="U159" s="57" t="s">
        <v>23</v>
      </c>
      <c r="V159" s="56"/>
      <c r="W159" s="56"/>
      <c r="X159" s="57" t="s">
        <v>23</v>
      </c>
      <c r="Y159" s="56"/>
      <c r="Z159" s="56"/>
      <c r="AA159" s="57" t="s">
        <v>23</v>
      </c>
      <c r="AB159" s="56"/>
      <c r="AC159" s="56"/>
      <c r="AD159" s="57" t="s">
        <v>23</v>
      </c>
      <c r="AE159" s="56"/>
      <c r="AF159" s="56"/>
      <c r="AG159" s="57" t="s">
        <v>23</v>
      </c>
      <c r="AH159" s="56"/>
      <c r="AI159" s="56"/>
      <c r="AJ159" s="57" t="s">
        <v>23</v>
      </c>
      <c r="AK159" s="56"/>
      <c r="AL159" s="56"/>
      <c r="AM159" s="57" t="s">
        <v>23</v>
      </c>
      <c r="AN159" s="56"/>
      <c r="AO159" s="56"/>
      <c r="AP159" s="57" t="s">
        <v>23</v>
      </c>
      <c r="AQ159" s="56"/>
      <c r="AR159" s="56"/>
      <c r="AS159" s="57" t="s">
        <v>23</v>
      </c>
      <c r="AT159" s="56"/>
      <c r="AU159" s="56"/>
      <c r="AV159" s="57" t="s">
        <v>23</v>
      </c>
      <c r="AW159" s="56"/>
      <c r="AX159" s="56"/>
      <c r="AY159" s="57" t="s">
        <v>23</v>
      </c>
      <c r="AZ159" s="56"/>
      <c r="BA159" s="56"/>
      <c r="BB159" s="57" t="s">
        <v>23</v>
      </c>
      <c r="BC159" s="56"/>
      <c r="BD159" s="56"/>
      <c r="BE159" s="57" t="s">
        <v>23</v>
      </c>
      <c r="BF159" s="56"/>
      <c r="BG159" s="56"/>
      <c r="BH159" s="57" t="s">
        <v>23</v>
      </c>
      <c r="BI159" s="56"/>
      <c r="BJ159" s="56"/>
      <c r="BK159" s="57" t="s">
        <v>23</v>
      </c>
    </row>
    <row r="160" spans="1:63" s="27" customFormat="1" ht="15.25" customHeight="1">
      <c r="A160" s="64"/>
      <c r="B160" s="63"/>
      <c r="C160" s="62" t="s">
        <v>170</v>
      </c>
      <c r="D160" s="61"/>
      <c r="E160" s="61"/>
      <c r="F160" s="61"/>
      <c r="G160" s="61"/>
      <c r="H160" s="61"/>
      <c r="I160" s="60"/>
      <c r="J160" s="61"/>
      <c r="K160" s="60"/>
      <c r="L160" s="60"/>
      <c r="M160" s="61"/>
      <c r="N160" s="61"/>
      <c r="O160" s="61"/>
      <c r="P160" s="61"/>
      <c r="Q160" s="61"/>
      <c r="R160" s="60"/>
      <c r="S160" s="59" t="s">
        <v>169</v>
      </c>
      <c r="T160" s="58"/>
      <c r="U160" s="57" t="s">
        <v>23</v>
      </c>
      <c r="V160" s="56"/>
      <c r="W160" s="56"/>
      <c r="X160" s="57" t="s">
        <v>23</v>
      </c>
      <c r="Y160" s="56"/>
      <c r="Z160" s="56"/>
      <c r="AA160" s="57" t="s">
        <v>23</v>
      </c>
      <c r="AB160" s="56"/>
      <c r="AC160" s="56"/>
      <c r="AD160" s="57" t="s">
        <v>23</v>
      </c>
      <c r="AE160" s="56"/>
      <c r="AF160" s="56"/>
      <c r="AG160" s="57" t="s">
        <v>23</v>
      </c>
      <c r="AH160" s="56"/>
      <c r="AI160" s="56"/>
      <c r="AJ160" s="57" t="s">
        <v>23</v>
      </c>
      <c r="AK160" s="56"/>
      <c r="AL160" s="56"/>
      <c r="AM160" s="57" t="s">
        <v>23</v>
      </c>
      <c r="AN160" s="56"/>
      <c r="AO160" s="56"/>
      <c r="AP160" s="57" t="s">
        <v>23</v>
      </c>
      <c r="AQ160" s="56"/>
      <c r="AR160" s="56"/>
      <c r="AS160" s="57" t="s">
        <v>23</v>
      </c>
      <c r="AT160" s="56"/>
      <c r="AU160" s="56"/>
      <c r="AV160" s="57" t="s">
        <v>23</v>
      </c>
      <c r="AW160" s="56"/>
      <c r="AX160" s="56"/>
      <c r="AY160" s="57" t="s">
        <v>23</v>
      </c>
      <c r="AZ160" s="56"/>
      <c r="BA160" s="56"/>
      <c r="BB160" s="57" t="s">
        <v>23</v>
      </c>
      <c r="BC160" s="56"/>
      <c r="BD160" s="56"/>
      <c r="BE160" s="57" t="s">
        <v>23</v>
      </c>
      <c r="BF160" s="56"/>
      <c r="BG160" s="56"/>
      <c r="BH160" s="57" t="s">
        <v>23</v>
      </c>
      <c r="BI160" s="56"/>
      <c r="BJ160" s="56"/>
      <c r="BK160" s="57" t="s">
        <v>23</v>
      </c>
    </row>
    <row r="161" spans="1:63" s="27" customFormat="1" ht="15.25" customHeight="1">
      <c r="A161" s="64"/>
      <c r="B161" s="63"/>
      <c r="C161" s="62" t="s">
        <v>168</v>
      </c>
      <c r="D161" s="61"/>
      <c r="E161" s="61"/>
      <c r="F161" s="61"/>
      <c r="G161" s="61"/>
      <c r="H161" s="61"/>
      <c r="I161" s="60"/>
      <c r="J161" s="61"/>
      <c r="K161" s="60"/>
      <c r="L161" s="60"/>
      <c r="M161" s="61"/>
      <c r="N161" s="61"/>
      <c r="O161" s="61"/>
      <c r="P161" s="61"/>
      <c r="Q161" s="61"/>
      <c r="R161" s="60"/>
      <c r="S161" s="59" t="s">
        <v>167</v>
      </c>
      <c r="T161" s="58"/>
      <c r="U161" s="57" t="s">
        <v>23</v>
      </c>
      <c r="V161" s="56"/>
      <c r="W161" s="56"/>
      <c r="X161" s="57" t="s">
        <v>23</v>
      </c>
      <c r="Y161" s="56"/>
      <c r="Z161" s="56"/>
      <c r="AA161" s="57" t="s">
        <v>23</v>
      </c>
      <c r="AB161" s="56"/>
      <c r="AC161" s="56"/>
      <c r="AD161" s="57" t="s">
        <v>23</v>
      </c>
      <c r="AE161" s="56"/>
      <c r="AF161" s="56"/>
      <c r="AG161" s="57" t="s">
        <v>23</v>
      </c>
      <c r="AH161" s="56"/>
      <c r="AI161" s="56"/>
      <c r="AJ161" s="57" t="s">
        <v>23</v>
      </c>
      <c r="AK161" s="56"/>
      <c r="AL161" s="56"/>
      <c r="AM161" s="57" t="s">
        <v>23</v>
      </c>
      <c r="AN161" s="56"/>
      <c r="AO161" s="56"/>
      <c r="AP161" s="57" t="s">
        <v>23</v>
      </c>
      <c r="AQ161" s="56"/>
      <c r="AR161" s="56"/>
      <c r="AS161" s="57" t="s">
        <v>23</v>
      </c>
      <c r="AT161" s="56"/>
      <c r="AU161" s="56"/>
      <c r="AV161" s="57" t="s">
        <v>23</v>
      </c>
      <c r="AW161" s="56"/>
      <c r="AX161" s="56"/>
      <c r="AY161" s="57" t="s">
        <v>23</v>
      </c>
      <c r="AZ161" s="56"/>
      <c r="BA161" s="56"/>
      <c r="BB161" s="57" t="s">
        <v>23</v>
      </c>
      <c r="BC161" s="56"/>
      <c r="BD161" s="56"/>
      <c r="BE161" s="57" t="s">
        <v>23</v>
      </c>
      <c r="BF161" s="56"/>
      <c r="BG161" s="56"/>
      <c r="BH161" s="57" t="s">
        <v>23</v>
      </c>
      <c r="BI161" s="56"/>
      <c r="BJ161" s="56"/>
      <c r="BK161" s="57" t="s">
        <v>23</v>
      </c>
    </row>
    <row r="162" spans="1:63" s="27" customFormat="1" ht="15.25" customHeight="1">
      <c r="A162" s="64"/>
      <c r="B162" s="63"/>
      <c r="C162" s="62" t="s">
        <v>166</v>
      </c>
      <c r="D162" s="61"/>
      <c r="E162" s="61"/>
      <c r="F162" s="61"/>
      <c r="G162" s="61"/>
      <c r="H162" s="61"/>
      <c r="I162" s="60"/>
      <c r="J162" s="61"/>
      <c r="K162" s="60"/>
      <c r="L162" s="60"/>
      <c r="M162" s="61"/>
      <c r="N162" s="61"/>
      <c r="O162" s="61"/>
      <c r="P162" s="61"/>
      <c r="Q162" s="61"/>
      <c r="R162" s="60"/>
      <c r="S162" s="59" t="s">
        <v>165</v>
      </c>
      <c r="T162" s="58"/>
      <c r="U162" s="57" t="s">
        <v>23</v>
      </c>
      <c r="V162" s="56"/>
      <c r="W162" s="56"/>
      <c r="X162" s="57" t="s">
        <v>23</v>
      </c>
      <c r="Y162" s="56"/>
      <c r="Z162" s="56"/>
      <c r="AA162" s="57" t="s">
        <v>23</v>
      </c>
      <c r="AB162" s="56"/>
      <c r="AC162" s="56"/>
      <c r="AD162" s="57" t="s">
        <v>23</v>
      </c>
      <c r="AE162" s="56"/>
      <c r="AF162" s="56"/>
      <c r="AG162" s="57" t="s">
        <v>23</v>
      </c>
      <c r="AH162" s="56"/>
      <c r="AI162" s="56"/>
      <c r="AJ162" s="57" t="s">
        <v>23</v>
      </c>
      <c r="AK162" s="56"/>
      <c r="AL162" s="56"/>
      <c r="AM162" s="57" t="s">
        <v>23</v>
      </c>
      <c r="AN162" s="56"/>
      <c r="AO162" s="56"/>
      <c r="AP162" s="57" t="s">
        <v>23</v>
      </c>
      <c r="AQ162" s="56"/>
      <c r="AR162" s="56"/>
      <c r="AS162" s="57" t="s">
        <v>23</v>
      </c>
      <c r="AT162" s="56"/>
      <c r="AU162" s="56"/>
      <c r="AV162" s="57" t="s">
        <v>23</v>
      </c>
      <c r="AW162" s="56"/>
      <c r="AX162" s="56"/>
      <c r="AY162" s="57" t="s">
        <v>23</v>
      </c>
      <c r="AZ162" s="56"/>
      <c r="BA162" s="56"/>
      <c r="BB162" s="57" t="s">
        <v>23</v>
      </c>
      <c r="BC162" s="56"/>
      <c r="BD162" s="56"/>
      <c r="BE162" s="57" t="s">
        <v>23</v>
      </c>
      <c r="BF162" s="56"/>
      <c r="BG162" s="56"/>
      <c r="BH162" s="57" t="s">
        <v>23</v>
      </c>
      <c r="BI162" s="56"/>
      <c r="BJ162" s="56"/>
      <c r="BK162" s="57" t="s">
        <v>23</v>
      </c>
    </row>
    <row r="163" spans="1:63" s="27" customFormat="1" ht="15.25" customHeight="1">
      <c r="A163" s="64"/>
      <c r="B163" s="63"/>
      <c r="C163" s="62" t="s">
        <v>164</v>
      </c>
      <c r="D163" s="61"/>
      <c r="E163" s="61"/>
      <c r="F163" s="61"/>
      <c r="G163" s="61"/>
      <c r="H163" s="61"/>
      <c r="I163" s="60"/>
      <c r="J163" s="61"/>
      <c r="K163" s="60"/>
      <c r="L163" s="60"/>
      <c r="M163" s="61"/>
      <c r="N163" s="61"/>
      <c r="O163" s="61"/>
      <c r="P163" s="61"/>
      <c r="Q163" s="61"/>
      <c r="R163" s="60"/>
      <c r="S163" s="59" t="s">
        <v>163</v>
      </c>
      <c r="T163" s="58"/>
      <c r="U163" s="57" t="s">
        <v>23</v>
      </c>
      <c r="V163" s="56"/>
      <c r="W163" s="56"/>
      <c r="X163" s="57" t="s">
        <v>23</v>
      </c>
      <c r="Y163" s="56"/>
      <c r="Z163" s="56"/>
      <c r="AA163" s="57" t="s">
        <v>23</v>
      </c>
      <c r="AB163" s="56"/>
      <c r="AC163" s="56"/>
      <c r="AD163" s="57" t="s">
        <v>23</v>
      </c>
      <c r="AE163" s="56"/>
      <c r="AF163" s="56"/>
      <c r="AG163" s="57" t="s">
        <v>23</v>
      </c>
      <c r="AH163" s="56"/>
      <c r="AI163" s="56"/>
      <c r="AJ163" s="57" t="s">
        <v>23</v>
      </c>
      <c r="AK163" s="56"/>
      <c r="AL163" s="56"/>
      <c r="AM163" s="57" t="s">
        <v>23</v>
      </c>
      <c r="AN163" s="56"/>
      <c r="AO163" s="56"/>
      <c r="AP163" s="57" t="s">
        <v>23</v>
      </c>
      <c r="AQ163" s="56"/>
      <c r="AR163" s="56"/>
      <c r="AS163" s="57" t="s">
        <v>23</v>
      </c>
      <c r="AT163" s="56"/>
      <c r="AU163" s="56"/>
      <c r="AV163" s="57" t="s">
        <v>23</v>
      </c>
      <c r="AW163" s="56"/>
      <c r="AX163" s="56"/>
      <c r="AY163" s="57" t="s">
        <v>23</v>
      </c>
      <c r="AZ163" s="56"/>
      <c r="BA163" s="56"/>
      <c r="BB163" s="57" t="s">
        <v>23</v>
      </c>
      <c r="BC163" s="56"/>
      <c r="BD163" s="56"/>
      <c r="BE163" s="57" t="s">
        <v>23</v>
      </c>
      <c r="BF163" s="56"/>
      <c r="BG163" s="56"/>
      <c r="BH163" s="57" t="s">
        <v>23</v>
      </c>
      <c r="BI163" s="56"/>
      <c r="BJ163" s="56"/>
      <c r="BK163" s="57" t="s">
        <v>23</v>
      </c>
    </row>
    <row r="164" spans="1:63" s="27" customFormat="1" ht="15.25" customHeight="1">
      <c r="A164" s="64"/>
      <c r="B164" s="63"/>
      <c r="C164" s="62" t="s">
        <v>162</v>
      </c>
      <c r="D164" s="61"/>
      <c r="E164" s="61"/>
      <c r="F164" s="61"/>
      <c r="G164" s="61"/>
      <c r="H164" s="61"/>
      <c r="I164" s="60"/>
      <c r="J164" s="61"/>
      <c r="K164" s="60"/>
      <c r="L164" s="60"/>
      <c r="M164" s="61"/>
      <c r="N164" s="61"/>
      <c r="O164" s="61"/>
      <c r="P164" s="61"/>
      <c r="Q164" s="61"/>
      <c r="R164" s="60"/>
      <c r="S164" s="59" t="s">
        <v>161</v>
      </c>
      <c r="T164" s="58"/>
      <c r="U164" s="57" t="s">
        <v>23</v>
      </c>
      <c r="V164" s="56"/>
      <c r="W164" s="56"/>
      <c r="X164" s="57" t="s">
        <v>23</v>
      </c>
      <c r="Y164" s="56"/>
      <c r="Z164" s="56"/>
      <c r="AA164" s="57" t="s">
        <v>23</v>
      </c>
      <c r="AB164" s="56"/>
      <c r="AC164" s="56"/>
      <c r="AD164" s="57" t="s">
        <v>23</v>
      </c>
      <c r="AE164" s="56"/>
      <c r="AF164" s="56"/>
      <c r="AG164" s="57" t="s">
        <v>23</v>
      </c>
      <c r="AH164" s="56"/>
      <c r="AI164" s="56"/>
      <c r="AJ164" s="57" t="s">
        <v>23</v>
      </c>
      <c r="AK164" s="56"/>
      <c r="AL164" s="56"/>
      <c r="AM164" s="57" t="s">
        <v>23</v>
      </c>
      <c r="AN164" s="56"/>
      <c r="AO164" s="56"/>
      <c r="AP164" s="57" t="s">
        <v>23</v>
      </c>
      <c r="AQ164" s="56"/>
      <c r="AR164" s="56"/>
      <c r="AS164" s="57" t="s">
        <v>23</v>
      </c>
      <c r="AT164" s="56"/>
      <c r="AU164" s="56"/>
      <c r="AV164" s="57" t="s">
        <v>23</v>
      </c>
      <c r="AW164" s="56"/>
      <c r="AX164" s="56"/>
      <c r="AY164" s="57" t="s">
        <v>23</v>
      </c>
      <c r="AZ164" s="56"/>
      <c r="BA164" s="56"/>
      <c r="BB164" s="57" t="s">
        <v>23</v>
      </c>
      <c r="BC164" s="56"/>
      <c r="BD164" s="56"/>
      <c r="BE164" s="57" t="s">
        <v>23</v>
      </c>
      <c r="BF164" s="56"/>
      <c r="BG164" s="56"/>
      <c r="BH164" s="57" t="s">
        <v>23</v>
      </c>
      <c r="BI164" s="56"/>
      <c r="BJ164" s="56"/>
      <c r="BK164" s="57" t="s">
        <v>23</v>
      </c>
    </row>
    <row r="165" spans="1:63" s="27" customFormat="1" ht="15.25" customHeight="1">
      <c r="A165" s="64"/>
      <c r="B165" s="63"/>
      <c r="C165" s="62" t="s">
        <v>160</v>
      </c>
      <c r="D165" s="61"/>
      <c r="E165" s="61"/>
      <c r="F165" s="61"/>
      <c r="G165" s="61"/>
      <c r="H165" s="61"/>
      <c r="I165" s="60"/>
      <c r="J165" s="61"/>
      <c r="K165" s="60"/>
      <c r="L165" s="60"/>
      <c r="M165" s="61"/>
      <c r="N165" s="61"/>
      <c r="O165" s="61"/>
      <c r="P165" s="61"/>
      <c r="Q165" s="61"/>
      <c r="R165" s="60"/>
      <c r="S165" s="59" t="s">
        <v>159</v>
      </c>
      <c r="T165" s="58"/>
      <c r="U165" s="57" t="s">
        <v>23</v>
      </c>
      <c r="V165" s="56"/>
      <c r="W165" s="56"/>
      <c r="X165" s="57" t="s">
        <v>23</v>
      </c>
      <c r="Y165" s="56"/>
      <c r="Z165" s="56"/>
      <c r="AA165" s="57" t="s">
        <v>23</v>
      </c>
      <c r="AB165" s="56"/>
      <c r="AC165" s="56"/>
      <c r="AD165" s="57" t="s">
        <v>23</v>
      </c>
      <c r="AE165" s="56"/>
      <c r="AF165" s="56"/>
      <c r="AG165" s="57" t="s">
        <v>23</v>
      </c>
      <c r="AH165" s="56"/>
      <c r="AI165" s="56"/>
      <c r="AJ165" s="57" t="s">
        <v>23</v>
      </c>
      <c r="AK165" s="56"/>
      <c r="AL165" s="56"/>
      <c r="AM165" s="57" t="s">
        <v>23</v>
      </c>
      <c r="AN165" s="56"/>
      <c r="AO165" s="56"/>
      <c r="AP165" s="57" t="s">
        <v>23</v>
      </c>
      <c r="AQ165" s="56"/>
      <c r="AR165" s="56"/>
      <c r="AS165" s="57" t="s">
        <v>23</v>
      </c>
      <c r="AT165" s="56"/>
      <c r="AU165" s="56"/>
      <c r="AV165" s="57" t="s">
        <v>23</v>
      </c>
      <c r="AW165" s="56"/>
      <c r="AX165" s="56"/>
      <c r="AY165" s="57" t="s">
        <v>23</v>
      </c>
      <c r="AZ165" s="56"/>
      <c r="BA165" s="56"/>
      <c r="BB165" s="57" t="s">
        <v>23</v>
      </c>
      <c r="BC165" s="56"/>
      <c r="BD165" s="56"/>
      <c r="BE165" s="57" t="s">
        <v>23</v>
      </c>
      <c r="BF165" s="56"/>
      <c r="BG165" s="56"/>
      <c r="BH165" s="57" t="s">
        <v>23</v>
      </c>
      <c r="BI165" s="56"/>
      <c r="BJ165" s="56"/>
      <c r="BK165" s="57" t="s">
        <v>23</v>
      </c>
    </row>
    <row r="166" spans="1:63" s="27" customFormat="1" ht="15.25" customHeight="1">
      <c r="A166" s="64"/>
      <c r="B166" s="63"/>
      <c r="C166" s="69" t="s">
        <v>158</v>
      </c>
      <c r="D166" s="68"/>
      <c r="E166" s="68"/>
      <c r="F166" s="68"/>
      <c r="G166" s="68"/>
      <c r="H166" s="68"/>
      <c r="I166" s="67"/>
      <c r="J166" s="68"/>
      <c r="K166" s="67"/>
      <c r="L166" s="67"/>
      <c r="M166" s="68"/>
      <c r="N166" s="68"/>
      <c r="O166" s="68"/>
      <c r="P166" s="68"/>
      <c r="Q166" s="68"/>
      <c r="R166" s="67"/>
      <c r="S166" s="66" t="s">
        <v>157</v>
      </c>
      <c r="T166" s="65"/>
      <c r="U166" s="372" t="s">
        <v>857</v>
      </c>
      <c r="V166" s="56"/>
      <c r="W166" s="56"/>
      <c r="X166" s="57" t="s">
        <v>23</v>
      </c>
      <c r="Y166" s="56"/>
      <c r="Z166" s="56"/>
      <c r="AA166" s="57" t="s">
        <v>23</v>
      </c>
      <c r="AB166" s="56"/>
      <c r="AC166" s="56"/>
      <c r="AD166" s="57" t="s">
        <v>23</v>
      </c>
      <c r="AE166" s="56"/>
      <c r="AF166" s="56"/>
      <c r="AG166" s="57" t="s">
        <v>23</v>
      </c>
      <c r="AH166" s="56"/>
      <c r="AI166" s="56"/>
      <c r="AJ166" s="57" t="s">
        <v>23</v>
      </c>
      <c r="AK166" s="56"/>
      <c r="AL166" s="56"/>
      <c r="AM166" s="57" t="s">
        <v>23</v>
      </c>
      <c r="AN166" s="56"/>
      <c r="AO166" s="56"/>
      <c r="AP166" s="57" t="s">
        <v>23</v>
      </c>
      <c r="AQ166" s="56"/>
      <c r="AR166" s="56"/>
      <c r="AS166" s="57" t="s">
        <v>23</v>
      </c>
      <c r="AT166" s="56"/>
      <c r="AU166" s="56"/>
      <c r="AV166" s="57" t="s">
        <v>23</v>
      </c>
      <c r="AW166" s="56"/>
      <c r="AX166" s="56"/>
      <c r="AY166" s="57" t="s">
        <v>23</v>
      </c>
      <c r="AZ166" s="56"/>
      <c r="BA166" s="56"/>
      <c r="BB166" s="57" t="s">
        <v>23</v>
      </c>
      <c r="BC166" s="56"/>
      <c r="BD166" s="56"/>
      <c r="BE166" s="57" t="s">
        <v>23</v>
      </c>
      <c r="BF166" s="56"/>
      <c r="BG166" s="56"/>
      <c r="BH166" s="57" t="s">
        <v>23</v>
      </c>
      <c r="BI166" s="56"/>
      <c r="BJ166" s="56"/>
      <c r="BK166" s="372" t="s">
        <v>23</v>
      </c>
    </row>
    <row r="167" spans="1:63" s="27" customFormat="1" ht="15.25" customHeight="1">
      <c r="A167" s="64"/>
      <c r="B167" s="63"/>
      <c r="C167" s="69" t="s">
        <v>156</v>
      </c>
      <c r="D167" s="68"/>
      <c r="E167" s="68"/>
      <c r="F167" s="68"/>
      <c r="G167" s="68"/>
      <c r="H167" s="68"/>
      <c r="I167" s="67"/>
      <c r="J167" s="68"/>
      <c r="K167" s="67"/>
      <c r="L167" s="67"/>
      <c r="M167" s="68"/>
      <c r="N167" s="68"/>
      <c r="O167" s="68"/>
      <c r="P167" s="68"/>
      <c r="Q167" s="68"/>
      <c r="R167" s="67"/>
      <c r="S167" s="66" t="s">
        <v>155</v>
      </c>
      <c r="T167" s="65"/>
      <c r="U167" s="57" t="s">
        <v>23</v>
      </c>
      <c r="V167" s="56"/>
      <c r="W167" s="56"/>
      <c r="X167" s="372" t="s">
        <v>857</v>
      </c>
      <c r="Y167" s="56"/>
      <c r="Z167" s="56"/>
      <c r="AA167" s="57" t="s">
        <v>23</v>
      </c>
      <c r="AB167" s="56"/>
      <c r="AC167" s="56"/>
      <c r="AD167" s="57" t="s">
        <v>23</v>
      </c>
      <c r="AE167" s="56"/>
      <c r="AF167" s="56"/>
      <c r="AG167" s="57" t="s">
        <v>23</v>
      </c>
      <c r="AH167" s="56"/>
      <c r="AI167" s="56"/>
      <c r="AJ167" s="57" t="s">
        <v>23</v>
      </c>
      <c r="AK167" s="56"/>
      <c r="AL167" s="56"/>
      <c r="AM167" s="57" t="s">
        <v>23</v>
      </c>
      <c r="AN167" s="56"/>
      <c r="AO167" s="56"/>
      <c r="AP167" s="57" t="s">
        <v>23</v>
      </c>
      <c r="AQ167" s="56"/>
      <c r="AR167" s="56"/>
      <c r="AS167" s="57" t="s">
        <v>23</v>
      </c>
      <c r="AT167" s="56"/>
      <c r="AU167" s="56"/>
      <c r="AV167" s="57" t="s">
        <v>23</v>
      </c>
      <c r="AW167" s="56"/>
      <c r="AX167" s="56"/>
      <c r="AY167" s="57" t="s">
        <v>23</v>
      </c>
      <c r="AZ167" s="56"/>
      <c r="BA167" s="56"/>
      <c r="BB167" s="57" t="s">
        <v>23</v>
      </c>
      <c r="BC167" s="56"/>
      <c r="BD167" s="56"/>
      <c r="BE167" s="57" t="s">
        <v>23</v>
      </c>
      <c r="BF167" s="56"/>
      <c r="BG167" s="56"/>
      <c r="BH167" s="57" t="s">
        <v>23</v>
      </c>
      <c r="BI167" s="56"/>
      <c r="BJ167" s="56"/>
      <c r="BK167" s="372" t="s">
        <v>23</v>
      </c>
    </row>
    <row r="168" spans="1:63" s="27" customFormat="1" ht="15.25" customHeight="1">
      <c r="A168" s="64"/>
      <c r="B168" s="63"/>
      <c r="C168" s="69" t="s">
        <v>154</v>
      </c>
      <c r="D168" s="68"/>
      <c r="E168" s="68"/>
      <c r="F168" s="68"/>
      <c r="G168" s="68"/>
      <c r="H168" s="68"/>
      <c r="I168" s="67"/>
      <c r="J168" s="68"/>
      <c r="K168" s="67"/>
      <c r="L168" s="67"/>
      <c r="M168" s="68"/>
      <c r="N168" s="68"/>
      <c r="O168" s="68"/>
      <c r="P168" s="68"/>
      <c r="Q168" s="68"/>
      <c r="R168" s="67"/>
      <c r="S168" s="66" t="s">
        <v>153</v>
      </c>
      <c r="T168" s="65"/>
      <c r="U168" s="57" t="s">
        <v>23</v>
      </c>
      <c r="V168" s="56"/>
      <c r="W168" s="56"/>
      <c r="X168" s="57" t="s">
        <v>23</v>
      </c>
      <c r="Y168" s="56"/>
      <c r="Z168" s="56"/>
      <c r="AA168" s="372" t="s">
        <v>857</v>
      </c>
      <c r="AB168" s="56"/>
      <c r="AC168" s="56"/>
      <c r="AD168" s="57" t="s">
        <v>23</v>
      </c>
      <c r="AE168" s="56"/>
      <c r="AF168" s="56"/>
      <c r="AG168" s="57" t="s">
        <v>23</v>
      </c>
      <c r="AH168" s="56"/>
      <c r="AI168" s="56"/>
      <c r="AJ168" s="57" t="s">
        <v>23</v>
      </c>
      <c r="AK168" s="56"/>
      <c r="AL168" s="56"/>
      <c r="AM168" s="57" t="s">
        <v>23</v>
      </c>
      <c r="AN168" s="56"/>
      <c r="AO168" s="56"/>
      <c r="AP168" s="57" t="s">
        <v>23</v>
      </c>
      <c r="AQ168" s="56"/>
      <c r="AR168" s="56"/>
      <c r="AS168" s="57" t="s">
        <v>23</v>
      </c>
      <c r="AT168" s="56"/>
      <c r="AU168" s="56"/>
      <c r="AV168" s="57" t="s">
        <v>23</v>
      </c>
      <c r="AW168" s="56"/>
      <c r="AX168" s="56"/>
      <c r="AY168" s="57" t="s">
        <v>23</v>
      </c>
      <c r="AZ168" s="56"/>
      <c r="BA168" s="56"/>
      <c r="BB168" s="57" t="s">
        <v>23</v>
      </c>
      <c r="BC168" s="56"/>
      <c r="BD168" s="56"/>
      <c r="BE168" s="57" t="s">
        <v>23</v>
      </c>
      <c r="BF168" s="56"/>
      <c r="BG168" s="56"/>
      <c r="BH168" s="57" t="s">
        <v>23</v>
      </c>
      <c r="BI168" s="56"/>
      <c r="BJ168" s="56"/>
      <c r="BK168" s="372" t="s">
        <v>23</v>
      </c>
    </row>
    <row r="169" spans="1:63" s="27" customFormat="1" ht="15.25" customHeight="1">
      <c r="A169" s="64"/>
      <c r="B169" s="63"/>
      <c r="C169" s="69" t="s">
        <v>152</v>
      </c>
      <c r="D169" s="68"/>
      <c r="E169" s="68"/>
      <c r="F169" s="68"/>
      <c r="G169" s="68"/>
      <c r="H169" s="68"/>
      <c r="I169" s="67"/>
      <c r="J169" s="68"/>
      <c r="K169" s="67"/>
      <c r="L169" s="67"/>
      <c r="M169" s="68"/>
      <c r="N169" s="68"/>
      <c r="O169" s="68"/>
      <c r="P169" s="68"/>
      <c r="Q169" s="68"/>
      <c r="R169" s="67"/>
      <c r="S169" s="66" t="s">
        <v>151</v>
      </c>
      <c r="T169" s="65"/>
      <c r="U169" s="57" t="s">
        <v>23</v>
      </c>
      <c r="V169" s="56"/>
      <c r="W169" s="56"/>
      <c r="X169" s="57" t="s">
        <v>23</v>
      </c>
      <c r="Y169" s="56"/>
      <c r="Z169" s="56"/>
      <c r="AA169" s="57" t="s">
        <v>23</v>
      </c>
      <c r="AB169" s="56"/>
      <c r="AC169" s="56"/>
      <c r="AD169" s="372" t="s">
        <v>857</v>
      </c>
      <c r="AE169" s="56"/>
      <c r="AF169" s="56"/>
      <c r="AG169" s="57" t="s">
        <v>23</v>
      </c>
      <c r="AH169" s="56"/>
      <c r="AI169" s="56"/>
      <c r="AJ169" s="57" t="s">
        <v>23</v>
      </c>
      <c r="AK169" s="56"/>
      <c r="AL169" s="56"/>
      <c r="AM169" s="57" t="s">
        <v>23</v>
      </c>
      <c r="AN169" s="56"/>
      <c r="AO169" s="56"/>
      <c r="AP169" s="57" t="s">
        <v>23</v>
      </c>
      <c r="AQ169" s="56"/>
      <c r="AR169" s="56"/>
      <c r="AS169" s="57" t="s">
        <v>23</v>
      </c>
      <c r="AT169" s="56"/>
      <c r="AU169" s="56"/>
      <c r="AV169" s="57" t="s">
        <v>23</v>
      </c>
      <c r="AW169" s="56"/>
      <c r="AX169" s="56"/>
      <c r="AY169" s="57" t="s">
        <v>23</v>
      </c>
      <c r="AZ169" s="56"/>
      <c r="BA169" s="56"/>
      <c r="BB169" s="57" t="s">
        <v>23</v>
      </c>
      <c r="BC169" s="56"/>
      <c r="BD169" s="56"/>
      <c r="BE169" s="57" t="s">
        <v>23</v>
      </c>
      <c r="BF169" s="56"/>
      <c r="BG169" s="56"/>
      <c r="BH169" s="57" t="s">
        <v>23</v>
      </c>
      <c r="BI169" s="56"/>
      <c r="BJ169" s="56"/>
      <c r="BK169" s="372" t="s">
        <v>23</v>
      </c>
    </row>
    <row r="170" spans="1:63" s="27" customFormat="1" ht="15.25" customHeight="1">
      <c r="A170" s="64"/>
      <c r="B170" s="63"/>
      <c r="C170" s="69" t="s">
        <v>150</v>
      </c>
      <c r="D170" s="68"/>
      <c r="E170" s="68"/>
      <c r="F170" s="68"/>
      <c r="G170" s="68"/>
      <c r="H170" s="68"/>
      <c r="I170" s="67"/>
      <c r="J170" s="68"/>
      <c r="K170" s="67"/>
      <c r="L170" s="67"/>
      <c r="M170" s="68"/>
      <c r="N170" s="68"/>
      <c r="O170" s="68"/>
      <c r="P170" s="68"/>
      <c r="Q170" s="68"/>
      <c r="R170" s="67"/>
      <c r="S170" s="66" t="s">
        <v>149</v>
      </c>
      <c r="T170" s="65"/>
      <c r="U170" s="57" t="s">
        <v>23</v>
      </c>
      <c r="V170" s="56"/>
      <c r="W170" s="56"/>
      <c r="X170" s="57" t="s">
        <v>23</v>
      </c>
      <c r="Y170" s="56"/>
      <c r="Z170" s="56"/>
      <c r="AA170" s="57" t="s">
        <v>23</v>
      </c>
      <c r="AB170" s="56"/>
      <c r="AC170" s="56"/>
      <c r="AD170" s="57" t="s">
        <v>23</v>
      </c>
      <c r="AE170" s="56"/>
      <c r="AF170" s="56"/>
      <c r="AG170" s="372" t="s">
        <v>857</v>
      </c>
      <c r="AH170" s="56"/>
      <c r="AI170" s="56"/>
      <c r="AJ170" s="57" t="s">
        <v>23</v>
      </c>
      <c r="AK170" s="56"/>
      <c r="AL170" s="56"/>
      <c r="AM170" s="57" t="s">
        <v>23</v>
      </c>
      <c r="AN170" s="56"/>
      <c r="AO170" s="56"/>
      <c r="AP170" s="57" t="s">
        <v>23</v>
      </c>
      <c r="AQ170" s="56"/>
      <c r="AR170" s="56"/>
      <c r="AS170" s="57" t="s">
        <v>23</v>
      </c>
      <c r="AT170" s="56"/>
      <c r="AU170" s="56"/>
      <c r="AV170" s="57" t="s">
        <v>23</v>
      </c>
      <c r="AW170" s="56"/>
      <c r="AX170" s="56"/>
      <c r="AY170" s="57" t="s">
        <v>23</v>
      </c>
      <c r="AZ170" s="56"/>
      <c r="BA170" s="56"/>
      <c r="BB170" s="57" t="s">
        <v>23</v>
      </c>
      <c r="BC170" s="56"/>
      <c r="BD170" s="56"/>
      <c r="BE170" s="57" t="s">
        <v>23</v>
      </c>
      <c r="BF170" s="56"/>
      <c r="BG170" s="56"/>
      <c r="BH170" s="57" t="s">
        <v>23</v>
      </c>
      <c r="BI170" s="56"/>
      <c r="BJ170" s="56"/>
      <c r="BK170" s="372" t="s">
        <v>23</v>
      </c>
    </row>
    <row r="171" spans="1:63" s="27" customFormat="1" ht="15.25" customHeight="1">
      <c r="A171" s="64"/>
      <c r="B171" s="63"/>
      <c r="C171" s="69" t="s">
        <v>148</v>
      </c>
      <c r="D171" s="68"/>
      <c r="E171" s="68"/>
      <c r="F171" s="68"/>
      <c r="G171" s="68"/>
      <c r="H171" s="68"/>
      <c r="I171" s="67"/>
      <c r="J171" s="68"/>
      <c r="K171" s="67"/>
      <c r="L171" s="67"/>
      <c r="M171" s="68"/>
      <c r="N171" s="68"/>
      <c r="O171" s="68"/>
      <c r="P171" s="68"/>
      <c r="Q171" s="68"/>
      <c r="R171" s="67"/>
      <c r="S171" s="66" t="s">
        <v>147</v>
      </c>
      <c r="T171" s="65"/>
      <c r="U171" s="57" t="s">
        <v>23</v>
      </c>
      <c r="V171" s="56"/>
      <c r="W171" s="56"/>
      <c r="X171" s="57" t="s">
        <v>23</v>
      </c>
      <c r="Y171" s="56"/>
      <c r="Z171" s="56"/>
      <c r="AA171" s="57" t="s">
        <v>23</v>
      </c>
      <c r="AB171" s="56"/>
      <c r="AC171" s="56"/>
      <c r="AD171" s="57" t="s">
        <v>23</v>
      </c>
      <c r="AE171" s="56"/>
      <c r="AF171" s="56"/>
      <c r="AG171" s="57" t="s">
        <v>23</v>
      </c>
      <c r="AH171" s="56"/>
      <c r="AI171" s="56"/>
      <c r="AJ171" s="372" t="s">
        <v>857</v>
      </c>
      <c r="AK171" s="56"/>
      <c r="AL171" s="56"/>
      <c r="AM171" s="57" t="s">
        <v>23</v>
      </c>
      <c r="AN171" s="56"/>
      <c r="AO171" s="56"/>
      <c r="AP171" s="57" t="s">
        <v>23</v>
      </c>
      <c r="AQ171" s="56"/>
      <c r="AR171" s="56"/>
      <c r="AS171" s="57" t="s">
        <v>23</v>
      </c>
      <c r="AT171" s="56"/>
      <c r="AU171" s="56"/>
      <c r="AV171" s="57" t="s">
        <v>23</v>
      </c>
      <c r="AW171" s="56"/>
      <c r="AX171" s="56"/>
      <c r="AY171" s="57" t="s">
        <v>23</v>
      </c>
      <c r="AZ171" s="56"/>
      <c r="BA171" s="56"/>
      <c r="BB171" s="57" t="s">
        <v>23</v>
      </c>
      <c r="BC171" s="56"/>
      <c r="BD171" s="56"/>
      <c r="BE171" s="57" t="s">
        <v>23</v>
      </c>
      <c r="BF171" s="56"/>
      <c r="BG171" s="56"/>
      <c r="BH171" s="57" t="s">
        <v>23</v>
      </c>
      <c r="BI171" s="56"/>
      <c r="BJ171" s="56"/>
      <c r="BK171" s="372" t="s">
        <v>23</v>
      </c>
    </row>
    <row r="172" spans="1:63" s="27" customFormat="1" ht="15.25" customHeight="1">
      <c r="A172" s="64"/>
      <c r="B172" s="63"/>
      <c r="C172" s="69" t="s">
        <v>146</v>
      </c>
      <c r="D172" s="68"/>
      <c r="E172" s="68"/>
      <c r="F172" s="68"/>
      <c r="G172" s="68"/>
      <c r="H172" s="68"/>
      <c r="I172" s="67"/>
      <c r="J172" s="68"/>
      <c r="K172" s="67"/>
      <c r="L172" s="67"/>
      <c r="M172" s="68"/>
      <c r="N172" s="68"/>
      <c r="O172" s="68"/>
      <c r="P172" s="68"/>
      <c r="Q172" s="68"/>
      <c r="R172" s="67"/>
      <c r="S172" s="66" t="s">
        <v>145</v>
      </c>
      <c r="T172" s="65"/>
      <c r="U172" s="57" t="s">
        <v>23</v>
      </c>
      <c r="V172" s="56"/>
      <c r="W172" s="56"/>
      <c r="X172" s="57" t="s">
        <v>23</v>
      </c>
      <c r="Y172" s="56"/>
      <c r="Z172" s="56"/>
      <c r="AA172" s="57" t="s">
        <v>23</v>
      </c>
      <c r="AB172" s="56"/>
      <c r="AC172" s="56"/>
      <c r="AD172" s="57" t="s">
        <v>23</v>
      </c>
      <c r="AE172" s="56"/>
      <c r="AF172" s="56"/>
      <c r="AG172" s="57" t="s">
        <v>23</v>
      </c>
      <c r="AH172" s="56"/>
      <c r="AI172" s="56"/>
      <c r="AJ172" s="57" t="s">
        <v>23</v>
      </c>
      <c r="AK172" s="56"/>
      <c r="AL172" s="56"/>
      <c r="AM172" s="372" t="s">
        <v>746</v>
      </c>
      <c r="AN172" s="56"/>
      <c r="AO172" s="56"/>
      <c r="AP172" s="57" t="s">
        <v>23</v>
      </c>
      <c r="AQ172" s="56"/>
      <c r="AR172" s="56"/>
      <c r="AS172" s="57" t="s">
        <v>23</v>
      </c>
      <c r="AT172" s="56"/>
      <c r="AU172" s="56"/>
      <c r="AV172" s="57" t="s">
        <v>23</v>
      </c>
      <c r="AW172" s="56"/>
      <c r="AX172" s="56"/>
      <c r="AY172" s="57" t="s">
        <v>23</v>
      </c>
      <c r="AZ172" s="56"/>
      <c r="BA172" s="56"/>
      <c r="BB172" s="57" t="s">
        <v>23</v>
      </c>
      <c r="BC172" s="56"/>
      <c r="BD172" s="56"/>
      <c r="BE172" s="57" t="s">
        <v>23</v>
      </c>
      <c r="BF172" s="56"/>
      <c r="BG172" s="56"/>
      <c r="BH172" s="57" t="s">
        <v>23</v>
      </c>
      <c r="BI172" s="56"/>
      <c r="BJ172" s="56"/>
      <c r="BK172" s="372" t="s">
        <v>23</v>
      </c>
    </row>
    <row r="173" spans="1:63" s="27" customFormat="1" ht="15.25" customHeight="1">
      <c r="A173" s="64"/>
      <c r="B173" s="63"/>
      <c r="C173" s="69" t="s">
        <v>144</v>
      </c>
      <c r="D173" s="68"/>
      <c r="E173" s="68"/>
      <c r="F173" s="68"/>
      <c r="G173" s="68"/>
      <c r="H173" s="68"/>
      <c r="I173" s="67"/>
      <c r="J173" s="68"/>
      <c r="K173" s="67"/>
      <c r="L173" s="67"/>
      <c r="M173" s="68"/>
      <c r="N173" s="68"/>
      <c r="O173" s="68"/>
      <c r="P173" s="68"/>
      <c r="Q173" s="68"/>
      <c r="R173" s="67"/>
      <c r="S173" s="66" t="s">
        <v>143</v>
      </c>
      <c r="T173" s="65"/>
      <c r="U173" s="57" t="s">
        <v>23</v>
      </c>
      <c r="V173" s="56"/>
      <c r="W173" s="56"/>
      <c r="X173" s="57" t="s">
        <v>23</v>
      </c>
      <c r="Y173" s="56"/>
      <c r="Z173" s="56"/>
      <c r="AA173" s="57" t="s">
        <v>23</v>
      </c>
      <c r="AB173" s="56"/>
      <c r="AC173" s="56"/>
      <c r="AD173" s="57" t="s">
        <v>23</v>
      </c>
      <c r="AE173" s="56"/>
      <c r="AF173" s="56"/>
      <c r="AG173" s="57" t="s">
        <v>23</v>
      </c>
      <c r="AH173" s="56"/>
      <c r="AI173" s="56"/>
      <c r="AJ173" s="57" t="s">
        <v>23</v>
      </c>
      <c r="AK173" s="56"/>
      <c r="AL173" s="56"/>
      <c r="AM173" s="57" t="s">
        <v>23</v>
      </c>
      <c r="AN173" s="56"/>
      <c r="AO173" s="56"/>
      <c r="AP173" s="372" t="s">
        <v>746</v>
      </c>
      <c r="AQ173" s="56"/>
      <c r="AR173" s="56"/>
      <c r="AS173" s="57" t="s">
        <v>23</v>
      </c>
      <c r="AT173" s="56"/>
      <c r="AU173" s="56"/>
      <c r="AV173" s="57" t="s">
        <v>23</v>
      </c>
      <c r="AW173" s="56"/>
      <c r="AX173" s="56"/>
      <c r="AY173" s="57" t="s">
        <v>23</v>
      </c>
      <c r="AZ173" s="56"/>
      <c r="BA173" s="56"/>
      <c r="BB173" s="57" t="s">
        <v>23</v>
      </c>
      <c r="BC173" s="56"/>
      <c r="BD173" s="56"/>
      <c r="BE173" s="57" t="s">
        <v>23</v>
      </c>
      <c r="BF173" s="56"/>
      <c r="BG173" s="56"/>
      <c r="BH173" s="57" t="s">
        <v>23</v>
      </c>
      <c r="BI173" s="56"/>
      <c r="BJ173" s="56"/>
      <c r="BK173" s="372" t="s">
        <v>23</v>
      </c>
    </row>
    <row r="174" spans="1:63" s="27" customFormat="1" ht="15.25" customHeight="1">
      <c r="A174" s="64"/>
      <c r="B174" s="63"/>
      <c r="C174" s="69" t="s">
        <v>142</v>
      </c>
      <c r="D174" s="68"/>
      <c r="E174" s="68"/>
      <c r="F174" s="68"/>
      <c r="G174" s="68"/>
      <c r="H174" s="68"/>
      <c r="I174" s="67"/>
      <c r="J174" s="68"/>
      <c r="K174" s="67"/>
      <c r="L174" s="67"/>
      <c r="M174" s="68"/>
      <c r="N174" s="68"/>
      <c r="O174" s="68"/>
      <c r="P174" s="68"/>
      <c r="Q174" s="68"/>
      <c r="R174" s="67"/>
      <c r="S174" s="66" t="s">
        <v>141</v>
      </c>
      <c r="T174" s="65"/>
      <c r="U174" s="57" t="s">
        <v>23</v>
      </c>
      <c r="V174" s="56"/>
      <c r="W174" s="56"/>
      <c r="X174" s="57" t="s">
        <v>23</v>
      </c>
      <c r="Y174" s="56"/>
      <c r="Z174" s="56"/>
      <c r="AA174" s="57" t="s">
        <v>23</v>
      </c>
      <c r="AB174" s="56"/>
      <c r="AC174" s="56"/>
      <c r="AD174" s="57" t="s">
        <v>23</v>
      </c>
      <c r="AE174" s="56"/>
      <c r="AF174" s="56"/>
      <c r="AG174" s="57" t="s">
        <v>23</v>
      </c>
      <c r="AH174" s="56"/>
      <c r="AI174" s="56"/>
      <c r="AJ174" s="57" t="s">
        <v>23</v>
      </c>
      <c r="AK174" s="56"/>
      <c r="AL174" s="56"/>
      <c r="AM174" s="57" t="s">
        <v>23</v>
      </c>
      <c r="AN174" s="56"/>
      <c r="AO174" s="56"/>
      <c r="AP174" s="57" t="s">
        <v>23</v>
      </c>
      <c r="AQ174" s="56"/>
      <c r="AR174" s="56"/>
      <c r="AS174" s="372" t="s">
        <v>746</v>
      </c>
      <c r="AT174" s="56"/>
      <c r="AU174" s="56"/>
      <c r="AV174" s="57" t="s">
        <v>23</v>
      </c>
      <c r="AW174" s="56"/>
      <c r="AX174" s="56"/>
      <c r="AY174" s="57" t="s">
        <v>23</v>
      </c>
      <c r="AZ174" s="56"/>
      <c r="BA174" s="56"/>
      <c r="BB174" s="57" t="s">
        <v>23</v>
      </c>
      <c r="BC174" s="56"/>
      <c r="BD174" s="56"/>
      <c r="BE174" s="57" t="s">
        <v>23</v>
      </c>
      <c r="BF174" s="56"/>
      <c r="BG174" s="56"/>
      <c r="BH174" s="57" t="s">
        <v>23</v>
      </c>
      <c r="BI174" s="56"/>
      <c r="BJ174" s="56"/>
      <c r="BK174" s="372" t="s">
        <v>23</v>
      </c>
    </row>
    <row r="175" spans="1:63" s="27" customFormat="1" ht="15.25" customHeight="1">
      <c r="A175" s="64"/>
      <c r="B175" s="63"/>
      <c r="C175" s="69" t="s">
        <v>140</v>
      </c>
      <c r="D175" s="68"/>
      <c r="E175" s="68"/>
      <c r="F175" s="68"/>
      <c r="G175" s="68"/>
      <c r="H175" s="68"/>
      <c r="I175" s="67"/>
      <c r="J175" s="68"/>
      <c r="K175" s="67"/>
      <c r="L175" s="67"/>
      <c r="M175" s="68"/>
      <c r="N175" s="68"/>
      <c r="O175" s="68"/>
      <c r="P175" s="68"/>
      <c r="Q175" s="68"/>
      <c r="R175" s="67"/>
      <c r="S175" s="66" t="s">
        <v>139</v>
      </c>
      <c r="T175" s="65"/>
      <c r="U175" s="57" t="s">
        <v>23</v>
      </c>
      <c r="V175" s="56"/>
      <c r="W175" s="56"/>
      <c r="X175" s="57" t="s">
        <v>23</v>
      </c>
      <c r="Y175" s="56"/>
      <c r="Z175" s="56"/>
      <c r="AA175" s="57" t="s">
        <v>23</v>
      </c>
      <c r="AB175" s="56"/>
      <c r="AC175" s="56"/>
      <c r="AD175" s="57" t="s">
        <v>23</v>
      </c>
      <c r="AE175" s="56"/>
      <c r="AF175" s="56"/>
      <c r="AG175" s="57" t="s">
        <v>23</v>
      </c>
      <c r="AH175" s="56"/>
      <c r="AI175" s="56"/>
      <c r="AJ175" s="57" t="s">
        <v>23</v>
      </c>
      <c r="AK175" s="56"/>
      <c r="AL175" s="56"/>
      <c r="AM175" s="57" t="s">
        <v>23</v>
      </c>
      <c r="AN175" s="56"/>
      <c r="AO175" s="56"/>
      <c r="AP175" s="57" t="s">
        <v>23</v>
      </c>
      <c r="AQ175" s="56"/>
      <c r="AR175" s="56"/>
      <c r="AS175" s="57" t="s">
        <v>23</v>
      </c>
      <c r="AT175" s="56"/>
      <c r="AU175" s="56"/>
      <c r="AV175" s="372" t="s">
        <v>746</v>
      </c>
      <c r="AW175" s="56"/>
      <c r="AX175" s="56"/>
      <c r="AY175" s="57" t="s">
        <v>23</v>
      </c>
      <c r="AZ175" s="56"/>
      <c r="BA175" s="56"/>
      <c r="BB175" s="57" t="s">
        <v>23</v>
      </c>
      <c r="BC175" s="56"/>
      <c r="BD175" s="56"/>
      <c r="BE175" s="57" t="s">
        <v>23</v>
      </c>
      <c r="BF175" s="56"/>
      <c r="BG175" s="56"/>
      <c r="BH175" s="57" t="s">
        <v>23</v>
      </c>
      <c r="BI175" s="56"/>
      <c r="BJ175" s="56"/>
      <c r="BK175" s="372" t="s">
        <v>23</v>
      </c>
    </row>
    <row r="176" spans="1:63" s="27" customFormat="1" ht="15.25" customHeight="1">
      <c r="A176" s="64"/>
      <c r="B176" s="63"/>
      <c r="C176" s="69" t="s">
        <v>138</v>
      </c>
      <c r="D176" s="68"/>
      <c r="E176" s="68"/>
      <c r="F176" s="68"/>
      <c r="G176" s="68"/>
      <c r="H176" s="68"/>
      <c r="I176" s="67"/>
      <c r="J176" s="68"/>
      <c r="K176" s="67"/>
      <c r="L176" s="67"/>
      <c r="M176" s="68"/>
      <c r="N176" s="68"/>
      <c r="O176" s="68"/>
      <c r="P176" s="68"/>
      <c r="Q176" s="68"/>
      <c r="R176" s="67"/>
      <c r="S176" s="66" t="s">
        <v>137</v>
      </c>
      <c r="T176" s="65"/>
      <c r="U176" s="57" t="s">
        <v>23</v>
      </c>
      <c r="V176" s="56"/>
      <c r="W176" s="56"/>
      <c r="X176" s="57" t="s">
        <v>23</v>
      </c>
      <c r="Y176" s="56"/>
      <c r="Z176" s="56"/>
      <c r="AA176" s="57" t="s">
        <v>23</v>
      </c>
      <c r="AB176" s="56"/>
      <c r="AC176" s="56"/>
      <c r="AD176" s="57" t="s">
        <v>23</v>
      </c>
      <c r="AE176" s="56"/>
      <c r="AF176" s="56"/>
      <c r="AG176" s="57" t="s">
        <v>23</v>
      </c>
      <c r="AH176" s="56"/>
      <c r="AI176" s="56"/>
      <c r="AJ176" s="57" t="s">
        <v>23</v>
      </c>
      <c r="AK176" s="56"/>
      <c r="AL176" s="56"/>
      <c r="AM176" s="57" t="s">
        <v>23</v>
      </c>
      <c r="AN176" s="56"/>
      <c r="AO176" s="56"/>
      <c r="AP176" s="57" t="s">
        <v>23</v>
      </c>
      <c r="AQ176" s="56"/>
      <c r="AR176" s="56"/>
      <c r="AS176" s="57" t="s">
        <v>23</v>
      </c>
      <c r="AT176" s="56"/>
      <c r="AU176" s="56"/>
      <c r="AV176" s="57" t="s">
        <v>23</v>
      </c>
      <c r="AW176" s="56"/>
      <c r="AX176" s="56"/>
      <c r="AY176" s="372" t="s">
        <v>746</v>
      </c>
      <c r="AZ176" s="56"/>
      <c r="BA176" s="56"/>
      <c r="BB176" s="57" t="s">
        <v>23</v>
      </c>
      <c r="BC176" s="56"/>
      <c r="BD176" s="56"/>
      <c r="BE176" s="57" t="s">
        <v>23</v>
      </c>
      <c r="BF176" s="56"/>
      <c r="BG176" s="56"/>
      <c r="BH176" s="57" t="s">
        <v>23</v>
      </c>
      <c r="BI176" s="56"/>
      <c r="BJ176" s="56"/>
      <c r="BK176" s="372" t="s">
        <v>23</v>
      </c>
    </row>
    <row r="177" spans="1:63" s="27" customFormat="1" ht="15.25" customHeight="1">
      <c r="A177" s="64"/>
      <c r="B177" s="63"/>
      <c r="C177" s="69" t="s">
        <v>136</v>
      </c>
      <c r="D177" s="68"/>
      <c r="E177" s="68"/>
      <c r="F177" s="68"/>
      <c r="G177" s="68"/>
      <c r="H177" s="68"/>
      <c r="I177" s="67"/>
      <c r="J177" s="68"/>
      <c r="K177" s="67"/>
      <c r="L177" s="67"/>
      <c r="M177" s="68"/>
      <c r="N177" s="68"/>
      <c r="O177" s="68"/>
      <c r="P177" s="68"/>
      <c r="Q177" s="68"/>
      <c r="R177" s="67"/>
      <c r="S177" s="66" t="s">
        <v>135</v>
      </c>
      <c r="T177" s="65"/>
      <c r="U177" s="57" t="s">
        <v>23</v>
      </c>
      <c r="V177" s="56"/>
      <c r="W177" s="56"/>
      <c r="X177" s="57" t="s">
        <v>23</v>
      </c>
      <c r="Y177" s="56"/>
      <c r="Z177" s="56"/>
      <c r="AA177" s="57" t="s">
        <v>23</v>
      </c>
      <c r="AB177" s="56"/>
      <c r="AC177" s="56"/>
      <c r="AD177" s="57" t="s">
        <v>23</v>
      </c>
      <c r="AE177" s="56"/>
      <c r="AF177" s="56"/>
      <c r="AG177" s="57" t="s">
        <v>23</v>
      </c>
      <c r="AH177" s="56"/>
      <c r="AI177" s="56"/>
      <c r="AJ177" s="57" t="s">
        <v>23</v>
      </c>
      <c r="AK177" s="56"/>
      <c r="AL177" s="56"/>
      <c r="AM177" s="57" t="s">
        <v>23</v>
      </c>
      <c r="AN177" s="56"/>
      <c r="AO177" s="56"/>
      <c r="AP177" s="57" t="s">
        <v>23</v>
      </c>
      <c r="AQ177" s="56"/>
      <c r="AR177" s="56"/>
      <c r="AS177" s="57" t="s">
        <v>23</v>
      </c>
      <c r="AT177" s="56"/>
      <c r="AU177" s="56"/>
      <c r="AV177" s="57" t="s">
        <v>23</v>
      </c>
      <c r="AW177" s="56"/>
      <c r="AX177" s="56"/>
      <c r="AY177" s="57" t="s">
        <v>23</v>
      </c>
      <c r="AZ177" s="56"/>
      <c r="BA177" s="56"/>
      <c r="BB177" s="372" t="s">
        <v>746</v>
      </c>
      <c r="BC177" s="56"/>
      <c r="BD177" s="56"/>
      <c r="BE177" s="57" t="s">
        <v>23</v>
      </c>
      <c r="BF177" s="56"/>
      <c r="BG177" s="56"/>
      <c r="BH177" s="57" t="s">
        <v>23</v>
      </c>
      <c r="BI177" s="56"/>
      <c r="BJ177" s="56"/>
      <c r="BK177" s="372" t="s">
        <v>23</v>
      </c>
    </row>
    <row r="178" spans="1:63" s="27" customFormat="1" ht="15.25" customHeight="1">
      <c r="A178" s="64"/>
      <c r="B178" s="63"/>
      <c r="C178" s="69" t="s">
        <v>134</v>
      </c>
      <c r="D178" s="68"/>
      <c r="E178" s="68"/>
      <c r="F178" s="68"/>
      <c r="G178" s="68"/>
      <c r="H178" s="68"/>
      <c r="I178" s="67"/>
      <c r="J178" s="68"/>
      <c r="K178" s="67"/>
      <c r="L178" s="67"/>
      <c r="M178" s="68"/>
      <c r="N178" s="68"/>
      <c r="O178" s="68"/>
      <c r="P178" s="68"/>
      <c r="Q178" s="68"/>
      <c r="R178" s="67"/>
      <c r="S178" s="66" t="s">
        <v>133</v>
      </c>
      <c r="T178" s="65"/>
      <c r="U178" s="57" t="s">
        <v>23</v>
      </c>
      <c r="V178" s="56"/>
      <c r="W178" s="56"/>
      <c r="X178" s="57" t="s">
        <v>23</v>
      </c>
      <c r="Y178" s="56"/>
      <c r="Z178" s="56"/>
      <c r="AA178" s="57" t="s">
        <v>23</v>
      </c>
      <c r="AB178" s="56"/>
      <c r="AC178" s="56"/>
      <c r="AD178" s="57" t="s">
        <v>23</v>
      </c>
      <c r="AE178" s="56"/>
      <c r="AF178" s="56"/>
      <c r="AG178" s="57" t="s">
        <v>23</v>
      </c>
      <c r="AH178" s="56"/>
      <c r="AI178" s="56"/>
      <c r="AJ178" s="57" t="s">
        <v>23</v>
      </c>
      <c r="AK178" s="56"/>
      <c r="AL178" s="56"/>
      <c r="AM178" s="57" t="s">
        <v>23</v>
      </c>
      <c r="AN178" s="56"/>
      <c r="AO178" s="56"/>
      <c r="AP178" s="57" t="s">
        <v>23</v>
      </c>
      <c r="AQ178" s="56"/>
      <c r="AR178" s="56"/>
      <c r="AS178" s="57" t="s">
        <v>23</v>
      </c>
      <c r="AT178" s="56"/>
      <c r="AU178" s="56"/>
      <c r="AV178" s="57" t="s">
        <v>23</v>
      </c>
      <c r="AW178" s="56"/>
      <c r="AX178" s="56"/>
      <c r="AY178" s="57" t="s">
        <v>23</v>
      </c>
      <c r="AZ178" s="56"/>
      <c r="BA178" s="56"/>
      <c r="BB178" s="57" t="s">
        <v>23</v>
      </c>
      <c r="BC178" s="56"/>
      <c r="BD178" s="56"/>
      <c r="BE178" s="372" t="s">
        <v>746</v>
      </c>
      <c r="BF178" s="56"/>
      <c r="BG178" s="56"/>
      <c r="BH178" s="57" t="s">
        <v>23</v>
      </c>
      <c r="BI178" s="56"/>
      <c r="BJ178" s="56"/>
      <c r="BK178" s="372" t="s">
        <v>23</v>
      </c>
    </row>
    <row r="179" spans="1:63" s="27" customFormat="1" ht="15.25" customHeight="1">
      <c r="A179" s="64"/>
      <c r="B179" s="63"/>
      <c r="C179" s="69" t="s">
        <v>132</v>
      </c>
      <c r="D179" s="68"/>
      <c r="E179" s="68"/>
      <c r="F179" s="68"/>
      <c r="G179" s="68"/>
      <c r="H179" s="68"/>
      <c r="I179" s="67"/>
      <c r="J179" s="68"/>
      <c r="K179" s="67"/>
      <c r="L179" s="67"/>
      <c r="M179" s="68"/>
      <c r="N179" s="68"/>
      <c r="O179" s="68"/>
      <c r="P179" s="68"/>
      <c r="Q179" s="68"/>
      <c r="R179" s="67"/>
      <c r="S179" s="66" t="s">
        <v>131</v>
      </c>
      <c r="T179" s="65"/>
      <c r="U179" s="57" t="s">
        <v>23</v>
      </c>
      <c r="V179" s="56"/>
      <c r="W179" s="56"/>
      <c r="X179" s="57" t="s">
        <v>23</v>
      </c>
      <c r="Y179" s="56"/>
      <c r="Z179" s="56"/>
      <c r="AA179" s="57" t="s">
        <v>23</v>
      </c>
      <c r="AB179" s="56"/>
      <c r="AC179" s="56"/>
      <c r="AD179" s="57" t="s">
        <v>23</v>
      </c>
      <c r="AE179" s="56"/>
      <c r="AF179" s="56"/>
      <c r="AG179" s="57" t="s">
        <v>23</v>
      </c>
      <c r="AH179" s="56"/>
      <c r="AI179" s="56"/>
      <c r="AJ179" s="57" t="s">
        <v>23</v>
      </c>
      <c r="AK179" s="56"/>
      <c r="AL179" s="56"/>
      <c r="AM179" s="57" t="s">
        <v>23</v>
      </c>
      <c r="AN179" s="56"/>
      <c r="AO179" s="56"/>
      <c r="AP179" s="57" t="s">
        <v>23</v>
      </c>
      <c r="AQ179" s="56"/>
      <c r="AR179" s="56"/>
      <c r="AS179" s="57" t="s">
        <v>23</v>
      </c>
      <c r="AT179" s="56"/>
      <c r="AU179" s="56"/>
      <c r="AV179" s="57" t="s">
        <v>23</v>
      </c>
      <c r="AW179" s="56"/>
      <c r="AX179" s="56"/>
      <c r="AY179" s="57" t="s">
        <v>23</v>
      </c>
      <c r="AZ179" s="56"/>
      <c r="BA179" s="56"/>
      <c r="BB179" s="57" t="s">
        <v>23</v>
      </c>
      <c r="BC179" s="56"/>
      <c r="BD179" s="56"/>
      <c r="BE179" s="57" t="s">
        <v>23</v>
      </c>
      <c r="BF179" s="56"/>
      <c r="BG179" s="56"/>
      <c r="BH179" s="372" t="s">
        <v>746</v>
      </c>
      <c r="BI179" s="56"/>
      <c r="BJ179" s="56"/>
      <c r="BK179" s="372" t="s">
        <v>23</v>
      </c>
    </row>
    <row r="180" spans="1:63" s="27" customFormat="1" ht="15.25" customHeight="1">
      <c r="A180" s="64"/>
      <c r="B180" s="63"/>
      <c r="C180" s="62" t="s">
        <v>130</v>
      </c>
      <c r="D180" s="61"/>
      <c r="E180" s="61"/>
      <c r="F180" s="61"/>
      <c r="G180" s="61"/>
      <c r="H180" s="61"/>
      <c r="I180" s="60"/>
      <c r="J180" s="61"/>
      <c r="K180" s="60"/>
      <c r="L180" s="60"/>
      <c r="M180" s="61"/>
      <c r="N180" s="61"/>
      <c r="O180" s="61"/>
      <c r="P180" s="61"/>
      <c r="Q180" s="61"/>
      <c r="R180" s="60"/>
      <c r="S180" s="59" t="s">
        <v>129</v>
      </c>
      <c r="T180" s="58"/>
      <c r="U180" s="57" t="s">
        <v>23</v>
      </c>
      <c r="V180" s="56"/>
      <c r="W180" s="56"/>
      <c r="X180" s="57" t="s">
        <v>23</v>
      </c>
      <c r="Y180" s="56"/>
      <c r="Z180" s="56"/>
      <c r="AA180" s="57" t="s">
        <v>23</v>
      </c>
      <c r="AB180" s="56"/>
      <c r="AC180" s="56"/>
      <c r="AD180" s="57" t="s">
        <v>23</v>
      </c>
      <c r="AE180" s="56"/>
      <c r="AF180" s="56"/>
      <c r="AG180" s="57" t="s">
        <v>23</v>
      </c>
      <c r="AH180" s="56"/>
      <c r="AI180" s="56"/>
      <c r="AJ180" s="57" t="s">
        <v>23</v>
      </c>
      <c r="AK180" s="56"/>
      <c r="AL180" s="56"/>
      <c r="AM180" s="57" t="s">
        <v>23</v>
      </c>
      <c r="AN180" s="56"/>
      <c r="AO180" s="56"/>
      <c r="AP180" s="57" t="s">
        <v>23</v>
      </c>
      <c r="AQ180" s="56"/>
      <c r="AR180" s="56"/>
      <c r="AS180" s="57" t="s">
        <v>23</v>
      </c>
      <c r="AT180" s="56"/>
      <c r="AU180" s="56"/>
      <c r="AV180" s="57" t="s">
        <v>23</v>
      </c>
      <c r="AW180" s="56"/>
      <c r="AX180" s="56"/>
      <c r="AY180" s="57" t="s">
        <v>23</v>
      </c>
      <c r="AZ180" s="56"/>
      <c r="BA180" s="56"/>
      <c r="BB180" s="57" t="s">
        <v>23</v>
      </c>
      <c r="BC180" s="56"/>
      <c r="BD180" s="56"/>
      <c r="BE180" s="57" t="s">
        <v>23</v>
      </c>
      <c r="BF180" s="56"/>
      <c r="BG180" s="56"/>
      <c r="BH180" s="57" t="s">
        <v>23</v>
      </c>
      <c r="BI180" s="56"/>
      <c r="BJ180" s="56"/>
      <c r="BK180" s="57" t="s">
        <v>23</v>
      </c>
    </row>
    <row r="181" spans="1:63" s="27" customFormat="1" ht="15.25" customHeight="1">
      <c r="A181" s="64"/>
      <c r="B181" s="63"/>
      <c r="C181" s="62" t="s">
        <v>128</v>
      </c>
      <c r="D181" s="61"/>
      <c r="E181" s="61"/>
      <c r="F181" s="61"/>
      <c r="G181" s="61"/>
      <c r="H181" s="61"/>
      <c r="I181" s="60"/>
      <c r="J181" s="61"/>
      <c r="K181" s="60"/>
      <c r="L181" s="60"/>
      <c r="M181" s="61"/>
      <c r="N181" s="61"/>
      <c r="O181" s="61"/>
      <c r="P181" s="61"/>
      <c r="Q181" s="61"/>
      <c r="R181" s="60"/>
      <c r="S181" s="59" t="s">
        <v>127</v>
      </c>
      <c r="T181" s="58"/>
      <c r="U181" s="57" t="s">
        <v>23</v>
      </c>
      <c r="V181" s="56"/>
      <c r="W181" s="56"/>
      <c r="X181" s="57" t="s">
        <v>23</v>
      </c>
      <c r="Y181" s="56"/>
      <c r="Z181" s="56"/>
      <c r="AA181" s="57" t="s">
        <v>23</v>
      </c>
      <c r="AB181" s="56"/>
      <c r="AC181" s="56"/>
      <c r="AD181" s="57" t="s">
        <v>23</v>
      </c>
      <c r="AE181" s="56"/>
      <c r="AF181" s="56"/>
      <c r="AG181" s="57" t="s">
        <v>23</v>
      </c>
      <c r="AH181" s="56"/>
      <c r="AI181" s="56"/>
      <c r="AJ181" s="57" t="s">
        <v>23</v>
      </c>
      <c r="AK181" s="56"/>
      <c r="AL181" s="56"/>
      <c r="AM181" s="57" t="s">
        <v>23</v>
      </c>
      <c r="AN181" s="56"/>
      <c r="AO181" s="56"/>
      <c r="AP181" s="57" t="s">
        <v>23</v>
      </c>
      <c r="AQ181" s="56"/>
      <c r="AR181" s="56"/>
      <c r="AS181" s="57" t="s">
        <v>23</v>
      </c>
      <c r="AT181" s="56"/>
      <c r="AU181" s="56"/>
      <c r="AV181" s="57" t="s">
        <v>23</v>
      </c>
      <c r="AW181" s="56"/>
      <c r="AX181" s="56"/>
      <c r="AY181" s="57" t="s">
        <v>23</v>
      </c>
      <c r="AZ181" s="56"/>
      <c r="BA181" s="56"/>
      <c r="BB181" s="57" t="s">
        <v>23</v>
      </c>
      <c r="BC181" s="56"/>
      <c r="BD181" s="56"/>
      <c r="BE181" s="57" t="s">
        <v>23</v>
      </c>
      <c r="BF181" s="56"/>
      <c r="BG181" s="56"/>
      <c r="BH181" s="57" t="s">
        <v>23</v>
      </c>
      <c r="BI181" s="56"/>
      <c r="BJ181" s="56"/>
      <c r="BK181" s="57" t="s">
        <v>23</v>
      </c>
    </row>
    <row r="182" spans="1:63" s="27" customFormat="1" ht="15.25" customHeight="1">
      <c r="A182" s="64"/>
      <c r="B182" s="63"/>
      <c r="C182" s="62" t="s">
        <v>126</v>
      </c>
      <c r="D182" s="61"/>
      <c r="E182" s="61"/>
      <c r="F182" s="61"/>
      <c r="G182" s="61"/>
      <c r="H182" s="61"/>
      <c r="I182" s="60"/>
      <c r="J182" s="61"/>
      <c r="K182" s="60"/>
      <c r="L182" s="60"/>
      <c r="M182" s="61"/>
      <c r="N182" s="61"/>
      <c r="O182" s="61"/>
      <c r="P182" s="61"/>
      <c r="Q182" s="61"/>
      <c r="R182" s="60"/>
      <c r="S182" s="59" t="s">
        <v>125</v>
      </c>
      <c r="T182" s="58"/>
      <c r="U182" s="57" t="s">
        <v>23</v>
      </c>
      <c r="V182" s="56"/>
      <c r="W182" s="56"/>
      <c r="X182" s="57" t="s">
        <v>23</v>
      </c>
      <c r="Y182" s="56"/>
      <c r="Z182" s="56"/>
      <c r="AA182" s="57" t="s">
        <v>23</v>
      </c>
      <c r="AB182" s="56"/>
      <c r="AC182" s="56"/>
      <c r="AD182" s="57" t="s">
        <v>23</v>
      </c>
      <c r="AE182" s="56"/>
      <c r="AF182" s="56"/>
      <c r="AG182" s="57" t="s">
        <v>23</v>
      </c>
      <c r="AH182" s="56"/>
      <c r="AI182" s="56"/>
      <c r="AJ182" s="57" t="s">
        <v>23</v>
      </c>
      <c r="AK182" s="56"/>
      <c r="AL182" s="56"/>
      <c r="AM182" s="57" t="s">
        <v>23</v>
      </c>
      <c r="AN182" s="56"/>
      <c r="AO182" s="56"/>
      <c r="AP182" s="57" t="s">
        <v>23</v>
      </c>
      <c r="AQ182" s="56"/>
      <c r="AR182" s="56"/>
      <c r="AS182" s="57" t="s">
        <v>23</v>
      </c>
      <c r="AT182" s="56"/>
      <c r="AU182" s="56"/>
      <c r="AV182" s="57" t="s">
        <v>23</v>
      </c>
      <c r="AW182" s="56"/>
      <c r="AX182" s="56"/>
      <c r="AY182" s="57" t="s">
        <v>23</v>
      </c>
      <c r="AZ182" s="56"/>
      <c r="BA182" s="56"/>
      <c r="BB182" s="57" t="s">
        <v>23</v>
      </c>
      <c r="BC182" s="56"/>
      <c r="BD182" s="56"/>
      <c r="BE182" s="57" t="s">
        <v>23</v>
      </c>
      <c r="BF182" s="56"/>
      <c r="BG182" s="56"/>
      <c r="BH182" s="57" t="s">
        <v>23</v>
      </c>
      <c r="BI182" s="56"/>
      <c r="BJ182" s="56"/>
      <c r="BK182" s="57" t="s">
        <v>23</v>
      </c>
    </row>
    <row r="183" spans="1:63" s="27" customFormat="1" ht="15.25" customHeight="1">
      <c r="A183" s="64"/>
      <c r="B183" s="63"/>
      <c r="C183" s="62" t="s">
        <v>124</v>
      </c>
      <c r="D183" s="61"/>
      <c r="E183" s="61"/>
      <c r="F183" s="61"/>
      <c r="G183" s="61"/>
      <c r="H183" s="61"/>
      <c r="I183" s="60"/>
      <c r="J183" s="61"/>
      <c r="K183" s="60"/>
      <c r="L183" s="60"/>
      <c r="M183" s="61"/>
      <c r="N183" s="61"/>
      <c r="O183" s="61"/>
      <c r="P183" s="61"/>
      <c r="Q183" s="61"/>
      <c r="R183" s="60"/>
      <c r="S183" s="59" t="s">
        <v>123</v>
      </c>
      <c r="T183" s="58"/>
      <c r="U183" s="57" t="s">
        <v>23</v>
      </c>
      <c r="V183" s="56"/>
      <c r="W183" s="56"/>
      <c r="X183" s="57" t="s">
        <v>23</v>
      </c>
      <c r="Y183" s="56"/>
      <c r="Z183" s="56"/>
      <c r="AA183" s="57" t="s">
        <v>23</v>
      </c>
      <c r="AB183" s="56"/>
      <c r="AC183" s="56"/>
      <c r="AD183" s="57" t="s">
        <v>23</v>
      </c>
      <c r="AE183" s="56"/>
      <c r="AF183" s="56"/>
      <c r="AG183" s="57" t="s">
        <v>23</v>
      </c>
      <c r="AH183" s="56"/>
      <c r="AI183" s="56"/>
      <c r="AJ183" s="57" t="s">
        <v>23</v>
      </c>
      <c r="AK183" s="56"/>
      <c r="AL183" s="56"/>
      <c r="AM183" s="57" t="s">
        <v>23</v>
      </c>
      <c r="AN183" s="56"/>
      <c r="AO183" s="56"/>
      <c r="AP183" s="57" t="s">
        <v>23</v>
      </c>
      <c r="AQ183" s="56"/>
      <c r="AR183" s="56"/>
      <c r="AS183" s="57" t="s">
        <v>23</v>
      </c>
      <c r="AT183" s="56"/>
      <c r="AU183" s="56"/>
      <c r="AV183" s="57" t="s">
        <v>23</v>
      </c>
      <c r="AW183" s="56"/>
      <c r="AX183" s="56"/>
      <c r="AY183" s="57" t="s">
        <v>23</v>
      </c>
      <c r="AZ183" s="56"/>
      <c r="BA183" s="56"/>
      <c r="BB183" s="57" t="s">
        <v>23</v>
      </c>
      <c r="BC183" s="56"/>
      <c r="BD183" s="56"/>
      <c r="BE183" s="57" t="s">
        <v>23</v>
      </c>
      <c r="BF183" s="56"/>
      <c r="BG183" s="56"/>
      <c r="BH183" s="57" t="s">
        <v>23</v>
      </c>
      <c r="BI183" s="56"/>
      <c r="BJ183" s="56"/>
      <c r="BK183" s="57" t="s">
        <v>23</v>
      </c>
    </row>
    <row r="184" spans="1:63" s="27" customFormat="1" ht="15.25" customHeight="1">
      <c r="A184" s="64"/>
      <c r="B184" s="63"/>
      <c r="C184" s="62" t="s">
        <v>122</v>
      </c>
      <c r="D184" s="61"/>
      <c r="E184" s="61"/>
      <c r="F184" s="61"/>
      <c r="G184" s="61"/>
      <c r="H184" s="61"/>
      <c r="I184" s="60"/>
      <c r="J184" s="61"/>
      <c r="K184" s="60"/>
      <c r="L184" s="60"/>
      <c r="M184" s="61"/>
      <c r="N184" s="61"/>
      <c r="O184" s="61"/>
      <c r="P184" s="61"/>
      <c r="Q184" s="61"/>
      <c r="R184" s="60"/>
      <c r="S184" s="59" t="s">
        <v>121</v>
      </c>
      <c r="T184" s="58"/>
      <c r="U184" s="57" t="s">
        <v>23</v>
      </c>
      <c r="V184" s="56"/>
      <c r="W184" s="56"/>
      <c r="X184" s="57" t="s">
        <v>23</v>
      </c>
      <c r="Y184" s="56"/>
      <c r="Z184" s="56"/>
      <c r="AA184" s="57" t="s">
        <v>23</v>
      </c>
      <c r="AB184" s="56"/>
      <c r="AC184" s="56"/>
      <c r="AD184" s="57" t="s">
        <v>23</v>
      </c>
      <c r="AE184" s="56"/>
      <c r="AF184" s="56"/>
      <c r="AG184" s="57" t="s">
        <v>23</v>
      </c>
      <c r="AH184" s="56"/>
      <c r="AI184" s="56"/>
      <c r="AJ184" s="57" t="s">
        <v>23</v>
      </c>
      <c r="AK184" s="56"/>
      <c r="AL184" s="56"/>
      <c r="AM184" s="57" t="s">
        <v>23</v>
      </c>
      <c r="AN184" s="56"/>
      <c r="AO184" s="56"/>
      <c r="AP184" s="57" t="s">
        <v>23</v>
      </c>
      <c r="AQ184" s="56"/>
      <c r="AR184" s="56"/>
      <c r="AS184" s="57" t="s">
        <v>23</v>
      </c>
      <c r="AT184" s="56"/>
      <c r="AU184" s="56"/>
      <c r="AV184" s="57" t="s">
        <v>23</v>
      </c>
      <c r="AW184" s="56"/>
      <c r="AX184" s="56"/>
      <c r="AY184" s="57" t="s">
        <v>23</v>
      </c>
      <c r="AZ184" s="56"/>
      <c r="BA184" s="56"/>
      <c r="BB184" s="57" t="s">
        <v>23</v>
      </c>
      <c r="BC184" s="56"/>
      <c r="BD184" s="56"/>
      <c r="BE184" s="57" t="s">
        <v>23</v>
      </c>
      <c r="BF184" s="56"/>
      <c r="BG184" s="56"/>
      <c r="BH184" s="57" t="s">
        <v>23</v>
      </c>
      <c r="BI184" s="56"/>
      <c r="BJ184" s="56"/>
      <c r="BK184" s="57" t="s">
        <v>23</v>
      </c>
    </row>
    <row r="185" spans="1:63" s="27" customFormat="1" ht="15.25" customHeight="1">
      <c r="A185" s="64"/>
      <c r="B185" s="63"/>
      <c r="C185" s="62" t="s">
        <v>120</v>
      </c>
      <c r="D185" s="61"/>
      <c r="E185" s="61"/>
      <c r="F185" s="61"/>
      <c r="G185" s="61"/>
      <c r="H185" s="61"/>
      <c r="I185" s="60"/>
      <c r="J185" s="61"/>
      <c r="K185" s="60"/>
      <c r="L185" s="60"/>
      <c r="M185" s="61"/>
      <c r="N185" s="61"/>
      <c r="O185" s="61"/>
      <c r="P185" s="61"/>
      <c r="Q185" s="61"/>
      <c r="R185" s="60"/>
      <c r="S185" s="59" t="s">
        <v>119</v>
      </c>
      <c r="T185" s="58"/>
      <c r="U185" s="57" t="s">
        <v>23</v>
      </c>
      <c r="V185" s="56"/>
      <c r="W185" s="56"/>
      <c r="X185" s="57" t="s">
        <v>23</v>
      </c>
      <c r="Y185" s="56"/>
      <c r="Z185" s="56"/>
      <c r="AA185" s="57" t="s">
        <v>23</v>
      </c>
      <c r="AB185" s="56"/>
      <c r="AC185" s="56"/>
      <c r="AD185" s="57" t="s">
        <v>23</v>
      </c>
      <c r="AE185" s="56"/>
      <c r="AF185" s="56"/>
      <c r="AG185" s="57" t="s">
        <v>23</v>
      </c>
      <c r="AH185" s="56"/>
      <c r="AI185" s="56"/>
      <c r="AJ185" s="57" t="s">
        <v>23</v>
      </c>
      <c r="AK185" s="56"/>
      <c r="AL185" s="56"/>
      <c r="AM185" s="57" t="s">
        <v>23</v>
      </c>
      <c r="AN185" s="56"/>
      <c r="AO185" s="56"/>
      <c r="AP185" s="57" t="s">
        <v>23</v>
      </c>
      <c r="AQ185" s="56"/>
      <c r="AR185" s="56"/>
      <c r="AS185" s="57" t="s">
        <v>23</v>
      </c>
      <c r="AT185" s="56"/>
      <c r="AU185" s="56"/>
      <c r="AV185" s="57" t="s">
        <v>23</v>
      </c>
      <c r="AW185" s="56"/>
      <c r="AX185" s="56"/>
      <c r="AY185" s="57" t="s">
        <v>23</v>
      </c>
      <c r="AZ185" s="56"/>
      <c r="BA185" s="56"/>
      <c r="BB185" s="57" t="s">
        <v>23</v>
      </c>
      <c r="BC185" s="56"/>
      <c r="BD185" s="56"/>
      <c r="BE185" s="57" t="s">
        <v>23</v>
      </c>
      <c r="BF185" s="56"/>
      <c r="BG185" s="56"/>
      <c r="BH185" s="57" t="s">
        <v>23</v>
      </c>
      <c r="BI185" s="56"/>
      <c r="BJ185" s="56"/>
      <c r="BK185" s="57" t="s">
        <v>23</v>
      </c>
    </row>
    <row r="186" spans="1:63" s="27" customFormat="1" ht="15.25" customHeight="1">
      <c r="A186" s="64"/>
      <c r="B186" s="63"/>
      <c r="C186" s="62" t="s">
        <v>118</v>
      </c>
      <c r="D186" s="61"/>
      <c r="E186" s="61"/>
      <c r="F186" s="61"/>
      <c r="G186" s="61"/>
      <c r="H186" s="61"/>
      <c r="I186" s="60"/>
      <c r="J186" s="61"/>
      <c r="K186" s="60"/>
      <c r="L186" s="60"/>
      <c r="M186" s="61"/>
      <c r="N186" s="61"/>
      <c r="O186" s="61"/>
      <c r="P186" s="61"/>
      <c r="Q186" s="61"/>
      <c r="R186" s="60"/>
      <c r="S186" s="59" t="s">
        <v>117</v>
      </c>
      <c r="T186" s="58"/>
      <c r="U186" s="57" t="s">
        <v>23</v>
      </c>
      <c r="V186" s="56"/>
      <c r="W186" s="56"/>
      <c r="X186" s="57" t="s">
        <v>23</v>
      </c>
      <c r="Y186" s="56"/>
      <c r="Z186" s="56"/>
      <c r="AA186" s="57" t="s">
        <v>23</v>
      </c>
      <c r="AB186" s="56"/>
      <c r="AC186" s="56"/>
      <c r="AD186" s="57" t="s">
        <v>23</v>
      </c>
      <c r="AE186" s="56"/>
      <c r="AF186" s="56"/>
      <c r="AG186" s="57" t="s">
        <v>23</v>
      </c>
      <c r="AH186" s="56"/>
      <c r="AI186" s="56"/>
      <c r="AJ186" s="57" t="s">
        <v>23</v>
      </c>
      <c r="AK186" s="56"/>
      <c r="AL186" s="56"/>
      <c r="AM186" s="57" t="s">
        <v>23</v>
      </c>
      <c r="AN186" s="56"/>
      <c r="AO186" s="56"/>
      <c r="AP186" s="57" t="s">
        <v>23</v>
      </c>
      <c r="AQ186" s="56"/>
      <c r="AR186" s="56"/>
      <c r="AS186" s="57" t="s">
        <v>23</v>
      </c>
      <c r="AT186" s="56"/>
      <c r="AU186" s="56"/>
      <c r="AV186" s="57" t="s">
        <v>23</v>
      </c>
      <c r="AW186" s="56"/>
      <c r="AX186" s="56"/>
      <c r="AY186" s="57" t="s">
        <v>23</v>
      </c>
      <c r="AZ186" s="56"/>
      <c r="BA186" s="56"/>
      <c r="BB186" s="57" t="s">
        <v>23</v>
      </c>
      <c r="BC186" s="56"/>
      <c r="BD186" s="56"/>
      <c r="BE186" s="57" t="s">
        <v>23</v>
      </c>
      <c r="BF186" s="56"/>
      <c r="BG186" s="56"/>
      <c r="BH186" s="57" t="s">
        <v>23</v>
      </c>
      <c r="BI186" s="56"/>
      <c r="BJ186" s="56"/>
      <c r="BK186" s="57" t="s">
        <v>23</v>
      </c>
    </row>
    <row r="187" spans="1:63" s="27" customFormat="1" ht="15.25" customHeight="1">
      <c r="A187" s="64"/>
      <c r="B187" s="63"/>
      <c r="C187" s="62" t="s">
        <v>116</v>
      </c>
      <c r="D187" s="61"/>
      <c r="E187" s="61"/>
      <c r="F187" s="61"/>
      <c r="G187" s="61"/>
      <c r="H187" s="61"/>
      <c r="I187" s="60"/>
      <c r="J187" s="61"/>
      <c r="K187" s="60"/>
      <c r="L187" s="60"/>
      <c r="M187" s="61"/>
      <c r="N187" s="61"/>
      <c r="O187" s="61"/>
      <c r="P187" s="61"/>
      <c r="Q187" s="61"/>
      <c r="R187" s="60"/>
      <c r="S187" s="59" t="s">
        <v>115</v>
      </c>
      <c r="T187" s="58"/>
      <c r="U187" s="57" t="s">
        <v>23</v>
      </c>
      <c r="V187" s="56"/>
      <c r="W187" s="56"/>
      <c r="X187" s="57" t="s">
        <v>23</v>
      </c>
      <c r="Y187" s="56"/>
      <c r="Z187" s="56"/>
      <c r="AA187" s="57" t="s">
        <v>23</v>
      </c>
      <c r="AB187" s="56"/>
      <c r="AC187" s="56"/>
      <c r="AD187" s="57" t="s">
        <v>23</v>
      </c>
      <c r="AE187" s="56"/>
      <c r="AF187" s="56"/>
      <c r="AG187" s="57" t="s">
        <v>23</v>
      </c>
      <c r="AH187" s="56"/>
      <c r="AI187" s="56"/>
      <c r="AJ187" s="57" t="s">
        <v>23</v>
      </c>
      <c r="AK187" s="56"/>
      <c r="AL187" s="56"/>
      <c r="AM187" s="57" t="s">
        <v>23</v>
      </c>
      <c r="AN187" s="56"/>
      <c r="AO187" s="56"/>
      <c r="AP187" s="57" t="s">
        <v>23</v>
      </c>
      <c r="AQ187" s="56"/>
      <c r="AR187" s="56"/>
      <c r="AS187" s="57" t="s">
        <v>23</v>
      </c>
      <c r="AT187" s="56"/>
      <c r="AU187" s="56"/>
      <c r="AV187" s="57" t="s">
        <v>23</v>
      </c>
      <c r="AW187" s="56"/>
      <c r="AX187" s="56"/>
      <c r="AY187" s="57" t="s">
        <v>23</v>
      </c>
      <c r="AZ187" s="56"/>
      <c r="BA187" s="56"/>
      <c r="BB187" s="57" t="s">
        <v>23</v>
      </c>
      <c r="BC187" s="56"/>
      <c r="BD187" s="56"/>
      <c r="BE187" s="57" t="s">
        <v>23</v>
      </c>
      <c r="BF187" s="56"/>
      <c r="BG187" s="56"/>
      <c r="BH187" s="57" t="s">
        <v>23</v>
      </c>
      <c r="BI187" s="56"/>
      <c r="BJ187" s="56"/>
      <c r="BK187" s="57" t="s">
        <v>23</v>
      </c>
    </row>
    <row r="188" spans="1:63" s="27" customFormat="1" ht="15.25" customHeight="1">
      <c r="A188" s="64"/>
      <c r="B188" s="63"/>
      <c r="C188" s="62" t="s">
        <v>114</v>
      </c>
      <c r="D188" s="61"/>
      <c r="E188" s="61"/>
      <c r="F188" s="61"/>
      <c r="G188" s="61"/>
      <c r="H188" s="61"/>
      <c r="I188" s="60"/>
      <c r="J188" s="61"/>
      <c r="K188" s="60"/>
      <c r="L188" s="60"/>
      <c r="M188" s="61"/>
      <c r="N188" s="61"/>
      <c r="O188" s="61"/>
      <c r="P188" s="61"/>
      <c r="Q188" s="61"/>
      <c r="R188" s="60"/>
      <c r="S188" s="59" t="s">
        <v>113</v>
      </c>
      <c r="T188" s="58"/>
      <c r="U188" s="57" t="s">
        <v>23</v>
      </c>
      <c r="V188" s="56"/>
      <c r="W188" s="56"/>
      <c r="X188" s="57" t="s">
        <v>23</v>
      </c>
      <c r="Y188" s="56"/>
      <c r="Z188" s="56"/>
      <c r="AA188" s="57" t="s">
        <v>23</v>
      </c>
      <c r="AB188" s="56"/>
      <c r="AC188" s="56"/>
      <c r="AD188" s="57" t="s">
        <v>23</v>
      </c>
      <c r="AE188" s="56"/>
      <c r="AF188" s="56"/>
      <c r="AG188" s="57" t="s">
        <v>23</v>
      </c>
      <c r="AH188" s="56"/>
      <c r="AI188" s="56"/>
      <c r="AJ188" s="57" t="s">
        <v>23</v>
      </c>
      <c r="AK188" s="56"/>
      <c r="AL188" s="56"/>
      <c r="AM188" s="57" t="s">
        <v>23</v>
      </c>
      <c r="AN188" s="56"/>
      <c r="AO188" s="56"/>
      <c r="AP188" s="57" t="s">
        <v>23</v>
      </c>
      <c r="AQ188" s="56"/>
      <c r="AR188" s="56"/>
      <c r="AS188" s="57" t="s">
        <v>23</v>
      </c>
      <c r="AT188" s="56"/>
      <c r="AU188" s="56"/>
      <c r="AV188" s="57" t="s">
        <v>23</v>
      </c>
      <c r="AW188" s="56"/>
      <c r="AX188" s="56"/>
      <c r="AY188" s="57" t="s">
        <v>23</v>
      </c>
      <c r="AZ188" s="56"/>
      <c r="BA188" s="56"/>
      <c r="BB188" s="57" t="s">
        <v>23</v>
      </c>
      <c r="BC188" s="56"/>
      <c r="BD188" s="56"/>
      <c r="BE188" s="57" t="s">
        <v>23</v>
      </c>
      <c r="BF188" s="56"/>
      <c r="BG188" s="56"/>
      <c r="BH188" s="57" t="s">
        <v>23</v>
      </c>
      <c r="BI188" s="56"/>
      <c r="BJ188" s="56"/>
      <c r="BK188" s="57" t="s">
        <v>23</v>
      </c>
    </row>
    <row r="189" spans="1:63" s="27" customFormat="1" ht="15.25" customHeight="1">
      <c r="A189" s="64"/>
      <c r="B189" s="63"/>
      <c r="C189" s="62" t="s">
        <v>112</v>
      </c>
      <c r="D189" s="61"/>
      <c r="E189" s="61"/>
      <c r="F189" s="61"/>
      <c r="G189" s="61"/>
      <c r="H189" s="61"/>
      <c r="I189" s="60"/>
      <c r="J189" s="61"/>
      <c r="K189" s="60"/>
      <c r="L189" s="60"/>
      <c r="M189" s="61"/>
      <c r="N189" s="61"/>
      <c r="O189" s="61"/>
      <c r="P189" s="61"/>
      <c r="Q189" s="61"/>
      <c r="R189" s="60"/>
      <c r="S189" s="59" t="s">
        <v>111</v>
      </c>
      <c r="T189" s="58"/>
      <c r="U189" s="57" t="s">
        <v>23</v>
      </c>
      <c r="V189" s="56"/>
      <c r="W189" s="56"/>
      <c r="X189" s="57" t="s">
        <v>23</v>
      </c>
      <c r="Y189" s="56"/>
      <c r="Z189" s="56"/>
      <c r="AA189" s="57" t="s">
        <v>23</v>
      </c>
      <c r="AB189" s="56"/>
      <c r="AC189" s="56"/>
      <c r="AD189" s="57" t="s">
        <v>23</v>
      </c>
      <c r="AE189" s="56"/>
      <c r="AF189" s="56"/>
      <c r="AG189" s="57" t="s">
        <v>23</v>
      </c>
      <c r="AH189" s="56"/>
      <c r="AI189" s="56"/>
      <c r="AJ189" s="57" t="s">
        <v>23</v>
      </c>
      <c r="AK189" s="56"/>
      <c r="AL189" s="56"/>
      <c r="AM189" s="57" t="s">
        <v>23</v>
      </c>
      <c r="AN189" s="56"/>
      <c r="AO189" s="56"/>
      <c r="AP189" s="57" t="s">
        <v>23</v>
      </c>
      <c r="AQ189" s="56"/>
      <c r="AR189" s="56"/>
      <c r="AS189" s="57" t="s">
        <v>23</v>
      </c>
      <c r="AT189" s="56"/>
      <c r="AU189" s="56"/>
      <c r="AV189" s="57" t="s">
        <v>23</v>
      </c>
      <c r="AW189" s="56"/>
      <c r="AX189" s="56"/>
      <c r="AY189" s="57" t="s">
        <v>23</v>
      </c>
      <c r="AZ189" s="56"/>
      <c r="BA189" s="56"/>
      <c r="BB189" s="57" t="s">
        <v>23</v>
      </c>
      <c r="BC189" s="56"/>
      <c r="BD189" s="56"/>
      <c r="BE189" s="57" t="s">
        <v>23</v>
      </c>
      <c r="BF189" s="56"/>
      <c r="BG189" s="56"/>
      <c r="BH189" s="57" t="s">
        <v>23</v>
      </c>
      <c r="BI189" s="56"/>
      <c r="BJ189" s="56"/>
      <c r="BK189" s="57" t="s">
        <v>23</v>
      </c>
    </row>
    <row r="190" spans="1:63" s="27" customFormat="1" ht="15.25" customHeight="1">
      <c r="A190" s="64"/>
      <c r="B190" s="63"/>
      <c r="C190" s="62" t="s">
        <v>110</v>
      </c>
      <c r="D190" s="61"/>
      <c r="E190" s="61"/>
      <c r="F190" s="61"/>
      <c r="G190" s="61"/>
      <c r="H190" s="61"/>
      <c r="I190" s="60"/>
      <c r="J190" s="61"/>
      <c r="K190" s="60"/>
      <c r="L190" s="60"/>
      <c r="M190" s="61"/>
      <c r="N190" s="61"/>
      <c r="O190" s="61"/>
      <c r="P190" s="61"/>
      <c r="Q190" s="61"/>
      <c r="R190" s="60"/>
      <c r="S190" s="59" t="s">
        <v>98</v>
      </c>
      <c r="T190" s="58"/>
      <c r="U190" s="57" t="s">
        <v>23</v>
      </c>
      <c r="V190" s="56"/>
      <c r="W190" s="56"/>
      <c r="X190" s="57" t="s">
        <v>23</v>
      </c>
      <c r="Y190" s="56"/>
      <c r="Z190" s="56"/>
      <c r="AA190" s="57" t="s">
        <v>23</v>
      </c>
      <c r="AB190" s="56"/>
      <c r="AC190" s="56"/>
      <c r="AD190" s="57" t="s">
        <v>23</v>
      </c>
      <c r="AE190" s="56"/>
      <c r="AF190" s="56"/>
      <c r="AG190" s="57" t="s">
        <v>23</v>
      </c>
      <c r="AH190" s="56"/>
      <c r="AI190" s="56"/>
      <c r="AJ190" s="57" t="s">
        <v>23</v>
      </c>
      <c r="AK190" s="56"/>
      <c r="AL190" s="56"/>
      <c r="AM190" s="57" t="s">
        <v>23</v>
      </c>
      <c r="AN190" s="56"/>
      <c r="AO190" s="56"/>
      <c r="AP190" s="57" t="s">
        <v>23</v>
      </c>
      <c r="AQ190" s="56"/>
      <c r="AR190" s="56"/>
      <c r="AS190" s="57" t="s">
        <v>23</v>
      </c>
      <c r="AT190" s="56"/>
      <c r="AU190" s="56"/>
      <c r="AV190" s="57" t="s">
        <v>23</v>
      </c>
      <c r="AW190" s="56"/>
      <c r="AX190" s="56"/>
      <c r="AY190" s="57" t="s">
        <v>23</v>
      </c>
      <c r="AZ190" s="56"/>
      <c r="BA190" s="56"/>
      <c r="BB190" s="57" t="s">
        <v>23</v>
      </c>
      <c r="BC190" s="56"/>
      <c r="BD190" s="56"/>
      <c r="BE190" s="57" t="s">
        <v>23</v>
      </c>
      <c r="BF190" s="56"/>
      <c r="BG190" s="56"/>
      <c r="BH190" s="57" t="s">
        <v>23</v>
      </c>
      <c r="BI190" s="56"/>
      <c r="BJ190" s="56"/>
      <c r="BK190" s="57" t="s">
        <v>23</v>
      </c>
    </row>
    <row r="191" spans="1:63" s="27" customFormat="1" ht="15.25" customHeight="1">
      <c r="A191" s="64"/>
      <c r="B191" s="63"/>
      <c r="C191" s="62" t="s">
        <v>109</v>
      </c>
      <c r="D191" s="61"/>
      <c r="E191" s="61"/>
      <c r="F191" s="61"/>
      <c r="G191" s="61"/>
      <c r="H191" s="61"/>
      <c r="I191" s="60"/>
      <c r="J191" s="61"/>
      <c r="K191" s="60"/>
      <c r="L191" s="60"/>
      <c r="M191" s="61"/>
      <c r="N191" s="61"/>
      <c r="O191" s="61"/>
      <c r="P191" s="61"/>
      <c r="Q191" s="61"/>
      <c r="R191" s="60"/>
      <c r="S191" s="59" t="s">
        <v>108</v>
      </c>
      <c r="T191" s="58"/>
      <c r="U191" s="57" t="s">
        <v>23</v>
      </c>
      <c r="V191" s="56"/>
      <c r="W191" s="56"/>
      <c r="X191" s="57" t="s">
        <v>23</v>
      </c>
      <c r="Y191" s="56"/>
      <c r="Z191" s="56"/>
      <c r="AA191" s="57" t="s">
        <v>23</v>
      </c>
      <c r="AB191" s="56"/>
      <c r="AC191" s="56"/>
      <c r="AD191" s="57" t="s">
        <v>23</v>
      </c>
      <c r="AE191" s="56"/>
      <c r="AF191" s="56"/>
      <c r="AG191" s="57" t="s">
        <v>23</v>
      </c>
      <c r="AH191" s="56"/>
      <c r="AI191" s="56"/>
      <c r="AJ191" s="57" t="s">
        <v>23</v>
      </c>
      <c r="AK191" s="56"/>
      <c r="AL191" s="56"/>
      <c r="AM191" s="57" t="s">
        <v>23</v>
      </c>
      <c r="AN191" s="56"/>
      <c r="AO191" s="56"/>
      <c r="AP191" s="57" t="s">
        <v>23</v>
      </c>
      <c r="AQ191" s="56"/>
      <c r="AR191" s="56"/>
      <c r="AS191" s="57" t="s">
        <v>23</v>
      </c>
      <c r="AT191" s="56"/>
      <c r="AU191" s="56"/>
      <c r="AV191" s="57" t="s">
        <v>23</v>
      </c>
      <c r="AW191" s="56"/>
      <c r="AX191" s="56"/>
      <c r="AY191" s="57" t="s">
        <v>23</v>
      </c>
      <c r="AZ191" s="56"/>
      <c r="BA191" s="56"/>
      <c r="BB191" s="57" t="s">
        <v>23</v>
      </c>
      <c r="BC191" s="56"/>
      <c r="BD191" s="56"/>
      <c r="BE191" s="57" t="s">
        <v>23</v>
      </c>
      <c r="BF191" s="56"/>
      <c r="BG191" s="56"/>
      <c r="BH191" s="57" t="s">
        <v>23</v>
      </c>
      <c r="BI191" s="56"/>
      <c r="BJ191" s="56"/>
      <c r="BK191" s="57" t="s">
        <v>23</v>
      </c>
    </row>
    <row r="192" spans="1:63" s="27" customFormat="1" ht="15.25" customHeight="1">
      <c r="A192" s="64"/>
      <c r="B192" s="63"/>
      <c r="C192" s="62" t="s">
        <v>107</v>
      </c>
      <c r="D192" s="61"/>
      <c r="E192" s="61"/>
      <c r="F192" s="61"/>
      <c r="G192" s="61"/>
      <c r="H192" s="61"/>
      <c r="I192" s="60"/>
      <c r="J192" s="61"/>
      <c r="K192" s="60"/>
      <c r="L192" s="60"/>
      <c r="M192" s="61"/>
      <c r="N192" s="61"/>
      <c r="O192" s="61"/>
      <c r="P192" s="61"/>
      <c r="Q192" s="61"/>
      <c r="R192" s="60"/>
      <c r="S192" s="59" t="s">
        <v>106</v>
      </c>
      <c r="T192" s="58"/>
      <c r="U192" s="57" t="s">
        <v>23</v>
      </c>
      <c r="V192" s="56"/>
      <c r="W192" s="56"/>
      <c r="X192" s="57" t="s">
        <v>23</v>
      </c>
      <c r="Y192" s="56"/>
      <c r="Z192" s="56"/>
      <c r="AA192" s="57" t="s">
        <v>23</v>
      </c>
      <c r="AB192" s="56"/>
      <c r="AC192" s="56"/>
      <c r="AD192" s="57" t="s">
        <v>23</v>
      </c>
      <c r="AE192" s="56"/>
      <c r="AF192" s="56"/>
      <c r="AG192" s="57" t="s">
        <v>23</v>
      </c>
      <c r="AH192" s="56"/>
      <c r="AI192" s="56"/>
      <c r="AJ192" s="57" t="s">
        <v>23</v>
      </c>
      <c r="AK192" s="56"/>
      <c r="AL192" s="56"/>
      <c r="AM192" s="57" t="s">
        <v>23</v>
      </c>
      <c r="AN192" s="56"/>
      <c r="AO192" s="56"/>
      <c r="AP192" s="57" t="s">
        <v>23</v>
      </c>
      <c r="AQ192" s="56"/>
      <c r="AR192" s="56"/>
      <c r="AS192" s="57" t="s">
        <v>23</v>
      </c>
      <c r="AT192" s="56"/>
      <c r="AU192" s="56"/>
      <c r="AV192" s="57" t="s">
        <v>23</v>
      </c>
      <c r="AW192" s="56"/>
      <c r="AX192" s="56"/>
      <c r="AY192" s="57" t="s">
        <v>23</v>
      </c>
      <c r="AZ192" s="56"/>
      <c r="BA192" s="56"/>
      <c r="BB192" s="57" t="s">
        <v>23</v>
      </c>
      <c r="BC192" s="56"/>
      <c r="BD192" s="56"/>
      <c r="BE192" s="57" t="s">
        <v>23</v>
      </c>
      <c r="BF192" s="56"/>
      <c r="BG192" s="56"/>
      <c r="BH192" s="57" t="s">
        <v>23</v>
      </c>
      <c r="BI192" s="56"/>
      <c r="BJ192" s="56"/>
      <c r="BK192" s="57" t="s">
        <v>23</v>
      </c>
    </row>
    <row r="193" spans="1:63" s="27" customFormat="1" ht="15.25" customHeight="1">
      <c r="A193" s="64"/>
      <c r="B193" s="63"/>
      <c r="C193" s="62" t="s">
        <v>105</v>
      </c>
      <c r="D193" s="61"/>
      <c r="E193" s="61"/>
      <c r="F193" s="61"/>
      <c r="G193" s="61"/>
      <c r="H193" s="61"/>
      <c r="I193" s="60"/>
      <c r="J193" s="61"/>
      <c r="K193" s="60"/>
      <c r="L193" s="60"/>
      <c r="M193" s="61"/>
      <c r="N193" s="61"/>
      <c r="O193" s="61"/>
      <c r="P193" s="61"/>
      <c r="Q193" s="61"/>
      <c r="R193" s="60"/>
      <c r="S193" s="59" t="s">
        <v>104</v>
      </c>
      <c r="T193" s="58"/>
      <c r="U193" s="57" t="s">
        <v>23</v>
      </c>
      <c r="V193" s="56"/>
      <c r="W193" s="56"/>
      <c r="X193" s="57" t="s">
        <v>23</v>
      </c>
      <c r="Y193" s="56"/>
      <c r="Z193" s="56"/>
      <c r="AA193" s="57" t="s">
        <v>23</v>
      </c>
      <c r="AB193" s="56"/>
      <c r="AC193" s="56"/>
      <c r="AD193" s="57" t="s">
        <v>23</v>
      </c>
      <c r="AE193" s="56"/>
      <c r="AF193" s="56"/>
      <c r="AG193" s="57" t="s">
        <v>23</v>
      </c>
      <c r="AH193" s="56"/>
      <c r="AI193" s="56"/>
      <c r="AJ193" s="57" t="s">
        <v>23</v>
      </c>
      <c r="AK193" s="56"/>
      <c r="AL193" s="56"/>
      <c r="AM193" s="57" t="s">
        <v>23</v>
      </c>
      <c r="AN193" s="56"/>
      <c r="AO193" s="56"/>
      <c r="AP193" s="57" t="s">
        <v>23</v>
      </c>
      <c r="AQ193" s="56"/>
      <c r="AR193" s="56"/>
      <c r="AS193" s="57" t="s">
        <v>23</v>
      </c>
      <c r="AT193" s="56"/>
      <c r="AU193" s="56"/>
      <c r="AV193" s="57" t="s">
        <v>23</v>
      </c>
      <c r="AW193" s="56"/>
      <c r="AX193" s="56"/>
      <c r="AY193" s="57" t="s">
        <v>23</v>
      </c>
      <c r="AZ193" s="56"/>
      <c r="BA193" s="56"/>
      <c r="BB193" s="57" t="s">
        <v>23</v>
      </c>
      <c r="BC193" s="56"/>
      <c r="BD193" s="56"/>
      <c r="BE193" s="57" t="s">
        <v>23</v>
      </c>
      <c r="BF193" s="56"/>
      <c r="BG193" s="56"/>
      <c r="BH193" s="57" t="s">
        <v>23</v>
      </c>
      <c r="BI193" s="56"/>
      <c r="BJ193" s="56"/>
      <c r="BK193" s="57" t="s">
        <v>23</v>
      </c>
    </row>
    <row r="194" spans="1:63" s="27" customFormat="1" ht="15.25" customHeight="1">
      <c r="A194" s="64"/>
      <c r="B194" s="63"/>
      <c r="C194" s="62" t="s">
        <v>103</v>
      </c>
      <c r="D194" s="61"/>
      <c r="E194" s="61"/>
      <c r="F194" s="61"/>
      <c r="G194" s="61"/>
      <c r="H194" s="61"/>
      <c r="I194" s="60"/>
      <c r="J194" s="61"/>
      <c r="K194" s="60"/>
      <c r="L194" s="60"/>
      <c r="M194" s="61"/>
      <c r="N194" s="61"/>
      <c r="O194" s="61"/>
      <c r="P194" s="61"/>
      <c r="Q194" s="61"/>
      <c r="R194" s="60"/>
      <c r="S194" s="59" t="s">
        <v>100</v>
      </c>
      <c r="T194" s="58"/>
      <c r="U194" s="57" t="s">
        <v>23</v>
      </c>
      <c r="V194" s="56"/>
      <c r="W194" s="56"/>
      <c r="X194" s="57" t="s">
        <v>23</v>
      </c>
      <c r="Y194" s="56"/>
      <c r="Z194" s="56"/>
      <c r="AA194" s="57" t="s">
        <v>23</v>
      </c>
      <c r="AB194" s="56"/>
      <c r="AC194" s="56"/>
      <c r="AD194" s="57" t="s">
        <v>23</v>
      </c>
      <c r="AE194" s="56"/>
      <c r="AF194" s="56"/>
      <c r="AG194" s="57" t="s">
        <v>23</v>
      </c>
      <c r="AH194" s="56"/>
      <c r="AI194" s="56"/>
      <c r="AJ194" s="57" t="s">
        <v>23</v>
      </c>
      <c r="AK194" s="56"/>
      <c r="AL194" s="56"/>
      <c r="AM194" s="57" t="s">
        <v>23</v>
      </c>
      <c r="AN194" s="56"/>
      <c r="AO194" s="56"/>
      <c r="AP194" s="57" t="s">
        <v>23</v>
      </c>
      <c r="AQ194" s="56"/>
      <c r="AR194" s="56"/>
      <c r="AS194" s="57" t="s">
        <v>23</v>
      </c>
      <c r="AT194" s="56"/>
      <c r="AU194" s="56"/>
      <c r="AV194" s="57" t="s">
        <v>23</v>
      </c>
      <c r="AW194" s="56"/>
      <c r="AX194" s="56"/>
      <c r="AY194" s="57" t="s">
        <v>23</v>
      </c>
      <c r="AZ194" s="56"/>
      <c r="BA194" s="56"/>
      <c r="BB194" s="57" t="s">
        <v>23</v>
      </c>
      <c r="BC194" s="56"/>
      <c r="BD194" s="56"/>
      <c r="BE194" s="57" t="s">
        <v>23</v>
      </c>
      <c r="BF194" s="56"/>
      <c r="BG194" s="56"/>
      <c r="BH194" s="57" t="s">
        <v>23</v>
      </c>
      <c r="BI194" s="56"/>
      <c r="BJ194" s="56"/>
      <c r="BK194" s="57" t="s">
        <v>23</v>
      </c>
    </row>
    <row r="195" spans="1:63" s="27" customFormat="1" ht="15.25" customHeight="1">
      <c r="A195" s="64"/>
      <c r="B195" s="63"/>
      <c r="C195" s="62" t="s">
        <v>102</v>
      </c>
      <c r="D195" s="61"/>
      <c r="E195" s="61"/>
      <c r="F195" s="61"/>
      <c r="G195" s="61"/>
      <c r="H195" s="61"/>
      <c r="I195" s="60"/>
      <c r="J195" s="61"/>
      <c r="K195" s="60"/>
      <c r="L195" s="60"/>
      <c r="M195" s="61"/>
      <c r="N195" s="61"/>
      <c r="O195" s="61"/>
      <c r="P195" s="61"/>
      <c r="Q195" s="61"/>
      <c r="R195" s="60"/>
      <c r="S195" s="59" t="s">
        <v>98</v>
      </c>
      <c r="T195" s="58"/>
      <c r="U195" s="57" t="s">
        <v>23</v>
      </c>
      <c r="V195" s="56"/>
      <c r="W195" s="56"/>
      <c r="X195" s="57" t="s">
        <v>23</v>
      </c>
      <c r="Y195" s="56"/>
      <c r="Z195" s="56"/>
      <c r="AA195" s="57" t="s">
        <v>23</v>
      </c>
      <c r="AB195" s="56"/>
      <c r="AC195" s="56"/>
      <c r="AD195" s="57" t="s">
        <v>23</v>
      </c>
      <c r="AE195" s="56"/>
      <c r="AF195" s="56"/>
      <c r="AG195" s="57" t="s">
        <v>23</v>
      </c>
      <c r="AH195" s="56"/>
      <c r="AI195" s="56"/>
      <c r="AJ195" s="57" t="s">
        <v>23</v>
      </c>
      <c r="AK195" s="56"/>
      <c r="AL195" s="56"/>
      <c r="AM195" s="57" t="s">
        <v>23</v>
      </c>
      <c r="AN195" s="56"/>
      <c r="AO195" s="56"/>
      <c r="AP195" s="57" t="s">
        <v>23</v>
      </c>
      <c r="AQ195" s="56"/>
      <c r="AR195" s="56"/>
      <c r="AS195" s="57" t="s">
        <v>23</v>
      </c>
      <c r="AT195" s="56"/>
      <c r="AU195" s="56"/>
      <c r="AV195" s="57" t="s">
        <v>23</v>
      </c>
      <c r="AW195" s="56"/>
      <c r="AX195" s="56"/>
      <c r="AY195" s="57" t="s">
        <v>23</v>
      </c>
      <c r="AZ195" s="56"/>
      <c r="BA195" s="56"/>
      <c r="BB195" s="57" t="s">
        <v>23</v>
      </c>
      <c r="BC195" s="56"/>
      <c r="BD195" s="56"/>
      <c r="BE195" s="57" t="s">
        <v>23</v>
      </c>
      <c r="BF195" s="56"/>
      <c r="BG195" s="56"/>
      <c r="BH195" s="57" t="s">
        <v>23</v>
      </c>
      <c r="BI195" s="56"/>
      <c r="BJ195" s="56"/>
      <c r="BK195" s="57" t="s">
        <v>23</v>
      </c>
    </row>
    <row r="196" spans="1:63" s="27" customFormat="1" ht="15.25" customHeight="1">
      <c r="A196" s="64"/>
      <c r="B196" s="63"/>
      <c r="C196" s="62" t="s">
        <v>101</v>
      </c>
      <c r="D196" s="61"/>
      <c r="E196" s="61"/>
      <c r="F196" s="61"/>
      <c r="G196" s="61"/>
      <c r="H196" s="61"/>
      <c r="I196" s="60"/>
      <c r="J196" s="61"/>
      <c r="K196" s="60"/>
      <c r="L196" s="60"/>
      <c r="M196" s="61"/>
      <c r="N196" s="61"/>
      <c r="O196" s="61"/>
      <c r="P196" s="61"/>
      <c r="Q196" s="61"/>
      <c r="R196" s="60"/>
      <c r="S196" s="59" t="s">
        <v>100</v>
      </c>
      <c r="T196" s="58"/>
      <c r="U196" s="57" t="s">
        <v>23</v>
      </c>
      <c r="V196" s="56"/>
      <c r="W196" s="56"/>
      <c r="X196" s="57" t="s">
        <v>23</v>
      </c>
      <c r="Y196" s="56"/>
      <c r="Z196" s="56"/>
      <c r="AA196" s="57" t="s">
        <v>23</v>
      </c>
      <c r="AB196" s="56"/>
      <c r="AC196" s="56"/>
      <c r="AD196" s="57" t="s">
        <v>23</v>
      </c>
      <c r="AE196" s="56"/>
      <c r="AF196" s="56"/>
      <c r="AG196" s="57" t="s">
        <v>23</v>
      </c>
      <c r="AH196" s="56"/>
      <c r="AI196" s="56"/>
      <c r="AJ196" s="57" t="s">
        <v>23</v>
      </c>
      <c r="AK196" s="56"/>
      <c r="AL196" s="56"/>
      <c r="AM196" s="57" t="s">
        <v>23</v>
      </c>
      <c r="AN196" s="56"/>
      <c r="AO196" s="56"/>
      <c r="AP196" s="57" t="s">
        <v>23</v>
      </c>
      <c r="AQ196" s="56"/>
      <c r="AR196" s="56"/>
      <c r="AS196" s="57" t="s">
        <v>23</v>
      </c>
      <c r="AT196" s="56"/>
      <c r="AU196" s="56"/>
      <c r="AV196" s="57" t="s">
        <v>23</v>
      </c>
      <c r="AW196" s="56"/>
      <c r="AX196" s="56"/>
      <c r="AY196" s="57" t="s">
        <v>23</v>
      </c>
      <c r="AZ196" s="56"/>
      <c r="BA196" s="56"/>
      <c r="BB196" s="57" t="s">
        <v>23</v>
      </c>
      <c r="BC196" s="56"/>
      <c r="BD196" s="56"/>
      <c r="BE196" s="57" t="s">
        <v>23</v>
      </c>
      <c r="BF196" s="56"/>
      <c r="BG196" s="56"/>
      <c r="BH196" s="57" t="s">
        <v>23</v>
      </c>
      <c r="BI196" s="56"/>
      <c r="BJ196" s="56"/>
      <c r="BK196" s="57" t="s">
        <v>23</v>
      </c>
    </row>
    <row r="197" spans="1:63" s="27" customFormat="1" ht="15.25" customHeight="1">
      <c r="A197" s="64"/>
      <c r="B197" s="63"/>
      <c r="C197" s="62" t="s">
        <v>99</v>
      </c>
      <c r="D197" s="61"/>
      <c r="E197" s="61"/>
      <c r="F197" s="61"/>
      <c r="G197" s="61"/>
      <c r="H197" s="61"/>
      <c r="I197" s="60"/>
      <c r="J197" s="61"/>
      <c r="K197" s="60"/>
      <c r="L197" s="60"/>
      <c r="M197" s="61"/>
      <c r="N197" s="61"/>
      <c r="O197" s="61"/>
      <c r="P197" s="61"/>
      <c r="Q197" s="61"/>
      <c r="R197" s="60"/>
      <c r="S197" s="59" t="s">
        <v>98</v>
      </c>
      <c r="T197" s="58"/>
      <c r="U197" s="57" t="s">
        <v>23</v>
      </c>
      <c r="V197" s="56"/>
      <c r="W197" s="56"/>
      <c r="X197" s="57" t="s">
        <v>23</v>
      </c>
      <c r="Y197" s="56"/>
      <c r="Z197" s="56"/>
      <c r="AA197" s="57" t="s">
        <v>23</v>
      </c>
      <c r="AB197" s="56"/>
      <c r="AC197" s="56"/>
      <c r="AD197" s="57" t="s">
        <v>23</v>
      </c>
      <c r="AE197" s="56"/>
      <c r="AF197" s="56"/>
      <c r="AG197" s="57" t="s">
        <v>23</v>
      </c>
      <c r="AH197" s="56"/>
      <c r="AI197" s="56"/>
      <c r="AJ197" s="57" t="s">
        <v>23</v>
      </c>
      <c r="AK197" s="56"/>
      <c r="AL197" s="56"/>
      <c r="AM197" s="57" t="s">
        <v>23</v>
      </c>
      <c r="AN197" s="56"/>
      <c r="AO197" s="56"/>
      <c r="AP197" s="57" t="s">
        <v>23</v>
      </c>
      <c r="AQ197" s="56"/>
      <c r="AR197" s="56"/>
      <c r="AS197" s="57" t="s">
        <v>23</v>
      </c>
      <c r="AT197" s="56"/>
      <c r="AU197" s="56"/>
      <c r="AV197" s="57" t="s">
        <v>23</v>
      </c>
      <c r="AW197" s="56"/>
      <c r="AX197" s="56"/>
      <c r="AY197" s="57" t="s">
        <v>23</v>
      </c>
      <c r="AZ197" s="56"/>
      <c r="BA197" s="56"/>
      <c r="BB197" s="57" t="s">
        <v>23</v>
      </c>
      <c r="BC197" s="56"/>
      <c r="BD197" s="56"/>
      <c r="BE197" s="57" t="s">
        <v>23</v>
      </c>
      <c r="BF197" s="56"/>
      <c r="BG197" s="56"/>
      <c r="BH197" s="57" t="s">
        <v>23</v>
      </c>
      <c r="BI197" s="56"/>
      <c r="BJ197" s="56"/>
      <c r="BK197" s="57" t="s">
        <v>23</v>
      </c>
    </row>
    <row r="198" spans="1:63" s="27" customFormat="1" ht="15.25" customHeight="1">
      <c r="A198" s="55"/>
      <c r="B198" s="54"/>
      <c r="C198" s="53"/>
      <c r="D198" s="52"/>
      <c r="E198" s="52"/>
      <c r="F198" s="52"/>
      <c r="G198" s="52"/>
      <c r="H198" s="52"/>
      <c r="I198" s="52"/>
      <c r="J198" s="52"/>
      <c r="K198" s="52"/>
      <c r="L198" s="52"/>
      <c r="M198" s="52"/>
      <c r="N198" s="52"/>
      <c r="O198" s="52"/>
      <c r="P198" s="52"/>
      <c r="Q198" s="52"/>
      <c r="R198" s="52"/>
      <c r="S198" s="51"/>
      <c r="T198" s="50"/>
      <c r="U198" s="49"/>
      <c r="V198" s="49"/>
      <c r="W198" s="49"/>
      <c r="X198" s="49"/>
      <c r="Y198" s="49"/>
      <c r="Z198" s="49"/>
      <c r="AA198" s="49"/>
      <c r="AB198" s="49"/>
      <c r="AC198" s="49"/>
      <c r="AD198" s="49"/>
      <c r="AE198" s="49"/>
      <c r="AF198" s="49"/>
      <c r="AG198" s="49"/>
      <c r="AH198" s="49"/>
      <c r="AI198" s="49"/>
      <c r="AJ198" s="49"/>
      <c r="AK198" s="49"/>
      <c r="AL198" s="49"/>
      <c r="AM198" s="49"/>
      <c r="AN198" s="49"/>
      <c r="AO198" s="49"/>
      <c r="AP198" s="49"/>
      <c r="AQ198" s="49"/>
      <c r="AR198" s="49"/>
      <c r="AS198" s="49"/>
      <c r="AT198" s="49"/>
      <c r="AU198" s="49"/>
      <c r="AV198" s="49"/>
      <c r="AW198" s="49"/>
      <c r="AX198" s="49"/>
      <c r="AY198" s="49"/>
      <c r="AZ198" s="49"/>
      <c r="BA198" s="49"/>
      <c r="BB198" s="49"/>
      <c r="BC198" s="49"/>
      <c r="BD198" s="49"/>
      <c r="BE198" s="49"/>
      <c r="BF198" s="49"/>
      <c r="BG198" s="49"/>
      <c r="BH198" s="49"/>
      <c r="BI198" s="49"/>
      <c r="BJ198" s="49"/>
      <c r="BK198" s="49"/>
    </row>
    <row r="199" spans="1:63" ht="15.25" customHeight="1">
      <c r="A199" s="33"/>
      <c r="B199" s="32"/>
      <c r="C199" s="32"/>
      <c r="D199" s="32"/>
      <c r="E199" s="32"/>
      <c r="F199" s="32"/>
      <c r="G199" s="32"/>
      <c r="H199" s="32"/>
      <c r="I199" s="32"/>
      <c r="J199" s="32"/>
      <c r="K199" s="32"/>
      <c r="L199" s="32"/>
      <c r="M199" s="32"/>
      <c r="N199" s="32"/>
      <c r="O199" s="31"/>
      <c r="P199" s="32" t="s">
        <v>97</v>
      </c>
      <c r="Q199" s="32"/>
      <c r="R199" s="32"/>
      <c r="S199" s="32"/>
      <c r="T199" s="35"/>
      <c r="U199" s="382" t="s">
        <v>57</v>
      </c>
      <c r="V199" s="382" t="s">
        <v>57</v>
      </c>
      <c r="W199" s="382" t="s">
        <v>57</v>
      </c>
      <c r="X199" s="382"/>
      <c r="Y199" s="382"/>
      <c r="Z199" s="382"/>
      <c r="AA199" s="382"/>
      <c r="AB199" s="382"/>
      <c r="AC199" s="382"/>
      <c r="AD199" s="382"/>
      <c r="AE199" s="382"/>
      <c r="AF199" s="382"/>
      <c r="AG199" s="382"/>
      <c r="AH199" s="382"/>
      <c r="AI199" s="382"/>
      <c r="AJ199" s="382"/>
      <c r="AK199" s="382"/>
      <c r="AL199" s="382"/>
      <c r="AM199" s="382"/>
      <c r="AN199" s="382"/>
      <c r="AO199" s="382"/>
      <c r="AP199" s="382"/>
      <c r="AQ199" s="382"/>
      <c r="AR199" s="382"/>
      <c r="AS199" s="382"/>
      <c r="AT199" s="382"/>
      <c r="AU199" s="382"/>
      <c r="AV199" s="382"/>
      <c r="AW199" s="382"/>
      <c r="AX199" s="382"/>
      <c r="AY199" s="382"/>
      <c r="AZ199" s="382"/>
      <c r="BA199" s="382"/>
      <c r="BB199" s="382"/>
      <c r="BC199" s="382"/>
      <c r="BD199" s="382"/>
      <c r="BE199" s="382"/>
      <c r="BF199" s="382"/>
      <c r="BG199" s="382"/>
      <c r="BH199" s="382"/>
      <c r="BI199" s="382"/>
      <c r="BJ199" s="382"/>
      <c r="BK199" s="382"/>
    </row>
    <row r="200" spans="1:63" ht="15.25" customHeight="1">
      <c r="A200" s="33"/>
      <c r="B200" s="32"/>
      <c r="C200" s="32"/>
      <c r="D200" s="32"/>
      <c r="E200" s="32"/>
      <c r="F200" s="32"/>
      <c r="G200" s="32"/>
      <c r="H200" s="32"/>
      <c r="I200" s="32"/>
      <c r="J200" s="32"/>
      <c r="K200" s="32"/>
      <c r="L200" s="32"/>
      <c r="M200" s="32"/>
      <c r="N200" s="32"/>
      <c r="O200" s="31"/>
      <c r="P200" s="39"/>
      <c r="Q200" s="39"/>
      <c r="R200" s="39"/>
      <c r="S200" s="39"/>
      <c r="T200" s="44" t="s">
        <v>96</v>
      </c>
      <c r="U200" s="383"/>
      <c r="V200" s="383"/>
      <c r="W200" s="383"/>
      <c r="X200" s="48"/>
      <c r="Y200" s="48"/>
      <c r="Z200" s="48"/>
      <c r="AA200" s="48"/>
      <c r="AB200" s="48"/>
      <c r="AC200" s="48"/>
      <c r="AD200" s="48"/>
      <c r="AE200" s="48"/>
      <c r="AF200" s="48"/>
      <c r="AG200" s="48"/>
      <c r="AH200" s="48"/>
      <c r="AI200" s="48"/>
      <c r="AJ200" s="48"/>
      <c r="AK200" s="48"/>
      <c r="AL200" s="48"/>
      <c r="AM200" s="48"/>
      <c r="AN200" s="48"/>
      <c r="AO200" s="48"/>
      <c r="AP200" s="48"/>
      <c r="AQ200" s="48"/>
      <c r="AR200" s="48"/>
      <c r="AS200" s="48"/>
      <c r="AT200" s="48"/>
      <c r="AU200" s="48"/>
      <c r="AV200" s="48"/>
      <c r="AW200" s="48"/>
      <c r="AX200" s="48"/>
      <c r="AY200" s="48"/>
      <c r="AZ200" s="48"/>
      <c r="BA200" s="48"/>
      <c r="BB200" s="48"/>
      <c r="BC200" s="48"/>
      <c r="BD200" s="48"/>
      <c r="BE200" s="48"/>
      <c r="BF200" s="48"/>
      <c r="BG200" s="48"/>
      <c r="BH200" s="48"/>
      <c r="BI200" s="48"/>
      <c r="BJ200" s="48"/>
      <c r="BK200" s="48"/>
    </row>
    <row r="201" spans="1:63" ht="15.25" customHeight="1">
      <c r="A201" s="33"/>
      <c r="B201" s="32"/>
      <c r="C201" s="32"/>
      <c r="D201" s="32"/>
      <c r="E201" s="32"/>
      <c r="F201" s="32"/>
      <c r="G201" s="32"/>
      <c r="H201" s="32"/>
      <c r="I201" s="32"/>
      <c r="J201" s="32"/>
      <c r="K201" s="32"/>
      <c r="L201" s="32"/>
      <c r="M201" s="32"/>
      <c r="N201" s="32"/>
      <c r="O201" s="31"/>
      <c r="P201" s="32" t="s">
        <v>95</v>
      </c>
      <c r="Q201" s="32"/>
      <c r="R201" s="32"/>
      <c r="S201" s="32"/>
      <c r="T201" s="35" t="s">
        <v>94</v>
      </c>
      <c r="U201" s="384" t="s">
        <v>690</v>
      </c>
      <c r="V201" s="384" t="s">
        <v>690</v>
      </c>
      <c r="W201" s="384" t="s">
        <v>690</v>
      </c>
      <c r="X201" s="47"/>
      <c r="Y201" s="47"/>
      <c r="Z201" s="47"/>
      <c r="AA201" s="47"/>
      <c r="AB201" s="47"/>
      <c r="AC201" s="47"/>
      <c r="AD201" s="47"/>
      <c r="AE201" s="47"/>
      <c r="AF201" s="47"/>
      <c r="AG201" s="47"/>
      <c r="AH201" s="47"/>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row>
    <row r="202" spans="1:63" ht="15.25" customHeight="1">
      <c r="A202" s="33"/>
      <c r="B202" s="32"/>
      <c r="C202" s="32"/>
      <c r="D202" s="32"/>
      <c r="E202" s="32"/>
      <c r="F202" s="32"/>
      <c r="G202" s="32"/>
      <c r="H202" s="32"/>
      <c r="I202" s="32"/>
      <c r="J202" s="32"/>
      <c r="K202" s="32"/>
      <c r="L202" s="32"/>
      <c r="M202" s="32"/>
      <c r="N202" s="32"/>
      <c r="O202" s="31"/>
      <c r="P202" s="45"/>
      <c r="Q202" s="45"/>
      <c r="R202" s="45"/>
      <c r="S202" s="45"/>
      <c r="T202" s="44" t="s">
        <v>93</v>
      </c>
      <c r="U202" s="36" t="s">
        <v>691</v>
      </c>
      <c r="V202" s="36" t="s">
        <v>691</v>
      </c>
      <c r="W202" s="36" t="s">
        <v>691</v>
      </c>
      <c r="X202" s="43"/>
      <c r="Y202" s="43"/>
      <c r="Z202" s="43"/>
      <c r="AA202" s="43"/>
      <c r="AB202" s="43"/>
      <c r="AC202" s="43"/>
      <c r="AD202" s="43"/>
      <c r="AE202" s="43"/>
      <c r="AF202" s="43"/>
      <c r="AG202" s="43"/>
      <c r="AH202" s="43"/>
      <c r="AI202" s="43"/>
      <c r="AJ202" s="43"/>
      <c r="AK202" s="43"/>
      <c r="AL202" s="43"/>
      <c r="AM202" s="43"/>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row>
    <row r="203" spans="1:63" ht="15.25" customHeight="1">
      <c r="A203" s="33"/>
      <c r="B203" s="32"/>
      <c r="C203" s="32"/>
      <c r="D203" s="32"/>
      <c r="E203" s="32"/>
      <c r="F203" s="32"/>
      <c r="G203" s="32"/>
      <c r="H203" s="32"/>
      <c r="I203" s="32"/>
      <c r="J203" s="32"/>
      <c r="K203" s="32"/>
      <c r="L203" s="32"/>
      <c r="M203" s="32"/>
      <c r="N203" s="32"/>
      <c r="O203" s="31"/>
      <c r="P203" s="32" t="s">
        <v>95</v>
      </c>
      <c r="Q203" s="32"/>
      <c r="R203" s="32"/>
      <c r="S203" s="32"/>
      <c r="T203" s="35" t="s">
        <v>94</v>
      </c>
      <c r="U203" s="385"/>
      <c r="V203" s="385"/>
      <c r="W203" s="385"/>
      <c r="X203" s="46"/>
      <c r="Y203" s="46"/>
      <c r="Z203" s="46"/>
      <c r="AA203" s="46"/>
      <c r="AB203" s="46"/>
      <c r="AC203" s="46"/>
      <c r="AD203" s="46"/>
      <c r="AE203" s="46"/>
      <c r="AF203" s="46"/>
      <c r="AG203" s="46"/>
      <c r="AH203" s="46"/>
      <c r="AI203" s="46"/>
      <c r="AJ203" s="46"/>
      <c r="AK203" s="46"/>
      <c r="AL203" s="46"/>
      <c r="AM203" s="46"/>
      <c r="AN203" s="46"/>
      <c r="AO203" s="46"/>
      <c r="AP203" s="46"/>
      <c r="AQ203" s="46"/>
      <c r="AR203" s="46"/>
      <c r="AS203" s="46"/>
      <c r="AT203" s="46"/>
      <c r="AU203" s="46"/>
      <c r="AV203" s="46"/>
      <c r="AW203" s="46"/>
      <c r="AX203" s="46"/>
      <c r="AY203" s="46"/>
      <c r="AZ203" s="46"/>
      <c r="BA203" s="46"/>
      <c r="BB203" s="46"/>
      <c r="BC203" s="46"/>
      <c r="BD203" s="46"/>
      <c r="BE203" s="46"/>
      <c r="BF203" s="46"/>
      <c r="BG203" s="46"/>
      <c r="BH203" s="46"/>
      <c r="BI203" s="46"/>
      <c r="BJ203" s="46"/>
      <c r="BK203" s="46"/>
    </row>
    <row r="204" spans="1:63" ht="15.25" customHeight="1">
      <c r="A204" s="33"/>
      <c r="B204" s="32"/>
      <c r="C204" s="32"/>
      <c r="D204" s="32"/>
      <c r="E204" s="32"/>
      <c r="F204" s="32"/>
      <c r="G204" s="32"/>
      <c r="H204" s="32"/>
      <c r="I204" s="32"/>
      <c r="J204" s="32"/>
      <c r="K204" s="32"/>
      <c r="L204" s="32"/>
      <c r="M204" s="32"/>
      <c r="N204" s="32"/>
      <c r="O204" s="31"/>
      <c r="P204" s="45"/>
      <c r="Q204" s="45"/>
      <c r="R204" s="45"/>
      <c r="S204" s="45"/>
      <c r="T204" s="44" t="s">
        <v>93</v>
      </c>
      <c r="U204" s="36"/>
      <c r="V204" s="36"/>
      <c r="W204" s="36"/>
      <c r="X204" s="43"/>
      <c r="Y204" s="43"/>
      <c r="Z204" s="43"/>
      <c r="AA204" s="43"/>
      <c r="AB204" s="43"/>
      <c r="AC204" s="43"/>
      <c r="AD204" s="43"/>
      <c r="AE204" s="43"/>
      <c r="AF204" s="43"/>
      <c r="AG204" s="43"/>
      <c r="AH204" s="43"/>
      <c r="AI204" s="43"/>
      <c r="AJ204" s="43"/>
      <c r="AK204" s="43"/>
      <c r="AL204" s="43"/>
      <c r="AM204" s="43"/>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row>
    <row r="205" spans="1:63" ht="15.25" customHeight="1">
      <c r="A205" s="33"/>
      <c r="B205" s="32"/>
      <c r="C205" s="32"/>
      <c r="D205" s="32"/>
      <c r="E205" s="32"/>
      <c r="F205" s="32"/>
      <c r="G205" s="32"/>
      <c r="H205" s="32"/>
      <c r="I205" s="32"/>
      <c r="J205" s="32"/>
      <c r="K205" s="32"/>
      <c r="L205" s="32"/>
      <c r="M205" s="32"/>
      <c r="N205" s="32"/>
      <c r="O205" s="31"/>
      <c r="P205" s="32" t="s">
        <v>92</v>
      </c>
      <c r="Q205" s="32"/>
      <c r="R205" s="32"/>
      <c r="S205" s="42"/>
      <c r="T205" s="41" t="s">
        <v>91</v>
      </c>
      <c r="U205" s="40" t="s">
        <v>692</v>
      </c>
      <c r="V205" s="40" t="s">
        <v>692</v>
      </c>
      <c r="W205" s="40" t="s">
        <v>692</v>
      </c>
      <c r="X205" s="40"/>
      <c r="Y205" s="40"/>
      <c r="Z205" s="40"/>
      <c r="AA205" s="40"/>
      <c r="AB205" s="40"/>
      <c r="AC205" s="40"/>
      <c r="AD205" s="40"/>
      <c r="AE205" s="40"/>
      <c r="AF205" s="40"/>
      <c r="AG205" s="40"/>
      <c r="AH205" s="40"/>
      <c r="AI205" s="40"/>
      <c r="AJ205" s="40"/>
      <c r="AK205" s="40"/>
      <c r="AL205" s="40"/>
      <c r="AM205" s="40"/>
      <c r="AN205" s="40"/>
      <c r="AO205" s="40"/>
      <c r="AP205" s="40"/>
      <c r="AQ205" s="40"/>
      <c r="AR205" s="40"/>
      <c r="AS205" s="40"/>
      <c r="AT205" s="40"/>
      <c r="AU205" s="40"/>
      <c r="AV205" s="40"/>
      <c r="AW205" s="40"/>
      <c r="AX205" s="40"/>
      <c r="AY205" s="40"/>
      <c r="AZ205" s="40"/>
      <c r="BA205" s="40"/>
      <c r="BB205" s="40"/>
      <c r="BC205" s="40"/>
      <c r="BD205" s="40"/>
      <c r="BE205" s="40"/>
      <c r="BF205" s="40"/>
      <c r="BG205" s="40"/>
      <c r="BH205" s="40"/>
      <c r="BI205" s="40"/>
      <c r="BJ205" s="40"/>
      <c r="BK205" s="40"/>
    </row>
    <row r="206" spans="1:63" ht="15.25" customHeight="1">
      <c r="A206" s="33"/>
      <c r="B206" s="32"/>
      <c r="C206" s="32"/>
      <c r="D206" s="32"/>
      <c r="E206" s="32"/>
      <c r="F206" s="32"/>
      <c r="G206" s="32"/>
      <c r="H206" s="32"/>
      <c r="I206" s="32"/>
      <c r="J206" s="32"/>
      <c r="K206" s="32"/>
      <c r="L206" s="32"/>
      <c r="M206" s="32"/>
      <c r="N206" s="32"/>
      <c r="O206" s="31"/>
      <c r="P206" s="39"/>
      <c r="Q206" s="39"/>
      <c r="R206" s="39"/>
      <c r="S206" s="38"/>
      <c r="T206" s="37" t="s">
        <v>90</v>
      </c>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row>
    <row r="207" spans="1:63" ht="32.25" customHeight="1">
      <c r="A207" s="33"/>
      <c r="B207" s="32"/>
      <c r="C207" s="32"/>
      <c r="D207" s="32"/>
      <c r="E207" s="32"/>
      <c r="F207" s="32"/>
      <c r="G207" s="32"/>
      <c r="H207" s="32"/>
      <c r="I207" s="32"/>
      <c r="J207" s="32"/>
      <c r="K207" s="32"/>
      <c r="L207" s="32"/>
      <c r="M207" s="32"/>
      <c r="N207" s="32"/>
      <c r="O207" s="31"/>
      <c r="P207" s="32" t="s">
        <v>89</v>
      </c>
      <c r="Q207" s="32"/>
      <c r="R207" s="32"/>
      <c r="S207" s="32"/>
      <c r="T207" s="35"/>
      <c r="U207" s="34" t="s">
        <v>693</v>
      </c>
      <c r="V207" s="34" t="s">
        <v>693</v>
      </c>
      <c r="W207" s="34" t="s">
        <v>693</v>
      </c>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row>
    <row r="208" spans="1:63" ht="15.25" customHeight="1" thickBot="1">
      <c r="A208" s="33"/>
      <c r="B208" s="32"/>
      <c r="C208" s="32"/>
      <c r="D208" s="32"/>
      <c r="E208" s="32"/>
      <c r="F208" s="32"/>
      <c r="G208" s="32"/>
      <c r="H208" s="32"/>
      <c r="I208" s="32"/>
      <c r="J208" s="32"/>
      <c r="K208" s="32"/>
      <c r="L208" s="32"/>
      <c r="M208" s="32"/>
      <c r="N208" s="32"/>
      <c r="O208" s="31"/>
      <c r="P208" s="30"/>
      <c r="Q208" s="30"/>
      <c r="R208" s="30"/>
      <c r="S208" s="30"/>
      <c r="T208" s="29"/>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row>
  </sheetData>
  <mergeCells count="4">
    <mergeCell ref="E2:O2"/>
    <mergeCell ref="E3:O3"/>
    <mergeCell ref="E4:O4"/>
    <mergeCell ref="O126:T126"/>
  </mergeCells>
  <phoneticPr fontId="3"/>
  <dataValidations disablePrompts="1" count="2">
    <dataValidation type="list" allowBlank="1" showInputMessage="1" showErrorMessage="1" sqref="E3:O3" xr:uid="{00000000-0002-0000-0100-000000000000}">
      <formula1>"単体試験,結合試験"</formula1>
    </dataValidation>
    <dataValidation type="list" allowBlank="1" showInputMessage="1" showErrorMessage="1" sqref="E4:O4" xr:uid="{00000000-0002-0000-0100-000001000000}">
      <formula1>"審査,申し込み,確定依頼,その他バッチ,ロボット端末,ハウスキープ,レプリカ,リカバリ,テンプレート"</formula1>
    </dataValidation>
  </dataValidations>
  <printOptions horizontalCentered="1" verticalCentered="1"/>
  <pageMargins left="3.937007874015748E-2" right="3.937007874015748E-2" top="0.19685039370078741" bottom="0.19685039370078741" header="0.27559055118110237" footer="0.31496062992125984"/>
  <pageSetup paperSize="9" scale="40" fitToWidth="0" fitToHeight="0" orientation="portrait" r:id="rId1"/>
  <headerFooter alignWithMargins="0">
    <oddHeader>&amp;R&amp;9SMC-GATE
ver.1.1</oddHeader>
    <oddFooter>&amp;P / &amp;N ページ</oddFooter>
  </headerFooter>
  <rowBreaks count="1" manualBreakCount="1">
    <brk id="125"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160"/>
  <sheetViews>
    <sheetView topLeftCell="A94" workbookViewId="0">
      <selection activeCell="F169" sqref="F169"/>
    </sheetView>
  </sheetViews>
  <sheetFormatPr defaultColWidth="9" defaultRowHeight="13"/>
  <cols>
    <col min="1" max="16384" width="9" style="380"/>
  </cols>
  <sheetData>
    <row r="1" spans="1:1">
      <c r="A1" s="380" t="s">
        <v>671</v>
      </c>
    </row>
    <row r="3" spans="1:1">
      <c r="A3" s="380" t="s">
        <v>670</v>
      </c>
    </row>
    <row r="4" spans="1:1">
      <c r="A4" s="380" t="s">
        <v>762</v>
      </c>
    </row>
    <row r="6" spans="1:1">
      <c r="A6" s="380" t="s">
        <v>672</v>
      </c>
    </row>
    <row r="8" spans="1:1">
      <c r="A8" s="380" t="s">
        <v>763</v>
      </c>
    </row>
    <row r="9" spans="1:1">
      <c r="A9" s="380" t="s">
        <v>764</v>
      </c>
    </row>
    <row r="10" spans="1:1">
      <c r="A10" s="380" t="s">
        <v>765</v>
      </c>
    </row>
    <row r="11" spans="1:1">
      <c r="A11" s="380" t="s">
        <v>766</v>
      </c>
    </row>
    <row r="12" spans="1:1">
      <c r="A12" s="380" t="s">
        <v>767</v>
      </c>
    </row>
    <row r="13" spans="1:1">
      <c r="A13" s="380" t="s">
        <v>768</v>
      </c>
    </row>
    <row r="14" spans="1:1">
      <c r="A14" s="380" t="s">
        <v>769</v>
      </c>
    </row>
    <row r="15" spans="1:1">
      <c r="A15" s="380" t="s">
        <v>770</v>
      </c>
    </row>
    <row r="16" spans="1:1">
      <c r="A16" s="380" t="s">
        <v>771</v>
      </c>
    </row>
    <row r="17" spans="1:2">
      <c r="A17" s="380" t="s">
        <v>772</v>
      </c>
    </row>
    <row r="18" spans="1:2">
      <c r="A18" s="380" t="s">
        <v>773</v>
      </c>
      <c r="B18" s="380" t="s">
        <v>674</v>
      </c>
    </row>
    <row r="19" spans="1:2">
      <c r="A19" s="380" t="s">
        <v>774</v>
      </c>
      <c r="B19" s="380" t="s">
        <v>675</v>
      </c>
    </row>
    <row r="20" spans="1:2">
      <c r="A20" s="380" t="s">
        <v>775</v>
      </c>
      <c r="B20" s="380" t="s">
        <v>676</v>
      </c>
    </row>
    <row r="21" spans="1:2">
      <c r="A21" s="380" t="s">
        <v>776</v>
      </c>
      <c r="B21" s="380" t="s">
        <v>677</v>
      </c>
    </row>
    <row r="22" spans="1:2">
      <c r="A22" s="380" t="s">
        <v>777</v>
      </c>
      <c r="B22" s="380" t="s">
        <v>678</v>
      </c>
    </row>
    <row r="23" spans="1:2">
      <c r="A23" s="380" t="s">
        <v>778</v>
      </c>
      <c r="B23" s="380" t="s">
        <v>679</v>
      </c>
    </row>
    <row r="24" spans="1:2">
      <c r="A24" s="380" t="s">
        <v>779</v>
      </c>
      <c r="B24" s="380" t="s">
        <v>680</v>
      </c>
    </row>
    <row r="25" spans="1:2">
      <c r="A25" s="380" t="s">
        <v>780</v>
      </c>
      <c r="B25" s="380" t="s">
        <v>681</v>
      </c>
    </row>
    <row r="26" spans="1:2">
      <c r="A26" s="380" t="s">
        <v>781</v>
      </c>
      <c r="B26" s="380" t="s">
        <v>682</v>
      </c>
    </row>
    <row r="27" spans="1:2">
      <c r="A27" s="380" t="s">
        <v>782</v>
      </c>
      <c r="B27" s="380" t="s">
        <v>683</v>
      </c>
    </row>
    <row r="28" spans="1:2">
      <c r="A28" s="380" t="s">
        <v>783</v>
      </c>
      <c r="B28" s="380" t="s">
        <v>684</v>
      </c>
    </row>
    <row r="29" spans="1:2">
      <c r="A29" s="380" t="s">
        <v>784</v>
      </c>
      <c r="B29" s="380" t="s">
        <v>685</v>
      </c>
    </row>
    <row r="30" spans="1:2">
      <c r="A30" s="380" t="s">
        <v>785</v>
      </c>
      <c r="B30" s="380" t="s">
        <v>686</v>
      </c>
    </row>
    <row r="31" spans="1:2">
      <c r="A31" s="380" t="s">
        <v>786</v>
      </c>
      <c r="B31" s="380" t="s">
        <v>687</v>
      </c>
    </row>
    <row r="32" spans="1:2">
      <c r="A32" s="380" t="s">
        <v>787</v>
      </c>
      <c r="B32" s="380" t="s">
        <v>688</v>
      </c>
    </row>
    <row r="33" spans="1:2">
      <c r="A33" s="380" t="s">
        <v>788</v>
      </c>
      <c r="B33" s="380" t="s">
        <v>689</v>
      </c>
    </row>
    <row r="34" spans="1:2">
      <c r="A34" s="380" t="s">
        <v>789</v>
      </c>
    </row>
    <row r="35" spans="1:2">
      <c r="A35" s="380" t="s">
        <v>790</v>
      </c>
    </row>
    <row r="36" spans="1:2">
      <c r="A36" s="380" t="s">
        <v>791</v>
      </c>
    </row>
    <row r="37" spans="1:2">
      <c r="A37" s="380" t="s">
        <v>792</v>
      </c>
    </row>
    <row r="38" spans="1:2">
      <c r="A38" s="380" t="s">
        <v>793</v>
      </c>
    </row>
    <row r="39" spans="1:2">
      <c r="A39" s="380" t="s">
        <v>794</v>
      </c>
    </row>
    <row r="40" spans="1:2">
      <c r="A40" s="380" t="s">
        <v>795</v>
      </c>
    </row>
    <row r="41" spans="1:2">
      <c r="A41" s="380" t="s">
        <v>796</v>
      </c>
    </row>
    <row r="42" spans="1:2">
      <c r="A42" s="380" t="s">
        <v>797</v>
      </c>
    </row>
    <row r="43" spans="1:2">
      <c r="A43" s="380" t="s">
        <v>798</v>
      </c>
    </row>
    <row r="44" spans="1:2">
      <c r="A44" s="380" t="s">
        <v>799</v>
      </c>
    </row>
    <row r="45" spans="1:2">
      <c r="A45" s="380" t="s">
        <v>800</v>
      </c>
    </row>
    <row r="46" spans="1:2">
      <c r="A46" s="380" t="s">
        <v>801</v>
      </c>
    </row>
    <row r="47" spans="1:2">
      <c r="A47" s="380" t="s">
        <v>802</v>
      </c>
    </row>
    <row r="48" spans="1:2">
      <c r="A48" s="380" t="s">
        <v>803</v>
      </c>
    </row>
    <row r="49" spans="1:1">
      <c r="A49" s="380" t="s">
        <v>804</v>
      </c>
    </row>
    <row r="50" spans="1:1">
      <c r="A50" s="380" t="s">
        <v>805</v>
      </c>
    </row>
    <row r="51" spans="1:1" s="381" customFormat="1">
      <c r="A51" s="381" t="s">
        <v>806</v>
      </c>
    </row>
    <row r="52" spans="1:1">
      <c r="A52" s="380" t="s">
        <v>807</v>
      </c>
    </row>
    <row r="53" spans="1:1">
      <c r="A53" s="380" t="s">
        <v>808</v>
      </c>
    </row>
    <row r="54" spans="1:1">
      <c r="A54" s="380" t="s">
        <v>809</v>
      </c>
    </row>
    <row r="55" spans="1:1">
      <c r="A55" s="380" t="s">
        <v>810</v>
      </c>
    </row>
    <row r="56" spans="1:1">
      <c r="A56" s="380" t="s">
        <v>811</v>
      </c>
    </row>
    <row r="57" spans="1:1">
      <c r="A57" s="380" t="s">
        <v>812</v>
      </c>
    </row>
    <row r="58" spans="1:1">
      <c r="A58" s="380" t="s">
        <v>813</v>
      </c>
    </row>
    <row r="59" spans="1:1">
      <c r="A59" s="380" t="s">
        <v>814</v>
      </c>
    </row>
    <row r="60" spans="1:1">
      <c r="A60" s="380" t="s">
        <v>815</v>
      </c>
    </row>
    <row r="61" spans="1:1">
      <c r="A61" s="380" t="s">
        <v>816</v>
      </c>
    </row>
    <row r="62" spans="1:1">
      <c r="A62" s="380" t="s">
        <v>817</v>
      </c>
    </row>
    <row r="63" spans="1:1">
      <c r="A63" s="380" t="s">
        <v>818</v>
      </c>
    </row>
    <row r="64" spans="1:1">
      <c r="A64" s="380" t="s">
        <v>819</v>
      </c>
    </row>
    <row r="65" spans="1:1">
      <c r="A65" s="380" t="s">
        <v>820</v>
      </c>
    </row>
    <row r="66" spans="1:1">
      <c r="A66" s="380" t="s">
        <v>821</v>
      </c>
    </row>
    <row r="67" spans="1:1">
      <c r="A67" s="380" t="s">
        <v>822</v>
      </c>
    </row>
    <row r="68" spans="1:1">
      <c r="A68" s="380" t="s">
        <v>823</v>
      </c>
    </row>
    <row r="69" spans="1:1">
      <c r="A69" s="380" t="s">
        <v>824</v>
      </c>
    </row>
    <row r="70" spans="1:1">
      <c r="A70" s="380" t="s">
        <v>825</v>
      </c>
    </row>
    <row r="71" spans="1:1">
      <c r="A71" s="380" t="s">
        <v>826</v>
      </c>
    </row>
    <row r="72" spans="1:1">
      <c r="A72" s="380" t="s">
        <v>827</v>
      </c>
    </row>
    <row r="73" spans="1:1">
      <c r="A73" s="380" t="s">
        <v>828</v>
      </c>
    </row>
    <row r="74" spans="1:1">
      <c r="A74" s="380" t="s">
        <v>829</v>
      </c>
    </row>
    <row r="75" spans="1:1">
      <c r="A75" s="380" t="s">
        <v>830</v>
      </c>
    </row>
    <row r="76" spans="1:1">
      <c r="A76" s="380" t="s">
        <v>831</v>
      </c>
    </row>
    <row r="77" spans="1:1">
      <c r="A77" s="380" t="s">
        <v>832</v>
      </c>
    </row>
    <row r="78" spans="1:1">
      <c r="A78" s="380" t="s">
        <v>833</v>
      </c>
    </row>
    <row r="79" spans="1:1">
      <c r="A79" s="380" t="s">
        <v>834</v>
      </c>
    </row>
    <row r="80" spans="1:1">
      <c r="A80" s="380" t="s">
        <v>835</v>
      </c>
    </row>
    <row r="81" spans="1:1">
      <c r="A81" s="380" t="s">
        <v>836</v>
      </c>
    </row>
    <row r="82" spans="1:1">
      <c r="A82" s="380" t="s">
        <v>837</v>
      </c>
    </row>
    <row r="83" spans="1:1">
      <c r="A83" s="380" t="s">
        <v>838</v>
      </c>
    </row>
    <row r="84" spans="1:1">
      <c r="A84" s="380" t="s">
        <v>839</v>
      </c>
    </row>
    <row r="85" spans="1:1">
      <c r="A85" s="380" t="s">
        <v>840</v>
      </c>
    </row>
    <row r="86" spans="1:1">
      <c r="A86" s="380" t="s">
        <v>841</v>
      </c>
    </row>
    <row r="87" spans="1:1">
      <c r="A87" s="380" t="s">
        <v>842</v>
      </c>
    </row>
    <row r="88" spans="1:1">
      <c r="A88" s="380" t="s">
        <v>843</v>
      </c>
    </row>
    <row r="89" spans="1:1">
      <c r="A89" s="380" t="s">
        <v>844</v>
      </c>
    </row>
    <row r="90" spans="1:1">
      <c r="A90" s="380" t="s">
        <v>845</v>
      </c>
    </row>
    <row r="91" spans="1:1">
      <c r="A91" s="380" t="s">
        <v>846</v>
      </c>
    </row>
    <row r="92" spans="1:1">
      <c r="A92" s="380" t="s">
        <v>847</v>
      </c>
    </row>
    <row r="93" spans="1:1">
      <c r="A93" s="380" t="s">
        <v>848</v>
      </c>
    </row>
    <row r="94" spans="1:1">
      <c r="A94" s="380" t="s">
        <v>849</v>
      </c>
    </row>
    <row r="95" spans="1:1">
      <c r="A95" s="380" t="s">
        <v>850</v>
      </c>
    </row>
    <row r="96" spans="1:1">
      <c r="A96" s="380" t="s">
        <v>851</v>
      </c>
    </row>
    <row r="97" spans="1:1">
      <c r="A97" s="380" t="s">
        <v>852</v>
      </c>
    </row>
    <row r="98" spans="1:1">
      <c r="A98" s="380" t="s">
        <v>853</v>
      </c>
    </row>
    <row r="99" spans="1:1">
      <c r="A99" s="380" t="s">
        <v>854</v>
      </c>
    </row>
    <row r="100" spans="1:1">
      <c r="A100" s="380" t="s">
        <v>855</v>
      </c>
    </row>
    <row r="101" spans="1:1">
      <c r="A101" s="380" t="s">
        <v>856</v>
      </c>
    </row>
    <row r="103" spans="1:1">
      <c r="A103" s="380" t="s">
        <v>858</v>
      </c>
    </row>
    <row r="105" spans="1:1">
      <c r="A105" s="380" t="s">
        <v>859</v>
      </c>
    </row>
    <row r="106" spans="1:1">
      <c r="A106" s="380" t="s">
        <v>860</v>
      </c>
    </row>
    <row r="107" spans="1:1">
      <c r="A107" s="380" t="s">
        <v>861</v>
      </c>
    </row>
    <row r="108" spans="1:1">
      <c r="A108" s="380" t="s">
        <v>862</v>
      </c>
    </row>
    <row r="109" spans="1:1">
      <c r="A109" s="380" t="s">
        <v>863</v>
      </c>
    </row>
    <row r="110" spans="1:1">
      <c r="A110" s="380" t="s">
        <v>864</v>
      </c>
    </row>
    <row r="111" spans="1:1">
      <c r="A111" s="380" t="s">
        <v>865</v>
      </c>
    </row>
    <row r="112" spans="1:1">
      <c r="A112" s="380" t="s">
        <v>866</v>
      </c>
    </row>
    <row r="113" spans="1:1">
      <c r="A113" s="380" t="s">
        <v>867</v>
      </c>
    </row>
    <row r="114" spans="1:1">
      <c r="A114" s="380" t="s">
        <v>868</v>
      </c>
    </row>
    <row r="115" spans="1:1">
      <c r="A115" s="380" t="s">
        <v>869</v>
      </c>
    </row>
    <row r="116" spans="1:1">
      <c r="A116" s="380" t="s">
        <v>870</v>
      </c>
    </row>
    <row r="117" spans="1:1">
      <c r="A117" s="380" t="s">
        <v>871</v>
      </c>
    </row>
    <row r="118" spans="1:1">
      <c r="A118" s="380" t="s">
        <v>872</v>
      </c>
    </row>
    <row r="119" spans="1:1">
      <c r="A119" s="380" t="s">
        <v>873</v>
      </c>
    </row>
    <row r="120" spans="1:1">
      <c r="A120" s="380" t="s">
        <v>874</v>
      </c>
    </row>
    <row r="121" spans="1:1">
      <c r="A121" s="380" t="s">
        <v>875</v>
      </c>
    </row>
    <row r="122" spans="1:1">
      <c r="A122" s="380" t="s">
        <v>876</v>
      </c>
    </row>
    <row r="123" spans="1:1">
      <c r="A123" s="380" t="s">
        <v>877</v>
      </c>
    </row>
    <row r="124" spans="1:1">
      <c r="A124" s="380" t="s">
        <v>878</v>
      </c>
    </row>
    <row r="125" spans="1:1">
      <c r="A125" s="380" t="s">
        <v>879</v>
      </c>
    </row>
    <row r="126" spans="1:1">
      <c r="A126" s="380" t="s">
        <v>880</v>
      </c>
    </row>
    <row r="127" spans="1:1">
      <c r="A127" s="380" t="s">
        <v>881</v>
      </c>
    </row>
    <row r="128" spans="1:1">
      <c r="A128" s="380" t="s">
        <v>882</v>
      </c>
    </row>
    <row r="129" spans="1:1">
      <c r="A129" s="380" t="s">
        <v>883</v>
      </c>
    </row>
    <row r="130" spans="1:1">
      <c r="A130" s="380" t="s">
        <v>884</v>
      </c>
    </row>
    <row r="131" spans="1:1">
      <c r="A131" s="380" t="s">
        <v>885</v>
      </c>
    </row>
    <row r="132" spans="1:1">
      <c r="A132" s="380" t="s">
        <v>886</v>
      </c>
    </row>
    <row r="133" spans="1:1">
      <c r="A133" s="380" t="s">
        <v>887</v>
      </c>
    </row>
    <row r="134" spans="1:1">
      <c r="A134" s="380" t="s">
        <v>888</v>
      </c>
    </row>
    <row r="135" spans="1:1">
      <c r="A135" s="380" t="s">
        <v>889</v>
      </c>
    </row>
    <row r="136" spans="1:1">
      <c r="A136" s="380" t="s">
        <v>890</v>
      </c>
    </row>
    <row r="137" spans="1:1">
      <c r="A137" s="380" t="s">
        <v>891</v>
      </c>
    </row>
    <row r="138" spans="1:1">
      <c r="A138" s="380" t="s">
        <v>892</v>
      </c>
    </row>
    <row r="139" spans="1:1">
      <c r="A139" s="380" t="s">
        <v>893</v>
      </c>
    </row>
    <row r="140" spans="1:1">
      <c r="A140" s="380" t="s">
        <v>894</v>
      </c>
    </row>
    <row r="141" spans="1:1">
      <c r="A141" s="380" t="s">
        <v>895</v>
      </c>
    </row>
    <row r="142" spans="1:1">
      <c r="A142" s="380" t="s">
        <v>896</v>
      </c>
    </row>
    <row r="143" spans="1:1">
      <c r="A143" s="380" t="s">
        <v>897</v>
      </c>
    </row>
    <row r="144" spans="1:1">
      <c r="A144" s="380" t="s">
        <v>898</v>
      </c>
    </row>
    <row r="145" spans="1:1">
      <c r="A145" s="380" t="s">
        <v>899</v>
      </c>
    </row>
    <row r="146" spans="1:1">
      <c r="A146" s="380" t="s">
        <v>900</v>
      </c>
    </row>
    <row r="147" spans="1:1" s="381" customFormat="1">
      <c r="A147" s="381" t="s">
        <v>901</v>
      </c>
    </row>
    <row r="148" spans="1:1">
      <c r="A148" s="380" t="s">
        <v>902</v>
      </c>
    </row>
    <row r="149" spans="1:1">
      <c r="A149" s="380" t="s">
        <v>903</v>
      </c>
    </row>
    <row r="150" spans="1:1">
      <c r="A150" s="380" t="s">
        <v>904</v>
      </c>
    </row>
    <row r="151" spans="1:1">
      <c r="A151" s="380" t="s">
        <v>905</v>
      </c>
    </row>
    <row r="152" spans="1:1">
      <c r="A152" s="380" t="s">
        <v>906</v>
      </c>
    </row>
    <row r="153" spans="1:1">
      <c r="A153" s="380" t="s">
        <v>907</v>
      </c>
    </row>
    <row r="154" spans="1:1">
      <c r="A154" s="380" t="s">
        <v>908</v>
      </c>
    </row>
    <row r="155" spans="1:1">
      <c r="A155" s="380" t="s">
        <v>909</v>
      </c>
    </row>
    <row r="156" spans="1:1">
      <c r="A156" s="380" t="s">
        <v>910</v>
      </c>
    </row>
    <row r="157" spans="1:1">
      <c r="A157" s="380" t="s">
        <v>911</v>
      </c>
    </row>
    <row r="158" spans="1:1">
      <c r="A158" s="380" t="s">
        <v>912</v>
      </c>
    </row>
    <row r="159" spans="1:1">
      <c r="A159" s="380" t="s">
        <v>913</v>
      </c>
    </row>
    <row r="160" spans="1:1">
      <c r="A160" s="380" t="s">
        <v>914</v>
      </c>
    </row>
  </sheetData>
  <phoneticPr fontId="3"/>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B36"/>
  <sheetViews>
    <sheetView topLeftCell="A16"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924</v>
      </c>
    </row>
    <row r="9" spans="1:1">
      <c r="A9" s="380" t="s">
        <v>925</v>
      </c>
    </row>
    <row r="10" spans="1:1">
      <c r="A10" s="380" t="s">
        <v>926</v>
      </c>
    </row>
    <row r="11" spans="1:1">
      <c r="A11" s="380" t="s">
        <v>927</v>
      </c>
    </row>
    <row r="12" spans="1:1">
      <c r="A12" s="380" t="s">
        <v>928</v>
      </c>
    </row>
    <row r="13" spans="1:1">
      <c r="A13" s="380" t="s">
        <v>929</v>
      </c>
    </row>
    <row r="14" spans="1:1" s="381" customFormat="1">
      <c r="A14" s="381" t="s">
        <v>930</v>
      </c>
    </row>
    <row r="15" spans="1:1" s="381" customFormat="1">
      <c r="A15" s="381" t="s">
        <v>931</v>
      </c>
    </row>
    <row r="16" spans="1:1" s="381" customFormat="1">
      <c r="A16" s="381" t="s">
        <v>673</v>
      </c>
    </row>
    <row r="17" spans="1:2" s="381" customFormat="1">
      <c r="A17" s="381" t="s">
        <v>697</v>
      </c>
    </row>
    <row r="18" spans="1:2">
      <c r="A18" s="380"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932</v>
      </c>
    </row>
    <row r="36" spans="1:2">
      <c r="A36" s="380" t="s">
        <v>933</v>
      </c>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158"/>
  <sheetViews>
    <sheetView topLeftCell="A112"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934</v>
      </c>
    </row>
    <row r="6" spans="1:1">
      <c r="A6" s="380" t="s">
        <v>672</v>
      </c>
    </row>
    <row r="8" spans="1:1">
      <c r="A8" s="380" t="s">
        <v>933</v>
      </c>
    </row>
    <row r="9" spans="1:1">
      <c r="A9" s="380" t="s">
        <v>935</v>
      </c>
    </row>
    <row r="10" spans="1:1">
      <c r="A10" s="380" t="s">
        <v>936</v>
      </c>
    </row>
    <row r="11" spans="1:1">
      <c r="A11" s="380" t="s">
        <v>937</v>
      </c>
    </row>
    <row r="12" spans="1:1">
      <c r="A12" s="380" t="s">
        <v>938</v>
      </c>
    </row>
    <row r="13" spans="1:1">
      <c r="A13" s="380" t="s">
        <v>939</v>
      </c>
    </row>
    <row r="14" spans="1:1">
      <c r="A14" s="380" t="s">
        <v>940</v>
      </c>
    </row>
    <row r="15" spans="1:1">
      <c r="A15" s="380" t="s">
        <v>941</v>
      </c>
    </row>
    <row r="16" spans="1:1">
      <c r="A16" s="380" t="s">
        <v>942</v>
      </c>
    </row>
    <row r="17" spans="1:1">
      <c r="A17" s="380" t="s">
        <v>943</v>
      </c>
    </row>
    <row r="18" spans="1:1">
      <c r="A18" s="380" t="s">
        <v>944</v>
      </c>
    </row>
    <row r="19" spans="1:1">
      <c r="A19" s="380" t="s">
        <v>945</v>
      </c>
    </row>
    <row r="20" spans="1:1">
      <c r="A20" s="380" t="s">
        <v>946</v>
      </c>
    </row>
    <row r="21" spans="1:1">
      <c r="A21" s="380" t="s">
        <v>947</v>
      </c>
    </row>
    <row r="22" spans="1:1">
      <c r="A22" s="380" t="s">
        <v>948</v>
      </c>
    </row>
    <row r="23" spans="1:1">
      <c r="A23" s="380" t="s">
        <v>949</v>
      </c>
    </row>
    <row r="24" spans="1:1">
      <c r="A24" s="380" t="s">
        <v>950</v>
      </c>
    </row>
    <row r="25" spans="1:1">
      <c r="A25" s="380" t="s">
        <v>951</v>
      </c>
    </row>
    <row r="26" spans="1:1">
      <c r="A26" s="380" t="s">
        <v>952</v>
      </c>
    </row>
    <row r="27" spans="1:1">
      <c r="A27" s="380" t="s">
        <v>953</v>
      </c>
    </row>
    <row r="28" spans="1:1">
      <c r="A28" s="380" t="s">
        <v>954</v>
      </c>
    </row>
    <row r="29" spans="1:1">
      <c r="A29" s="380" t="s">
        <v>955</v>
      </c>
    </row>
    <row r="30" spans="1:1">
      <c r="A30" s="380" t="s">
        <v>956</v>
      </c>
    </row>
    <row r="31" spans="1:1">
      <c r="A31" s="380" t="s">
        <v>957</v>
      </c>
    </row>
    <row r="32" spans="1:1">
      <c r="A32" s="380" t="s">
        <v>958</v>
      </c>
    </row>
    <row r="33" spans="1:1">
      <c r="A33" s="380" t="s">
        <v>959</v>
      </c>
    </row>
    <row r="34" spans="1:1">
      <c r="A34" s="380" t="s">
        <v>960</v>
      </c>
    </row>
    <row r="35" spans="1:1">
      <c r="A35" s="380" t="s">
        <v>961</v>
      </c>
    </row>
    <row r="36" spans="1:1">
      <c r="A36" s="380" t="s">
        <v>962</v>
      </c>
    </row>
    <row r="37" spans="1:1">
      <c r="A37" s="380" t="s">
        <v>963</v>
      </c>
    </row>
    <row r="38" spans="1:1">
      <c r="A38" s="380" t="s">
        <v>964</v>
      </c>
    </row>
    <row r="39" spans="1:1">
      <c r="A39" s="380" t="s">
        <v>965</v>
      </c>
    </row>
    <row r="40" spans="1:1">
      <c r="A40" s="380" t="s">
        <v>966</v>
      </c>
    </row>
    <row r="41" spans="1:1">
      <c r="A41" s="380" t="s">
        <v>967</v>
      </c>
    </row>
    <row r="42" spans="1:1">
      <c r="A42" s="380" t="s">
        <v>968</v>
      </c>
    </row>
    <row r="43" spans="1:1">
      <c r="A43" s="380" t="s">
        <v>969</v>
      </c>
    </row>
    <row r="44" spans="1:1">
      <c r="A44" s="380" t="s">
        <v>970</v>
      </c>
    </row>
    <row r="45" spans="1:1">
      <c r="A45" s="380" t="s">
        <v>971</v>
      </c>
    </row>
    <row r="46" spans="1:1">
      <c r="A46" s="380" t="s">
        <v>972</v>
      </c>
    </row>
    <row r="47" spans="1:1">
      <c r="A47" s="380" t="s">
        <v>973</v>
      </c>
    </row>
    <row r="48" spans="1:1">
      <c r="A48" s="380" t="s">
        <v>974</v>
      </c>
    </row>
    <row r="49" spans="1:1">
      <c r="A49" s="380" t="s">
        <v>975</v>
      </c>
    </row>
    <row r="50" spans="1:1">
      <c r="A50" s="380" t="s">
        <v>976</v>
      </c>
    </row>
    <row r="51" spans="1:1">
      <c r="A51" s="380" t="s">
        <v>977</v>
      </c>
    </row>
    <row r="52" spans="1:1" s="381" customFormat="1">
      <c r="A52" s="381" t="s">
        <v>978</v>
      </c>
    </row>
    <row r="53" spans="1:1">
      <c r="A53" s="380" t="s">
        <v>979</v>
      </c>
    </row>
    <row r="54" spans="1:1">
      <c r="A54" s="380" t="s">
        <v>980</v>
      </c>
    </row>
    <row r="55" spans="1:1">
      <c r="A55" s="380" t="s">
        <v>981</v>
      </c>
    </row>
    <row r="56" spans="1:1">
      <c r="A56" s="380" t="s">
        <v>982</v>
      </c>
    </row>
    <row r="57" spans="1:1">
      <c r="A57" s="380" t="s">
        <v>983</v>
      </c>
    </row>
    <row r="58" spans="1:1">
      <c r="A58" s="380" t="s">
        <v>984</v>
      </c>
    </row>
    <row r="59" spans="1:1">
      <c r="A59" s="380" t="s">
        <v>985</v>
      </c>
    </row>
    <row r="60" spans="1:1">
      <c r="A60" s="380" t="s">
        <v>986</v>
      </c>
    </row>
    <row r="61" spans="1:1">
      <c r="A61" s="380" t="s">
        <v>987</v>
      </c>
    </row>
    <row r="62" spans="1:1">
      <c r="A62" s="380" t="s">
        <v>988</v>
      </c>
    </row>
    <row r="63" spans="1:1">
      <c r="A63" s="380" t="s">
        <v>989</v>
      </c>
    </row>
    <row r="64" spans="1:1">
      <c r="A64" s="380" t="s">
        <v>990</v>
      </c>
    </row>
    <row r="65" spans="1:1">
      <c r="A65" s="380" t="s">
        <v>991</v>
      </c>
    </row>
    <row r="66" spans="1:1">
      <c r="A66" s="380" t="s">
        <v>992</v>
      </c>
    </row>
    <row r="67" spans="1:1">
      <c r="A67" s="380" t="s">
        <v>993</v>
      </c>
    </row>
    <row r="68" spans="1:1">
      <c r="A68" s="380" t="s">
        <v>994</v>
      </c>
    </row>
    <row r="69" spans="1:1">
      <c r="A69" s="380" t="s">
        <v>995</v>
      </c>
    </row>
    <row r="70" spans="1:1">
      <c r="A70" s="380" t="s">
        <v>996</v>
      </c>
    </row>
    <row r="71" spans="1:1">
      <c r="A71" s="380" t="s">
        <v>997</v>
      </c>
    </row>
    <row r="72" spans="1:1">
      <c r="A72" s="380" t="s">
        <v>998</v>
      </c>
    </row>
    <row r="73" spans="1:1">
      <c r="A73" s="380" t="s">
        <v>999</v>
      </c>
    </row>
    <row r="74" spans="1:1">
      <c r="A74" s="380" t="s">
        <v>1000</v>
      </c>
    </row>
    <row r="75" spans="1:1">
      <c r="A75" s="380" t="s">
        <v>1001</v>
      </c>
    </row>
    <row r="76" spans="1:1">
      <c r="A76" s="380" t="s">
        <v>1002</v>
      </c>
    </row>
    <row r="77" spans="1:1">
      <c r="A77" s="380" t="s">
        <v>1003</v>
      </c>
    </row>
    <row r="78" spans="1:1">
      <c r="A78" s="380" t="s">
        <v>1004</v>
      </c>
    </row>
    <row r="79" spans="1:1">
      <c r="A79" s="380" t="s">
        <v>1005</v>
      </c>
    </row>
    <row r="80" spans="1:1">
      <c r="A80" s="380" t="s">
        <v>1006</v>
      </c>
    </row>
    <row r="81" spans="1:1">
      <c r="A81" s="380" t="s">
        <v>1007</v>
      </c>
    </row>
    <row r="82" spans="1:1">
      <c r="A82" s="380" t="s">
        <v>1008</v>
      </c>
    </row>
    <row r="83" spans="1:1">
      <c r="A83" s="380" t="s">
        <v>1009</v>
      </c>
    </row>
    <row r="84" spans="1:1">
      <c r="A84" s="380" t="s">
        <v>1010</v>
      </c>
    </row>
    <row r="85" spans="1:1">
      <c r="A85" s="380" t="s">
        <v>1011</v>
      </c>
    </row>
    <row r="86" spans="1:1">
      <c r="A86" s="380" t="s">
        <v>1012</v>
      </c>
    </row>
    <row r="87" spans="1:1">
      <c r="A87" s="380" t="s">
        <v>1013</v>
      </c>
    </row>
    <row r="88" spans="1:1">
      <c r="A88" s="380" t="s">
        <v>1014</v>
      </c>
    </row>
    <row r="89" spans="1:1">
      <c r="A89" s="380" t="s">
        <v>1015</v>
      </c>
    </row>
    <row r="90" spans="1:1">
      <c r="A90" s="380" t="s">
        <v>1016</v>
      </c>
    </row>
    <row r="91" spans="1:1">
      <c r="A91" s="380" t="s">
        <v>1017</v>
      </c>
    </row>
    <row r="92" spans="1:1">
      <c r="A92" s="380" t="s">
        <v>1018</v>
      </c>
    </row>
    <row r="93" spans="1:1">
      <c r="A93" s="380" t="s">
        <v>1019</v>
      </c>
    </row>
    <row r="94" spans="1:1">
      <c r="A94" s="380" t="s">
        <v>1020</v>
      </c>
    </row>
    <row r="95" spans="1:1">
      <c r="A95" s="380" t="s">
        <v>1021</v>
      </c>
    </row>
    <row r="96" spans="1:1">
      <c r="A96" s="380" t="s">
        <v>1022</v>
      </c>
    </row>
    <row r="97" spans="1:1">
      <c r="A97" s="380" t="s">
        <v>1023</v>
      </c>
    </row>
    <row r="98" spans="1:1">
      <c r="A98" s="380" t="s">
        <v>1024</v>
      </c>
    </row>
    <row r="99" spans="1:1">
      <c r="A99" s="380" t="s">
        <v>1025</v>
      </c>
    </row>
    <row r="100" spans="1:1">
      <c r="A100" s="380" t="s">
        <v>1026</v>
      </c>
    </row>
    <row r="101" spans="1:1">
      <c r="A101" s="380" t="s">
        <v>1027</v>
      </c>
    </row>
    <row r="103" spans="1:1">
      <c r="A103" s="380" t="s">
        <v>1028</v>
      </c>
    </row>
    <row r="104" spans="1:1">
      <c r="A104" s="380" t="s">
        <v>1029</v>
      </c>
    </row>
    <row r="105" spans="1:1">
      <c r="A105" s="380" t="s">
        <v>1030</v>
      </c>
    </row>
    <row r="106" spans="1:1">
      <c r="A106" s="380" t="s">
        <v>862</v>
      </c>
    </row>
    <row r="107" spans="1:1">
      <c r="A107" s="380" t="s">
        <v>1031</v>
      </c>
    </row>
    <row r="108" spans="1:1">
      <c r="A108" s="380" t="s">
        <v>864</v>
      </c>
    </row>
    <row r="109" spans="1:1">
      <c r="A109" s="380" t="s">
        <v>1032</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s="381" customFormat="1">
      <c r="A120" s="381" t="s">
        <v>876</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1033</v>
      </c>
    </row>
    <row r="142" spans="1:1">
      <c r="A142" s="380" t="s">
        <v>898</v>
      </c>
    </row>
    <row r="143" spans="1:1">
      <c r="A143" s="380" t="s">
        <v>1034</v>
      </c>
    </row>
    <row r="144" spans="1:1">
      <c r="A144" s="380" t="s">
        <v>900</v>
      </c>
    </row>
    <row r="145" spans="1:1">
      <c r="A145" s="380" t="s">
        <v>1035</v>
      </c>
    </row>
    <row r="146" spans="1:1">
      <c r="A146" s="380" t="s">
        <v>1036</v>
      </c>
    </row>
    <row r="147" spans="1:1">
      <c r="A147" s="380" t="s">
        <v>903</v>
      </c>
    </row>
    <row r="148" spans="1:1">
      <c r="A148" s="380" t="s">
        <v>904</v>
      </c>
    </row>
    <row r="149" spans="1:1">
      <c r="A149" s="380" t="s">
        <v>905</v>
      </c>
    </row>
    <row r="150" spans="1:1">
      <c r="A150" s="380" t="s">
        <v>906</v>
      </c>
    </row>
    <row r="151" spans="1:1">
      <c r="A151" s="380" t="s">
        <v>907</v>
      </c>
    </row>
    <row r="152" spans="1:1">
      <c r="A152" s="380" t="s">
        <v>908</v>
      </c>
    </row>
    <row r="153" spans="1:1">
      <c r="A153" s="380" t="s">
        <v>909</v>
      </c>
    </row>
    <row r="154" spans="1:1">
      <c r="A154" s="380" t="s">
        <v>910</v>
      </c>
    </row>
    <row r="155" spans="1:1">
      <c r="A155" s="380" t="s">
        <v>911</v>
      </c>
    </row>
    <row r="156" spans="1:1">
      <c r="A156" s="380" t="s">
        <v>912</v>
      </c>
    </row>
    <row r="157" spans="1:1">
      <c r="A157" s="380" t="s">
        <v>913</v>
      </c>
    </row>
    <row r="158" spans="1:1">
      <c r="A158" s="380" t="s">
        <v>914</v>
      </c>
    </row>
  </sheetData>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B36"/>
  <sheetViews>
    <sheetView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1027</v>
      </c>
    </row>
    <row r="9" spans="1:1">
      <c r="A9" s="380" t="s">
        <v>1037</v>
      </c>
    </row>
    <row r="10" spans="1:1">
      <c r="A10" s="380" t="s">
        <v>1038</v>
      </c>
    </row>
    <row r="11" spans="1:1">
      <c r="A11" s="380" t="s">
        <v>1039</v>
      </c>
    </row>
    <row r="12" spans="1:1">
      <c r="A12" s="380" t="s">
        <v>1040</v>
      </c>
    </row>
    <row r="13" spans="1:1">
      <c r="A13" s="380" t="s">
        <v>1041</v>
      </c>
    </row>
    <row r="14" spans="1:1" s="381" customFormat="1">
      <c r="A14" s="381" t="s">
        <v>1042</v>
      </c>
    </row>
    <row r="15" spans="1:1" s="381" customFormat="1">
      <c r="A15" s="381" t="s">
        <v>1043</v>
      </c>
    </row>
    <row r="16" spans="1:1" s="381" customFormat="1">
      <c r="A16" s="381" t="s">
        <v>673</v>
      </c>
    </row>
    <row r="17" spans="1:2" s="381" customFormat="1">
      <c r="A17" s="381" t="s">
        <v>699</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1044</v>
      </c>
    </row>
    <row r="36" spans="1:2">
      <c r="A36" s="380" t="s">
        <v>1045</v>
      </c>
    </row>
  </sheetData>
  <phoneticPr fontId="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36"/>
  <sheetViews>
    <sheetView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1045</v>
      </c>
    </row>
    <row r="9" spans="1:1">
      <c r="A9" s="380" t="s">
        <v>1046</v>
      </c>
    </row>
    <row r="10" spans="1:1">
      <c r="A10" s="380" t="s">
        <v>1047</v>
      </c>
    </row>
    <row r="11" spans="1:1">
      <c r="A11" s="380" t="s">
        <v>1048</v>
      </c>
    </row>
    <row r="12" spans="1:1">
      <c r="A12" s="380" t="s">
        <v>1049</v>
      </c>
    </row>
    <row r="13" spans="1:1">
      <c r="A13" s="380" t="s">
        <v>1050</v>
      </c>
    </row>
    <row r="14" spans="1:1" s="381" customFormat="1">
      <c r="A14" s="381" t="s">
        <v>1051</v>
      </c>
    </row>
    <row r="15" spans="1:1" s="381" customFormat="1">
      <c r="A15" s="381" t="s">
        <v>1052</v>
      </c>
    </row>
    <row r="16" spans="1:1" s="381" customFormat="1">
      <c r="A16" s="381" t="s">
        <v>673</v>
      </c>
    </row>
    <row r="17" spans="1:2" s="381" customFormat="1">
      <c r="A17" s="381" t="s">
        <v>700</v>
      </c>
    </row>
    <row r="18" spans="1:2" s="381" customFormat="1">
      <c r="A18" s="381"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1053</v>
      </c>
    </row>
    <row r="36" spans="1:2">
      <c r="A36" s="380" t="s">
        <v>1054</v>
      </c>
    </row>
  </sheetData>
  <phoneticPr fontId="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158"/>
  <sheetViews>
    <sheetView topLeftCell="A46"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1055</v>
      </c>
    </row>
    <row r="6" spans="1:1">
      <c r="A6" s="380" t="s">
        <v>672</v>
      </c>
    </row>
    <row r="8" spans="1:1">
      <c r="A8" s="380" t="s">
        <v>1054</v>
      </c>
    </row>
    <row r="9" spans="1:1">
      <c r="A9" s="380" t="s">
        <v>1056</v>
      </c>
    </row>
    <row r="10" spans="1:1">
      <c r="A10" s="380" t="s">
        <v>1057</v>
      </c>
    </row>
    <row r="11" spans="1:1">
      <c r="A11" s="380" t="s">
        <v>1058</v>
      </c>
    </row>
    <row r="12" spans="1:1">
      <c r="A12" s="380" t="s">
        <v>1059</v>
      </c>
    </row>
    <row r="13" spans="1:1">
      <c r="A13" s="380" t="s">
        <v>1060</v>
      </c>
    </row>
    <row r="14" spans="1:1">
      <c r="A14" s="380" t="s">
        <v>1061</v>
      </c>
    </row>
    <row r="15" spans="1:1">
      <c r="A15" s="380" t="s">
        <v>1062</v>
      </c>
    </row>
    <row r="16" spans="1:1">
      <c r="A16" s="380" t="s">
        <v>1063</v>
      </c>
    </row>
    <row r="17" spans="1:1">
      <c r="A17" s="380" t="s">
        <v>1064</v>
      </c>
    </row>
    <row r="18" spans="1:1">
      <c r="A18" s="380" t="s">
        <v>1065</v>
      </c>
    </row>
    <row r="19" spans="1:1">
      <c r="A19" s="380" t="s">
        <v>1066</v>
      </c>
    </row>
    <row r="20" spans="1:1">
      <c r="A20" s="380" t="s">
        <v>1067</v>
      </c>
    </row>
    <row r="21" spans="1:1">
      <c r="A21" s="380" t="s">
        <v>1068</v>
      </c>
    </row>
    <row r="22" spans="1:1">
      <c r="A22" s="380" t="s">
        <v>1069</v>
      </c>
    </row>
    <row r="23" spans="1:1">
      <c r="A23" s="380" t="s">
        <v>1070</v>
      </c>
    </row>
    <row r="24" spans="1:1">
      <c r="A24" s="380" t="s">
        <v>1071</v>
      </c>
    </row>
    <row r="25" spans="1:1">
      <c r="A25" s="380" t="s">
        <v>1072</v>
      </c>
    </row>
    <row r="26" spans="1:1">
      <c r="A26" s="380" t="s">
        <v>1073</v>
      </c>
    </row>
    <row r="27" spans="1:1">
      <c r="A27" s="380" t="s">
        <v>1074</v>
      </c>
    </row>
    <row r="28" spans="1:1">
      <c r="A28" s="380" t="s">
        <v>1075</v>
      </c>
    </row>
    <row r="29" spans="1:1">
      <c r="A29" s="380" t="s">
        <v>1076</v>
      </c>
    </row>
    <row r="30" spans="1:1">
      <c r="A30" s="380" t="s">
        <v>1077</v>
      </c>
    </row>
    <row r="31" spans="1:1">
      <c r="A31" s="380" t="s">
        <v>1078</v>
      </c>
    </row>
    <row r="32" spans="1:1">
      <c r="A32" s="380" t="s">
        <v>1079</v>
      </c>
    </row>
    <row r="33" spans="1:1">
      <c r="A33" s="380" t="s">
        <v>1080</v>
      </c>
    </row>
    <row r="34" spans="1:1">
      <c r="A34" s="380" t="s">
        <v>1081</v>
      </c>
    </row>
    <row r="35" spans="1:1">
      <c r="A35" s="380" t="s">
        <v>1082</v>
      </c>
    </row>
    <row r="36" spans="1:1">
      <c r="A36" s="380" t="s">
        <v>1083</v>
      </c>
    </row>
    <row r="37" spans="1:1">
      <c r="A37" s="380" t="s">
        <v>1084</v>
      </c>
    </row>
    <row r="38" spans="1:1">
      <c r="A38" s="380" t="s">
        <v>1085</v>
      </c>
    </row>
    <row r="39" spans="1:1">
      <c r="A39" s="380" t="s">
        <v>1086</v>
      </c>
    </row>
    <row r="40" spans="1:1">
      <c r="A40" s="380" t="s">
        <v>1087</v>
      </c>
    </row>
    <row r="41" spans="1:1">
      <c r="A41" s="380" t="s">
        <v>1088</v>
      </c>
    </row>
    <row r="42" spans="1:1">
      <c r="A42" s="380" t="s">
        <v>1089</v>
      </c>
    </row>
    <row r="43" spans="1:1">
      <c r="A43" s="380" t="s">
        <v>1090</v>
      </c>
    </row>
    <row r="44" spans="1:1">
      <c r="A44" s="380" t="s">
        <v>1091</v>
      </c>
    </row>
    <row r="45" spans="1:1">
      <c r="A45" s="380" t="s">
        <v>1092</v>
      </c>
    </row>
    <row r="46" spans="1:1">
      <c r="A46" s="380" t="s">
        <v>1093</v>
      </c>
    </row>
    <row r="47" spans="1:1">
      <c r="A47" s="380" t="s">
        <v>1094</v>
      </c>
    </row>
    <row r="48" spans="1:1">
      <c r="A48" s="380" t="s">
        <v>1095</v>
      </c>
    </row>
    <row r="49" spans="1:1">
      <c r="A49" s="380" t="s">
        <v>1096</v>
      </c>
    </row>
    <row r="50" spans="1:1">
      <c r="A50" s="380" t="s">
        <v>1097</v>
      </c>
    </row>
    <row r="51" spans="1:1">
      <c r="A51" s="380" t="s">
        <v>1098</v>
      </c>
    </row>
    <row r="52" spans="1:1">
      <c r="A52" s="380" t="s">
        <v>1099</v>
      </c>
    </row>
    <row r="53" spans="1:1" s="381" customFormat="1">
      <c r="A53" s="381" t="s">
        <v>1100</v>
      </c>
    </row>
    <row r="54" spans="1:1">
      <c r="A54" s="380" t="s">
        <v>1101</v>
      </c>
    </row>
    <row r="55" spans="1:1">
      <c r="A55" s="380" t="s">
        <v>1102</v>
      </c>
    </row>
    <row r="56" spans="1:1">
      <c r="A56" s="380" t="s">
        <v>1103</v>
      </c>
    </row>
    <row r="57" spans="1:1">
      <c r="A57" s="380" t="s">
        <v>1104</v>
      </c>
    </row>
    <row r="58" spans="1:1">
      <c r="A58" s="380" t="s">
        <v>1105</v>
      </c>
    </row>
    <row r="59" spans="1:1">
      <c r="A59" s="380" t="s">
        <v>1106</v>
      </c>
    </row>
    <row r="60" spans="1:1">
      <c r="A60" s="380" t="s">
        <v>1107</v>
      </c>
    </row>
    <row r="61" spans="1:1">
      <c r="A61" s="380" t="s">
        <v>1108</v>
      </c>
    </row>
    <row r="62" spans="1:1">
      <c r="A62" s="380" t="s">
        <v>1109</v>
      </c>
    </row>
    <row r="63" spans="1:1">
      <c r="A63" s="380" t="s">
        <v>1110</v>
      </c>
    </row>
    <row r="64" spans="1:1">
      <c r="A64" s="380" t="s">
        <v>1111</v>
      </c>
    </row>
    <row r="65" spans="1:1">
      <c r="A65" s="380" t="s">
        <v>1112</v>
      </c>
    </row>
    <row r="66" spans="1:1">
      <c r="A66" s="380" t="s">
        <v>1113</v>
      </c>
    </row>
    <row r="67" spans="1:1">
      <c r="A67" s="380" t="s">
        <v>1114</v>
      </c>
    </row>
    <row r="68" spans="1:1">
      <c r="A68" s="380" t="s">
        <v>1115</v>
      </c>
    </row>
    <row r="69" spans="1:1">
      <c r="A69" s="380" t="s">
        <v>1116</v>
      </c>
    </row>
    <row r="70" spans="1:1">
      <c r="A70" s="380" t="s">
        <v>1117</v>
      </c>
    </row>
    <row r="71" spans="1:1">
      <c r="A71" s="380" t="s">
        <v>1118</v>
      </c>
    </row>
    <row r="72" spans="1:1">
      <c r="A72" s="380" t="s">
        <v>1119</v>
      </c>
    </row>
    <row r="73" spans="1:1">
      <c r="A73" s="380" t="s">
        <v>1120</v>
      </c>
    </row>
    <row r="74" spans="1:1">
      <c r="A74" s="380" t="s">
        <v>1121</v>
      </c>
    </row>
    <row r="75" spans="1:1">
      <c r="A75" s="380" t="s">
        <v>1122</v>
      </c>
    </row>
    <row r="76" spans="1:1">
      <c r="A76" s="380" t="s">
        <v>1123</v>
      </c>
    </row>
    <row r="77" spans="1:1">
      <c r="A77" s="380" t="s">
        <v>1124</v>
      </c>
    </row>
    <row r="78" spans="1:1">
      <c r="A78" s="380" t="s">
        <v>1125</v>
      </c>
    </row>
    <row r="79" spans="1:1">
      <c r="A79" s="380" t="s">
        <v>1126</v>
      </c>
    </row>
    <row r="80" spans="1:1">
      <c r="A80" s="380" t="s">
        <v>1127</v>
      </c>
    </row>
    <row r="81" spans="1:1">
      <c r="A81" s="380" t="s">
        <v>1128</v>
      </c>
    </row>
    <row r="82" spans="1:1">
      <c r="A82" s="380" t="s">
        <v>1129</v>
      </c>
    </row>
    <row r="83" spans="1:1">
      <c r="A83" s="380" t="s">
        <v>1130</v>
      </c>
    </row>
    <row r="84" spans="1:1">
      <c r="A84" s="380" t="s">
        <v>1131</v>
      </c>
    </row>
    <row r="85" spans="1:1">
      <c r="A85" s="380" t="s">
        <v>1132</v>
      </c>
    </row>
    <row r="86" spans="1:1">
      <c r="A86" s="380" t="s">
        <v>1133</v>
      </c>
    </row>
    <row r="87" spans="1:1">
      <c r="A87" s="380" t="s">
        <v>1134</v>
      </c>
    </row>
    <row r="88" spans="1:1">
      <c r="A88" s="380" t="s">
        <v>1135</v>
      </c>
    </row>
    <row r="89" spans="1:1">
      <c r="A89" s="380" t="s">
        <v>1136</v>
      </c>
    </row>
    <row r="90" spans="1:1">
      <c r="A90" s="380" t="s">
        <v>1137</v>
      </c>
    </row>
    <row r="91" spans="1:1">
      <c r="A91" s="380" t="s">
        <v>1138</v>
      </c>
    </row>
    <row r="92" spans="1:1">
      <c r="A92" s="380" t="s">
        <v>1139</v>
      </c>
    </row>
    <row r="93" spans="1:1">
      <c r="A93" s="380" t="s">
        <v>1140</v>
      </c>
    </row>
    <row r="94" spans="1:1">
      <c r="A94" s="380" t="s">
        <v>1141</v>
      </c>
    </row>
    <row r="95" spans="1:1">
      <c r="A95" s="380" t="s">
        <v>1142</v>
      </c>
    </row>
    <row r="96" spans="1:1">
      <c r="A96" s="380" t="s">
        <v>1143</v>
      </c>
    </row>
    <row r="97" spans="1:1">
      <c r="A97" s="380" t="s">
        <v>1144</v>
      </c>
    </row>
    <row r="98" spans="1:1">
      <c r="A98" s="380" t="s">
        <v>1145</v>
      </c>
    </row>
    <row r="99" spans="1:1">
      <c r="A99" s="380" t="s">
        <v>1146</v>
      </c>
    </row>
    <row r="100" spans="1:1">
      <c r="A100" s="380" t="s">
        <v>1147</v>
      </c>
    </row>
    <row r="101" spans="1:1">
      <c r="A101" s="380" t="s">
        <v>1148</v>
      </c>
    </row>
    <row r="103" spans="1:1">
      <c r="A103" s="380" t="s">
        <v>1149</v>
      </c>
    </row>
    <row r="104" spans="1:1">
      <c r="A104" s="380" t="s">
        <v>1029</v>
      </c>
    </row>
    <row r="105" spans="1:1">
      <c r="A105" s="380" t="s">
        <v>1150</v>
      </c>
    </row>
    <row r="106" spans="1:1">
      <c r="A106" s="380" t="s">
        <v>862</v>
      </c>
    </row>
    <row r="107" spans="1:1">
      <c r="A107" s="380" t="s">
        <v>1151</v>
      </c>
    </row>
    <row r="108" spans="1:1">
      <c r="A108" s="380" t="s">
        <v>864</v>
      </c>
    </row>
    <row r="109" spans="1:1">
      <c r="A109" s="380" t="s">
        <v>1152</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c r="A120" s="380" t="s">
        <v>876</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1153</v>
      </c>
    </row>
    <row r="142" spans="1:1">
      <c r="A142" s="380" t="s">
        <v>898</v>
      </c>
    </row>
    <row r="143" spans="1:1">
      <c r="A143" s="380" t="s">
        <v>1154</v>
      </c>
    </row>
    <row r="144" spans="1:1">
      <c r="A144" s="380" t="s">
        <v>900</v>
      </c>
    </row>
    <row r="145" spans="1:1">
      <c r="A145" s="380" t="s">
        <v>1035</v>
      </c>
    </row>
    <row r="146" spans="1:1">
      <c r="A146" s="380" t="s">
        <v>902</v>
      </c>
    </row>
    <row r="147" spans="1:1" s="381" customFormat="1">
      <c r="A147" s="381" t="s">
        <v>1155</v>
      </c>
    </row>
    <row r="148" spans="1:1">
      <c r="A148" s="380" t="s">
        <v>904</v>
      </c>
    </row>
    <row r="149" spans="1:1">
      <c r="A149" s="380" t="s">
        <v>905</v>
      </c>
    </row>
    <row r="150" spans="1:1">
      <c r="A150" s="380" t="s">
        <v>906</v>
      </c>
    </row>
    <row r="151" spans="1:1">
      <c r="A151" s="380" t="s">
        <v>907</v>
      </c>
    </row>
    <row r="152" spans="1:1">
      <c r="A152" s="380" t="s">
        <v>908</v>
      </c>
    </row>
    <row r="153" spans="1:1">
      <c r="A153" s="380" t="s">
        <v>909</v>
      </c>
    </row>
    <row r="154" spans="1:1">
      <c r="A154" s="380" t="s">
        <v>910</v>
      </c>
    </row>
    <row r="155" spans="1:1">
      <c r="A155" s="380" t="s">
        <v>911</v>
      </c>
    </row>
    <row r="156" spans="1:1">
      <c r="A156" s="380" t="s">
        <v>912</v>
      </c>
    </row>
    <row r="157" spans="1:1">
      <c r="A157" s="380" t="s">
        <v>913</v>
      </c>
    </row>
    <row r="158" spans="1:1">
      <c r="A158" s="380" t="s">
        <v>914</v>
      </c>
    </row>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B36"/>
  <sheetViews>
    <sheetView topLeftCell="A10"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1148</v>
      </c>
    </row>
    <row r="9" spans="1:1">
      <c r="A9" s="380" t="s">
        <v>1156</v>
      </c>
    </row>
    <row r="10" spans="1:1">
      <c r="A10" s="380" t="s">
        <v>1157</v>
      </c>
    </row>
    <row r="11" spans="1:1">
      <c r="A11" s="380" t="s">
        <v>1158</v>
      </c>
    </row>
    <row r="12" spans="1:1">
      <c r="A12" s="380" t="s">
        <v>1159</v>
      </c>
    </row>
    <row r="13" spans="1:1">
      <c r="A13" s="380" t="s">
        <v>1160</v>
      </c>
    </row>
    <row r="14" spans="1:1" s="381" customFormat="1">
      <c r="A14" s="381" t="s">
        <v>1161</v>
      </c>
    </row>
    <row r="15" spans="1:1" s="381" customFormat="1">
      <c r="A15" s="381" t="s">
        <v>1162</v>
      </c>
    </row>
    <row r="16" spans="1:1" s="381" customFormat="1">
      <c r="A16" s="381" t="s">
        <v>673</v>
      </c>
    </row>
    <row r="17" spans="1:2" s="381" customFormat="1">
      <c r="A17" s="381" t="s">
        <v>701</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1163</v>
      </c>
    </row>
    <row r="36" spans="1:2">
      <c r="A36" s="380" t="s">
        <v>1164</v>
      </c>
    </row>
  </sheetData>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B36"/>
  <sheetViews>
    <sheetView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1164</v>
      </c>
    </row>
    <row r="9" spans="1:1">
      <c r="A9" s="380" t="s">
        <v>1165</v>
      </c>
    </row>
    <row r="10" spans="1:1">
      <c r="A10" s="380" t="s">
        <v>1166</v>
      </c>
    </row>
    <row r="11" spans="1:1">
      <c r="A11" s="380" t="s">
        <v>1167</v>
      </c>
    </row>
    <row r="12" spans="1:1">
      <c r="A12" s="380" t="s">
        <v>1168</v>
      </c>
    </row>
    <row r="13" spans="1:1">
      <c r="A13" s="380" t="s">
        <v>1169</v>
      </c>
    </row>
    <row r="14" spans="1:1">
      <c r="A14" s="380" t="s">
        <v>1170</v>
      </c>
    </row>
    <row r="15" spans="1:1">
      <c r="A15" s="380" t="s">
        <v>1171</v>
      </c>
    </row>
    <row r="16" spans="1:1">
      <c r="A16" s="380" t="s">
        <v>673</v>
      </c>
    </row>
    <row r="17" spans="1:2">
      <c r="A17" s="380" t="s">
        <v>702</v>
      </c>
    </row>
    <row r="18" spans="1:2">
      <c r="A18" s="380"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1172</v>
      </c>
    </row>
    <row r="36" spans="1:2">
      <c r="A36" s="380" t="s">
        <v>1173</v>
      </c>
    </row>
  </sheetData>
  <phoneticPr fontId="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A158"/>
  <sheetViews>
    <sheetView topLeftCell="A139"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1174</v>
      </c>
    </row>
    <row r="6" spans="1:1">
      <c r="A6" s="380" t="s">
        <v>672</v>
      </c>
    </row>
    <row r="8" spans="1:1">
      <c r="A8" s="380" t="s">
        <v>1173</v>
      </c>
    </row>
    <row r="9" spans="1:1">
      <c r="A9" s="380" t="s">
        <v>1175</v>
      </c>
    </row>
    <row r="10" spans="1:1">
      <c r="A10" s="380" t="s">
        <v>1176</v>
      </c>
    </row>
    <row r="11" spans="1:1">
      <c r="A11" s="380" t="s">
        <v>1177</v>
      </c>
    </row>
    <row r="12" spans="1:1">
      <c r="A12" s="380" t="s">
        <v>1178</v>
      </c>
    </row>
    <row r="13" spans="1:1">
      <c r="A13" s="380" t="s">
        <v>1179</v>
      </c>
    </row>
    <row r="14" spans="1:1">
      <c r="A14" s="380" t="s">
        <v>1180</v>
      </c>
    </row>
    <row r="15" spans="1:1">
      <c r="A15" s="380" t="s">
        <v>1181</v>
      </c>
    </row>
    <row r="16" spans="1:1">
      <c r="A16" s="380" t="s">
        <v>1182</v>
      </c>
    </row>
    <row r="17" spans="1:1">
      <c r="A17" s="380" t="s">
        <v>1183</v>
      </c>
    </row>
    <row r="18" spans="1:1">
      <c r="A18" s="380" t="s">
        <v>1184</v>
      </c>
    </row>
    <row r="19" spans="1:1">
      <c r="A19" s="380" t="s">
        <v>1185</v>
      </c>
    </row>
    <row r="20" spans="1:1">
      <c r="A20" s="380" t="s">
        <v>1186</v>
      </c>
    </row>
    <row r="21" spans="1:1">
      <c r="A21" s="380" t="s">
        <v>1187</v>
      </c>
    </row>
    <row r="22" spans="1:1">
      <c r="A22" s="380" t="s">
        <v>1188</v>
      </c>
    </row>
    <row r="23" spans="1:1">
      <c r="A23" s="380" t="s">
        <v>1189</v>
      </c>
    </row>
    <row r="24" spans="1:1">
      <c r="A24" s="380" t="s">
        <v>1190</v>
      </c>
    </row>
    <row r="25" spans="1:1">
      <c r="A25" s="380" t="s">
        <v>1191</v>
      </c>
    </row>
    <row r="26" spans="1:1">
      <c r="A26" s="380" t="s">
        <v>1192</v>
      </c>
    </row>
    <row r="27" spans="1:1">
      <c r="A27" s="380" t="s">
        <v>1193</v>
      </c>
    </row>
    <row r="28" spans="1:1">
      <c r="A28" s="380" t="s">
        <v>1194</v>
      </c>
    </row>
    <row r="29" spans="1:1">
      <c r="A29" s="380" t="s">
        <v>1195</v>
      </c>
    </row>
    <row r="30" spans="1:1">
      <c r="A30" s="380" t="s">
        <v>1196</v>
      </c>
    </row>
    <row r="31" spans="1:1">
      <c r="A31" s="380" t="s">
        <v>1197</v>
      </c>
    </row>
    <row r="32" spans="1:1">
      <c r="A32" s="380" t="s">
        <v>1198</v>
      </c>
    </row>
    <row r="33" spans="1:1">
      <c r="A33" s="380" t="s">
        <v>1199</v>
      </c>
    </row>
    <row r="34" spans="1:1">
      <c r="A34" s="380" t="s">
        <v>1200</v>
      </c>
    </row>
    <row r="35" spans="1:1">
      <c r="A35" s="380" t="s">
        <v>1201</v>
      </c>
    </row>
    <row r="36" spans="1:1">
      <c r="A36" s="380" t="s">
        <v>1202</v>
      </c>
    </row>
    <row r="37" spans="1:1">
      <c r="A37" s="380" t="s">
        <v>1203</v>
      </c>
    </row>
    <row r="38" spans="1:1">
      <c r="A38" s="380" t="s">
        <v>1204</v>
      </c>
    </row>
    <row r="39" spans="1:1">
      <c r="A39" s="380" t="s">
        <v>1205</v>
      </c>
    </row>
    <row r="40" spans="1:1">
      <c r="A40" s="380" t="s">
        <v>1206</v>
      </c>
    </row>
    <row r="41" spans="1:1">
      <c r="A41" s="380" t="s">
        <v>1207</v>
      </c>
    </row>
    <row r="42" spans="1:1">
      <c r="A42" s="380" t="s">
        <v>1208</v>
      </c>
    </row>
    <row r="43" spans="1:1">
      <c r="A43" s="380" t="s">
        <v>1209</v>
      </c>
    </row>
    <row r="44" spans="1:1">
      <c r="A44" s="380" t="s">
        <v>1210</v>
      </c>
    </row>
    <row r="45" spans="1:1">
      <c r="A45" s="380" t="s">
        <v>1211</v>
      </c>
    </row>
    <row r="46" spans="1:1">
      <c r="A46" s="380" t="s">
        <v>1212</v>
      </c>
    </row>
    <row r="47" spans="1:1">
      <c r="A47" s="380" t="s">
        <v>1213</v>
      </c>
    </row>
    <row r="48" spans="1:1">
      <c r="A48" s="380" t="s">
        <v>1214</v>
      </c>
    </row>
    <row r="49" spans="1:1">
      <c r="A49" s="380" t="s">
        <v>1215</v>
      </c>
    </row>
    <row r="50" spans="1:1">
      <c r="A50" s="380" t="s">
        <v>1216</v>
      </c>
    </row>
    <row r="51" spans="1:1">
      <c r="A51" s="380" t="s">
        <v>1217</v>
      </c>
    </row>
    <row r="52" spans="1:1">
      <c r="A52" s="380" t="s">
        <v>1218</v>
      </c>
    </row>
    <row r="53" spans="1:1">
      <c r="A53" s="380" t="s">
        <v>1219</v>
      </c>
    </row>
    <row r="54" spans="1:1" s="381" customFormat="1">
      <c r="A54" s="381" t="s">
        <v>1220</v>
      </c>
    </row>
    <row r="55" spans="1:1">
      <c r="A55" s="380" t="s">
        <v>1221</v>
      </c>
    </row>
    <row r="56" spans="1:1">
      <c r="A56" s="380" t="s">
        <v>1222</v>
      </c>
    </row>
    <row r="57" spans="1:1">
      <c r="A57" s="380" t="s">
        <v>1223</v>
      </c>
    </row>
    <row r="58" spans="1:1">
      <c r="A58" s="380" t="s">
        <v>1224</v>
      </c>
    </row>
    <row r="59" spans="1:1">
      <c r="A59" s="380" t="s">
        <v>1225</v>
      </c>
    </row>
    <row r="60" spans="1:1">
      <c r="A60" s="380" t="s">
        <v>1226</v>
      </c>
    </row>
    <row r="61" spans="1:1">
      <c r="A61" s="380" t="s">
        <v>1227</v>
      </c>
    </row>
    <row r="62" spans="1:1">
      <c r="A62" s="380" t="s">
        <v>1228</v>
      </c>
    </row>
    <row r="63" spans="1:1">
      <c r="A63" s="380" t="s">
        <v>1229</v>
      </c>
    </row>
    <row r="64" spans="1:1">
      <c r="A64" s="380" t="s">
        <v>1230</v>
      </c>
    </row>
    <row r="65" spans="1:1">
      <c r="A65" s="380" t="s">
        <v>1231</v>
      </c>
    </row>
    <row r="66" spans="1:1">
      <c r="A66" s="380" t="s">
        <v>1232</v>
      </c>
    </row>
    <row r="67" spans="1:1">
      <c r="A67" s="380" t="s">
        <v>1233</v>
      </c>
    </row>
    <row r="68" spans="1:1">
      <c r="A68" s="380" t="s">
        <v>1234</v>
      </c>
    </row>
    <row r="69" spans="1:1">
      <c r="A69" s="380" t="s">
        <v>1235</v>
      </c>
    </row>
    <row r="70" spans="1:1">
      <c r="A70" s="380" t="s">
        <v>1236</v>
      </c>
    </row>
    <row r="71" spans="1:1">
      <c r="A71" s="380" t="s">
        <v>1237</v>
      </c>
    </row>
    <row r="72" spans="1:1">
      <c r="A72" s="380" t="s">
        <v>1238</v>
      </c>
    </row>
    <row r="73" spans="1:1">
      <c r="A73" s="380" t="s">
        <v>1239</v>
      </c>
    </row>
    <row r="74" spans="1:1">
      <c r="A74" s="380" t="s">
        <v>1240</v>
      </c>
    </row>
    <row r="75" spans="1:1">
      <c r="A75" s="380" t="s">
        <v>1241</v>
      </c>
    </row>
    <row r="76" spans="1:1">
      <c r="A76" s="380" t="s">
        <v>1242</v>
      </c>
    </row>
    <row r="77" spans="1:1">
      <c r="A77" s="380" t="s">
        <v>1243</v>
      </c>
    </row>
    <row r="78" spans="1:1">
      <c r="A78" s="380" t="s">
        <v>1244</v>
      </c>
    </row>
    <row r="79" spans="1:1">
      <c r="A79" s="380" t="s">
        <v>1245</v>
      </c>
    </row>
    <row r="80" spans="1:1">
      <c r="A80" s="380" t="s">
        <v>1246</v>
      </c>
    </row>
    <row r="81" spans="1:1">
      <c r="A81" s="380" t="s">
        <v>1247</v>
      </c>
    </row>
    <row r="82" spans="1:1">
      <c r="A82" s="380" t="s">
        <v>1248</v>
      </c>
    </row>
    <row r="83" spans="1:1">
      <c r="A83" s="380" t="s">
        <v>1249</v>
      </c>
    </row>
    <row r="84" spans="1:1">
      <c r="A84" s="380" t="s">
        <v>1250</v>
      </c>
    </row>
    <row r="85" spans="1:1">
      <c r="A85" s="380" t="s">
        <v>1251</v>
      </c>
    </row>
    <row r="86" spans="1:1">
      <c r="A86" s="380" t="s">
        <v>1252</v>
      </c>
    </row>
    <row r="87" spans="1:1">
      <c r="A87" s="380" t="s">
        <v>1253</v>
      </c>
    </row>
    <row r="88" spans="1:1">
      <c r="A88" s="380" t="s">
        <v>1254</v>
      </c>
    </row>
    <row r="89" spans="1:1">
      <c r="A89" s="380" t="s">
        <v>1255</v>
      </c>
    </row>
    <row r="90" spans="1:1">
      <c r="A90" s="380" t="s">
        <v>1256</v>
      </c>
    </row>
    <row r="91" spans="1:1">
      <c r="A91" s="380" t="s">
        <v>1257</v>
      </c>
    </row>
    <row r="92" spans="1:1">
      <c r="A92" s="380" t="s">
        <v>1258</v>
      </c>
    </row>
    <row r="93" spans="1:1">
      <c r="A93" s="380" t="s">
        <v>1259</v>
      </c>
    </row>
    <row r="94" spans="1:1">
      <c r="A94" s="380" t="s">
        <v>1260</v>
      </c>
    </row>
    <row r="95" spans="1:1">
      <c r="A95" s="380" t="s">
        <v>1261</v>
      </c>
    </row>
    <row r="96" spans="1:1">
      <c r="A96" s="380" t="s">
        <v>1262</v>
      </c>
    </row>
    <row r="97" spans="1:1">
      <c r="A97" s="380" t="s">
        <v>1263</v>
      </c>
    </row>
    <row r="98" spans="1:1">
      <c r="A98" s="380" t="s">
        <v>1264</v>
      </c>
    </row>
    <row r="99" spans="1:1">
      <c r="A99" s="380" t="s">
        <v>1265</v>
      </c>
    </row>
    <row r="100" spans="1:1">
      <c r="A100" s="380" t="s">
        <v>1266</v>
      </c>
    </row>
    <row r="101" spans="1:1">
      <c r="A101" s="380" t="s">
        <v>1267</v>
      </c>
    </row>
    <row r="103" spans="1:1">
      <c r="A103" s="380" t="s">
        <v>1268</v>
      </c>
    </row>
    <row r="104" spans="1:1">
      <c r="A104" s="380" t="s">
        <v>860</v>
      </c>
    </row>
    <row r="105" spans="1:1">
      <c r="A105" s="380" t="s">
        <v>1269</v>
      </c>
    </row>
    <row r="106" spans="1:1">
      <c r="A106" s="380" t="s">
        <v>862</v>
      </c>
    </row>
    <row r="107" spans="1:1">
      <c r="A107" s="380" t="s">
        <v>1270</v>
      </c>
    </row>
    <row r="108" spans="1:1">
      <c r="A108" s="380" t="s">
        <v>864</v>
      </c>
    </row>
    <row r="109" spans="1:1">
      <c r="A109" s="380" t="s">
        <v>1271</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c r="A120" s="380" t="s">
        <v>876</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1272</v>
      </c>
    </row>
    <row r="142" spans="1:1">
      <c r="A142" s="380" t="s">
        <v>898</v>
      </c>
    </row>
    <row r="143" spans="1:1">
      <c r="A143" s="380" t="s">
        <v>1273</v>
      </c>
    </row>
    <row r="144" spans="1:1">
      <c r="A144" s="380" t="s">
        <v>900</v>
      </c>
    </row>
    <row r="145" spans="1:1">
      <c r="A145" s="380" t="s">
        <v>1035</v>
      </c>
    </row>
    <row r="146" spans="1:1">
      <c r="A146" s="380" t="s">
        <v>902</v>
      </c>
    </row>
    <row r="147" spans="1:1">
      <c r="A147" s="380" t="s">
        <v>903</v>
      </c>
    </row>
    <row r="148" spans="1:1" s="381" customFormat="1">
      <c r="A148" s="381" t="s">
        <v>1274</v>
      </c>
    </row>
    <row r="149" spans="1:1">
      <c r="A149" s="380" t="s">
        <v>905</v>
      </c>
    </row>
    <row r="150" spans="1:1">
      <c r="A150" s="380" t="s">
        <v>906</v>
      </c>
    </row>
    <row r="151" spans="1:1">
      <c r="A151" s="380" t="s">
        <v>907</v>
      </c>
    </row>
    <row r="152" spans="1:1">
      <c r="A152" s="380" t="s">
        <v>908</v>
      </c>
    </row>
    <row r="153" spans="1:1">
      <c r="A153" s="380" t="s">
        <v>909</v>
      </c>
    </row>
    <row r="154" spans="1:1">
      <c r="A154" s="380" t="s">
        <v>910</v>
      </c>
    </row>
    <row r="155" spans="1:1">
      <c r="A155" s="380" t="s">
        <v>911</v>
      </c>
    </row>
    <row r="156" spans="1:1">
      <c r="A156" s="380" t="s">
        <v>912</v>
      </c>
    </row>
    <row r="157" spans="1:1">
      <c r="A157" s="380" t="s">
        <v>913</v>
      </c>
    </row>
    <row r="158" spans="1:1">
      <c r="A158" s="380" t="s">
        <v>914</v>
      </c>
    </row>
  </sheetData>
  <phoneticPr fontId="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B36"/>
  <sheetViews>
    <sheetView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1267</v>
      </c>
    </row>
    <row r="9" spans="1:1">
      <c r="A9" s="380" t="s">
        <v>1275</v>
      </c>
    </row>
    <row r="10" spans="1:1">
      <c r="A10" s="380" t="s">
        <v>1276</v>
      </c>
    </row>
    <row r="11" spans="1:1">
      <c r="A11" s="380" t="s">
        <v>1277</v>
      </c>
    </row>
    <row r="12" spans="1:1">
      <c r="A12" s="380" t="s">
        <v>1278</v>
      </c>
    </row>
    <row r="13" spans="1:1">
      <c r="A13" s="380" t="s">
        <v>1279</v>
      </c>
    </row>
    <row r="14" spans="1:1" s="381" customFormat="1">
      <c r="A14" s="381" t="s">
        <v>1280</v>
      </c>
    </row>
    <row r="15" spans="1:1" s="381" customFormat="1">
      <c r="A15" s="381" t="s">
        <v>1281</v>
      </c>
    </row>
    <row r="16" spans="1:1" s="381" customFormat="1">
      <c r="A16" s="381" t="s">
        <v>673</v>
      </c>
    </row>
    <row r="17" spans="1:2" s="381" customFormat="1">
      <c r="A17" s="381" t="s">
        <v>703</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1282</v>
      </c>
    </row>
    <row r="36" spans="1:2">
      <c r="A36" s="380" t="s">
        <v>1283</v>
      </c>
    </row>
  </sheetData>
  <phoneticPr fontId="3"/>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B36"/>
  <sheetViews>
    <sheetView topLeftCell="A7"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1283</v>
      </c>
    </row>
    <row r="9" spans="1:1">
      <c r="A9" s="380" t="s">
        <v>1284</v>
      </c>
    </row>
    <row r="10" spans="1:1">
      <c r="A10" s="380" t="s">
        <v>1285</v>
      </c>
    </row>
    <row r="11" spans="1:1">
      <c r="A11" s="380" t="s">
        <v>1286</v>
      </c>
    </row>
    <row r="12" spans="1:1">
      <c r="A12" s="380" t="s">
        <v>1287</v>
      </c>
    </row>
    <row r="13" spans="1:1">
      <c r="A13" s="380" t="s">
        <v>1288</v>
      </c>
    </row>
    <row r="14" spans="1:1" s="381" customFormat="1">
      <c r="A14" s="381" t="s">
        <v>1289</v>
      </c>
    </row>
    <row r="15" spans="1:1" s="381" customFormat="1">
      <c r="A15" s="381" t="s">
        <v>1290</v>
      </c>
    </row>
    <row r="16" spans="1:1" s="381" customFormat="1">
      <c r="A16" s="381" t="s">
        <v>673</v>
      </c>
    </row>
    <row r="17" spans="1:2" s="381" customFormat="1">
      <c r="A17" s="381" t="s">
        <v>704</v>
      </c>
    </row>
    <row r="18" spans="1:2" s="381" customFormat="1">
      <c r="A18" s="381"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1291</v>
      </c>
    </row>
    <row r="36" spans="1:2">
      <c r="A36" s="380" t="s">
        <v>1292</v>
      </c>
    </row>
  </sheetData>
  <phoneticPr fontId="3"/>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A158"/>
  <sheetViews>
    <sheetView topLeftCell="A136"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1293</v>
      </c>
    </row>
    <row r="6" spans="1:1">
      <c r="A6" s="380" t="s">
        <v>672</v>
      </c>
    </row>
    <row r="8" spans="1:1">
      <c r="A8" s="380" t="s">
        <v>1292</v>
      </c>
    </row>
    <row r="9" spans="1:1">
      <c r="A9" s="380" t="s">
        <v>1294</v>
      </c>
    </row>
    <row r="10" spans="1:1">
      <c r="A10" s="380" t="s">
        <v>1295</v>
      </c>
    </row>
    <row r="11" spans="1:1">
      <c r="A11" s="380" t="s">
        <v>1296</v>
      </c>
    </row>
    <row r="12" spans="1:1">
      <c r="A12" s="380" t="s">
        <v>1297</v>
      </c>
    </row>
    <row r="13" spans="1:1">
      <c r="A13" s="380" t="s">
        <v>1298</v>
      </c>
    </row>
    <row r="14" spans="1:1">
      <c r="A14" s="380" t="s">
        <v>1299</v>
      </c>
    </row>
    <row r="15" spans="1:1">
      <c r="A15" s="380" t="s">
        <v>1300</v>
      </c>
    </row>
    <row r="16" spans="1:1">
      <c r="A16" s="380" t="s">
        <v>1301</v>
      </c>
    </row>
    <row r="17" spans="1:1">
      <c r="A17" s="380" t="s">
        <v>1302</v>
      </c>
    </row>
    <row r="18" spans="1:1">
      <c r="A18" s="380" t="s">
        <v>1303</v>
      </c>
    </row>
    <row r="19" spans="1:1">
      <c r="A19" s="380" t="s">
        <v>1304</v>
      </c>
    </row>
    <row r="20" spans="1:1">
      <c r="A20" s="380" t="s">
        <v>1305</v>
      </c>
    </row>
    <row r="21" spans="1:1">
      <c r="A21" s="380" t="s">
        <v>1306</v>
      </c>
    </row>
    <row r="22" spans="1:1">
      <c r="A22" s="380" t="s">
        <v>1307</v>
      </c>
    </row>
    <row r="23" spans="1:1">
      <c r="A23" s="380" t="s">
        <v>1308</v>
      </c>
    </row>
    <row r="24" spans="1:1">
      <c r="A24" s="380" t="s">
        <v>1309</v>
      </c>
    </row>
    <row r="25" spans="1:1">
      <c r="A25" s="380" t="s">
        <v>1310</v>
      </c>
    </row>
    <row r="26" spans="1:1">
      <c r="A26" s="380" t="s">
        <v>1311</v>
      </c>
    </row>
    <row r="27" spans="1:1">
      <c r="A27" s="380" t="s">
        <v>1312</v>
      </c>
    </row>
    <row r="28" spans="1:1">
      <c r="A28" s="380" t="s">
        <v>1313</v>
      </c>
    </row>
    <row r="29" spans="1:1">
      <c r="A29" s="380" t="s">
        <v>1314</v>
      </c>
    </row>
    <row r="30" spans="1:1">
      <c r="A30" s="380" t="s">
        <v>1315</v>
      </c>
    </row>
    <row r="31" spans="1:1">
      <c r="A31" s="380" t="s">
        <v>1316</v>
      </c>
    </row>
    <row r="32" spans="1:1">
      <c r="A32" s="380" t="s">
        <v>1317</v>
      </c>
    </row>
    <row r="33" spans="1:1">
      <c r="A33" s="380" t="s">
        <v>1318</v>
      </c>
    </row>
    <row r="34" spans="1:1">
      <c r="A34" s="380" t="s">
        <v>1319</v>
      </c>
    </row>
    <row r="35" spans="1:1">
      <c r="A35" s="380" t="s">
        <v>1320</v>
      </c>
    </row>
    <row r="36" spans="1:1">
      <c r="A36" s="380" t="s">
        <v>1321</v>
      </c>
    </row>
    <row r="37" spans="1:1">
      <c r="A37" s="380" t="s">
        <v>1322</v>
      </c>
    </row>
    <row r="38" spans="1:1">
      <c r="A38" s="380" t="s">
        <v>1323</v>
      </c>
    </row>
    <row r="39" spans="1:1">
      <c r="A39" s="380" t="s">
        <v>1324</v>
      </c>
    </row>
    <row r="40" spans="1:1">
      <c r="A40" s="380" t="s">
        <v>1325</v>
      </c>
    </row>
    <row r="41" spans="1:1">
      <c r="A41" s="380" t="s">
        <v>1326</v>
      </c>
    </row>
    <row r="42" spans="1:1">
      <c r="A42" s="380" t="s">
        <v>1327</v>
      </c>
    </row>
    <row r="43" spans="1:1">
      <c r="A43" s="380" t="s">
        <v>1328</v>
      </c>
    </row>
    <row r="44" spans="1:1">
      <c r="A44" s="380" t="s">
        <v>1329</v>
      </c>
    </row>
    <row r="45" spans="1:1">
      <c r="A45" s="380" t="s">
        <v>1330</v>
      </c>
    </row>
    <row r="46" spans="1:1">
      <c r="A46" s="380" t="s">
        <v>1331</v>
      </c>
    </row>
    <row r="47" spans="1:1">
      <c r="A47" s="380" t="s">
        <v>1332</v>
      </c>
    </row>
    <row r="48" spans="1:1">
      <c r="A48" s="380" t="s">
        <v>1333</v>
      </c>
    </row>
    <row r="49" spans="1:1">
      <c r="A49" s="380" t="s">
        <v>1334</v>
      </c>
    </row>
    <row r="50" spans="1:1">
      <c r="A50" s="380" t="s">
        <v>1335</v>
      </c>
    </row>
    <row r="51" spans="1:1">
      <c r="A51" s="380" t="s">
        <v>1336</v>
      </c>
    </row>
    <row r="52" spans="1:1">
      <c r="A52" s="380" t="s">
        <v>1337</v>
      </c>
    </row>
    <row r="53" spans="1:1">
      <c r="A53" s="380" t="s">
        <v>1338</v>
      </c>
    </row>
    <row r="54" spans="1:1">
      <c r="A54" s="380" t="s">
        <v>1339</v>
      </c>
    </row>
    <row r="55" spans="1:1" s="381" customFormat="1">
      <c r="A55" s="381" t="s">
        <v>1340</v>
      </c>
    </row>
    <row r="56" spans="1:1">
      <c r="A56" s="380" t="s">
        <v>1341</v>
      </c>
    </row>
    <row r="57" spans="1:1">
      <c r="A57" s="380" t="s">
        <v>1342</v>
      </c>
    </row>
    <row r="58" spans="1:1">
      <c r="A58" s="380" t="s">
        <v>1343</v>
      </c>
    </row>
    <row r="59" spans="1:1">
      <c r="A59" s="380" t="s">
        <v>1344</v>
      </c>
    </row>
    <row r="60" spans="1:1">
      <c r="A60" s="380" t="s">
        <v>1345</v>
      </c>
    </row>
    <row r="61" spans="1:1">
      <c r="A61" s="380" t="s">
        <v>1346</v>
      </c>
    </row>
    <row r="62" spans="1:1">
      <c r="A62" s="380" t="s">
        <v>1347</v>
      </c>
    </row>
    <row r="63" spans="1:1">
      <c r="A63" s="380" t="s">
        <v>1348</v>
      </c>
    </row>
    <row r="64" spans="1:1">
      <c r="A64" s="380" t="s">
        <v>1349</v>
      </c>
    </row>
    <row r="65" spans="1:1">
      <c r="A65" s="380" t="s">
        <v>1350</v>
      </c>
    </row>
    <row r="66" spans="1:1">
      <c r="A66" s="380" t="s">
        <v>1351</v>
      </c>
    </row>
    <row r="67" spans="1:1">
      <c r="A67" s="380" t="s">
        <v>1352</v>
      </c>
    </row>
    <row r="68" spans="1:1">
      <c r="A68" s="380" t="s">
        <v>1353</v>
      </c>
    </row>
    <row r="69" spans="1:1">
      <c r="A69" s="380" t="s">
        <v>1354</v>
      </c>
    </row>
    <row r="70" spans="1:1">
      <c r="A70" s="380" t="s">
        <v>1355</v>
      </c>
    </row>
    <row r="71" spans="1:1">
      <c r="A71" s="380" t="s">
        <v>1356</v>
      </c>
    </row>
    <row r="72" spans="1:1">
      <c r="A72" s="380" t="s">
        <v>1357</v>
      </c>
    </row>
    <row r="73" spans="1:1">
      <c r="A73" s="380" t="s">
        <v>1358</v>
      </c>
    </row>
    <row r="74" spans="1:1">
      <c r="A74" s="380" t="s">
        <v>1359</v>
      </c>
    </row>
    <row r="75" spans="1:1">
      <c r="A75" s="380" t="s">
        <v>1360</v>
      </c>
    </row>
    <row r="76" spans="1:1">
      <c r="A76" s="380" t="s">
        <v>1361</v>
      </c>
    </row>
    <row r="77" spans="1:1">
      <c r="A77" s="380" t="s">
        <v>1362</v>
      </c>
    </row>
    <row r="78" spans="1:1">
      <c r="A78" s="380" t="s">
        <v>1363</v>
      </c>
    </row>
    <row r="79" spans="1:1">
      <c r="A79" s="380" t="s">
        <v>1364</v>
      </c>
    </row>
    <row r="80" spans="1:1">
      <c r="A80" s="380" t="s">
        <v>1365</v>
      </c>
    </row>
    <row r="81" spans="1:1">
      <c r="A81" s="380" t="s">
        <v>1366</v>
      </c>
    </row>
    <row r="82" spans="1:1">
      <c r="A82" s="380" t="s">
        <v>1367</v>
      </c>
    </row>
    <row r="83" spans="1:1">
      <c r="A83" s="380" t="s">
        <v>1368</v>
      </c>
    </row>
    <row r="84" spans="1:1">
      <c r="A84" s="380" t="s">
        <v>1369</v>
      </c>
    </row>
    <row r="85" spans="1:1">
      <c r="A85" s="380" t="s">
        <v>1370</v>
      </c>
    </row>
    <row r="86" spans="1:1">
      <c r="A86" s="380" t="s">
        <v>1371</v>
      </c>
    </row>
    <row r="87" spans="1:1">
      <c r="A87" s="380" t="s">
        <v>1372</v>
      </c>
    </row>
    <row r="88" spans="1:1">
      <c r="A88" s="380" t="s">
        <v>1373</v>
      </c>
    </row>
    <row r="89" spans="1:1">
      <c r="A89" s="380" t="s">
        <v>1374</v>
      </c>
    </row>
    <row r="90" spans="1:1">
      <c r="A90" s="380" t="s">
        <v>1375</v>
      </c>
    </row>
    <row r="91" spans="1:1">
      <c r="A91" s="380" t="s">
        <v>1376</v>
      </c>
    </row>
    <row r="92" spans="1:1">
      <c r="A92" s="380" t="s">
        <v>1377</v>
      </c>
    </row>
    <row r="93" spans="1:1">
      <c r="A93" s="380" t="s">
        <v>1378</v>
      </c>
    </row>
    <row r="94" spans="1:1">
      <c r="A94" s="380" t="s">
        <v>1379</v>
      </c>
    </row>
    <row r="95" spans="1:1">
      <c r="A95" s="380" t="s">
        <v>1380</v>
      </c>
    </row>
    <row r="96" spans="1:1">
      <c r="A96" s="380" t="s">
        <v>1381</v>
      </c>
    </row>
    <row r="97" spans="1:1">
      <c r="A97" s="380" t="s">
        <v>1382</v>
      </c>
    </row>
    <row r="98" spans="1:1">
      <c r="A98" s="380" t="s">
        <v>1383</v>
      </c>
    </row>
    <row r="99" spans="1:1">
      <c r="A99" s="380" t="s">
        <v>1384</v>
      </c>
    </row>
    <row r="100" spans="1:1">
      <c r="A100" s="380" t="s">
        <v>1385</v>
      </c>
    </row>
    <row r="101" spans="1:1">
      <c r="A101" s="380" t="s">
        <v>1386</v>
      </c>
    </row>
    <row r="103" spans="1:1">
      <c r="A103" s="380" t="s">
        <v>1387</v>
      </c>
    </row>
    <row r="104" spans="1:1">
      <c r="A104" s="380" t="s">
        <v>1029</v>
      </c>
    </row>
    <row r="105" spans="1:1">
      <c r="A105" s="380" t="s">
        <v>1388</v>
      </c>
    </row>
    <row r="106" spans="1:1">
      <c r="A106" s="380" t="s">
        <v>862</v>
      </c>
    </row>
    <row r="107" spans="1:1">
      <c r="A107" s="380" t="s">
        <v>1389</v>
      </c>
    </row>
    <row r="108" spans="1:1">
      <c r="A108" s="380" t="s">
        <v>864</v>
      </c>
    </row>
    <row r="109" spans="1:1">
      <c r="A109" s="380" t="s">
        <v>1390</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c r="A120" s="380" t="s">
        <v>876</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1391</v>
      </c>
    </row>
    <row r="142" spans="1:1">
      <c r="A142" s="380" t="s">
        <v>898</v>
      </c>
    </row>
    <row r="143" spans="1:1">
      <c r="A143" s="380" t="s">
        <v>1392</v>
      </c>
    </row>
    <row r="144" spans="1:1">
      <c r="A144" s="380" t="s">
        <v>900</v>
      </c>
    </row>
    <row r="145" spans="1:1">
      <c r="A145" s="380" t="s">
        <v>1035</v>
      </c>
    </row>
    <row r="146" spans="1:1">
      <c r="A146" s="380" t="s">
        <v>902</v>
      </c>
    </row>
    <row r="147" spans="1:1">
      <c r="A147" s="380" t="s">
        <v>903</v>
      </c>
    </row>
    <row r="148" spans="1:1">
      <c r="A148" s="380" t="s">
        <v>904</v>
      </c>
    </row>
    <row r="149" spans="1:1" s="381" customFormat="1">
      <c r="A149" s="381" t="s">
        <v>1393</v>
      </c>
    </row>
    <row r="150" spans="1:1">
      <c r="A150" s="380" t="s">
        <v>906</v>
      </c>
    </row>
    <row r="151" spans="1:1">
      <c r="A151" s="380" t="s">
        <v>907</v>
      </c>
    </row>
    <row r="152" spans="1:1">
      <c r="A152" s="380" t="s">
        <v>908</v>
      </c>
    </row>
    <row r="153" spans="1:1">
      <c r="A153" s="380" t="s">
        <v>909</v>
      </c>
    </row>
    <row r="154" spans="1:1">
      <c r="A154" s="380" t="s">
        <v>910</v>
      </c>
    </row>
    <row r="155" spans="1:1">
      <c r="A155" s="380" t="s">
        <v>911</v>
      </c>
    </row>
    <row r="156" spans="1:1">
      <c r="A156" s="380" t="s">
        <v>912</v>
      </c>
    </row>
    <row r="157" spans="1:1">
      <c r="A157" s="380" t="s">
        <v>913</v>
      </c>
    </row>
    <row r="158" spans="1:1">
      <c r="A158" s="380" t="s">
        <v>914</v>
      </c>
    </row>
  </sheetData>
  <phoneticPr fontId="3"/>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B36"/>
  <sheetViews>
    <sheetView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1386</v>
      </c>
    </row>
    <row r="9" spans="1:1">
      <c r="A9" s="380" t="s">
        <v>1394</v>
      </c>
    </row>
    <row r="10" spans="1:1">
      <c r="A10" s="380" t="s">
        <v>1395</v>
      </c>
    </row>
    <row r="11" spans="1:1">
      <c r="A11" s="380" t="s">
        <v>1396</v>
      </c>
    </row>
    <row r="12" spans="1:1">
      <c r="A12" s="380" t="s">
        <v>1397</v>
      </c>
    </row>
    <row r="13" spans="1:1">
      <c r="A13" s="380" t="s">
        <v>1398</v>
      </c>
    </row>
    <row r="14" spans="1:1" s="381" customFormat="1">
      <c r="A14" s="381" t="s">
        <v>1399</v>
      </c>
    </row>
    <row r="15" spans="1:1" s="381" customFormat="1">
      <c r="A15" s="381" t="s">
        <v>1400</v>
      </c>
    </row>
    <row r="16" spans="1:1" s="381" customFormat="1">
      <c r="A16" s="381" t="s">
        <v>673</v>
      </c>
    </row>
    <row r="17" spans="1:2" s="381" customFormat="1">
      <c r="A17" s="381" t="s">
        <v>705</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1401</v>
      </c>
    </row>
    <row r="36" spans="1:2">
      <c r="A36" s="380" t="s">
        <v>1402</v>
      </c>
    </row>
  </sheetData>
  <phoneticPr fontId="3"/>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B36"/>
  <sheetViews>
    <sheetView topLeftCell="A4"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1402</v>
      </c>
    </row>
    <row r="9" spans="1:1">
      <c r="A9" s="380" t="s">
        <v>1403</v>
      </c>
    </row>
    <row r="10" spans="1:1">
      <c r="A10" s="380" t="s">
        <v>1404</v>
      </c>
    </row>
    <row r="11" spans="1:1">
      <c r="A11" s="380" t="s">
        <v>1405</v>
      </c>
    </row>
    <row r="12" spans="1:1">
      <c r="A12" s="380" t="s">
        <v>1406</v>
      </c>
    </row>
    <row r="13" spans="1:1">
      <c r="A13" s="380" t="s">
        <v>1407</v>
      </c>
    </row>
    <row r="14" spans="1:1" s="381" customFormat="1">
      <c r="A14" s="381" t="s">
        <v>1408</v>
      </c>
    </row>
    <row r="15" spans="1:1" s="381" customFormat="1">
      <c r="A15" s="381" t="s">
        <v>1409</v>
      </c>
    </row>
    <row r="16" spans="1:1" s="381" customFormat="1">
      <c r="A16" s="381" t="s">
        <v>673</v>
      </c>
    </row>
    <row r="17" spans="1:2" s="381" customFormat="1">
      <c r="A17" s="381" t="s">
        <v>706</v>
      </c>
    </row>
    <row r="18" spans="1:2" s="381" customFormat="1">
      <c r="A18" s="381"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1410</v>
      </c>
    </row>
    <row r="36" spans="1:2">
      <c r="A36" s="380" t="s">
        <v>1411</v>
      </c>
    </row>
  </sheetData>
  <phoneticPr fontId="3"/>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
  <dimension ref="A1:B37"/>
  <sheetViews>
    <sheetView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856</v>
      </c>
    </row>
    <row r="9" spans="1:1">
      <c r="A9" s="380" t="s">
        <v>916</v>
      </c>
    </row>
    <row r="10" spans="1:1">
      <c r="A10" s="380" t="s">
        <v>917</v>
      </c>
    </row>
    <row r="11" spans="1:1">
      <c r="A11" s="380" t="s">
        <v>918</v>
      </c>
    </row>
    <row r="12" spans="1:1">
      <c r="A12" s="380" t="s">
        <v>919</v>
      </c>
    </row>
    <row r="13" spans="1:1">
      <c r="A13" s="380" t="s">
        <v>920</v>
      </c>
    </row>
    <row r="14" spans="1:1">
      <c r="A14" s="380" t="s">
        <v>921</v>
      </c>
    </row>
    <row r="15" spans="1:1">
      <c r="A15" s="380" t="s">
        <v>922</v>
      </c>
    </row>
    <row r="16" spans="1:1">
      <c r="A16" s="380" t="s">
        <v>673</v>
      </c>
    </row>
    <row r="17" spans="1:2" s="381" customFormat="1">
      <c r="A17" s="381" t="s">
        <v>694</v>
      </c>
    </row>
    <row r="18" spans="1:2">
      <c r="A18" s="380"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923</v>
      </c>
    </row>
    <row r="36" spans="1:2">
      <c r="A36" s="380" t="s">
        <v>924</v>
      </c>
    </row>
    <row r="37" spans="1:2">
      <c r="A37" s="380" t="s">
        <v>696</v>
      </c>
    </row>
  </sheetData>
  <phoneticPr fontId="3"/>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A158"/>
  <sheetViews>
    <sheetView topLeftCell="A142"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1412</v>
      </c>
    </row>
    <row r="6" spans="1:1">
      <c r="A6" s="380" t="s">
        <v>672</v>
      </c>
    </row>
    <row r="8" spans="1:1">
      <c r="A8" s="380" t="s">
        <v>1411</v>
      </c>
    </row>
    <row r="9" spans="1:1">
      <c r="A9" s="380" t="s">
        <v>1413</v>
      </c>
    </row>
    <row r="10" spans="1:1">
      <c r="A10" s="380" t="s">
        <v>1414</v>
      </c>
    </row>
    <row r="11" spans="1:1">
      <c r="A11" s="380" t="s">
        <v>1415</v>
      </c>
    </row>
    <row r="12" spans="1:1">
      <c r="A12" s="380" t="s">
        <v>1416</v>
      </c>
    </row>
    <row r="13" spans="1:1">
      <c r="A13" s="380" t="s">
        <v>1417</v>
      </c>
    </row>
    <row r="14" spans="1:1">
      <c r="A14" s="380" t="s">
        <v>1418</v>
      </c>
    </row>
    <row r="15" spans="1:1">
      <c r="A15" s="380" t="s">
        <v>1419</v>
      </c>
    </row>
    <row r="16" spans="1:1">
      <c r="A16" s="380" t="s">
        <v>1420</v>
      </c>
    </row>
    <row r="17" spans="1:1">
      <c r="A17" s="380" t="s">
        <v>1421</v>
      </c>
    </row>
    <row r="18" spans="1:1">
      <c r="A18" s="380" t="s">
        <v>1422</v>
      </c>
    </row>
    <row r="19" spans="1:1">
      <c r="A19" s="380" t="s">
        <v>1423</v>
      </c>
    </row>
    <row r="20" spans="1:1">
      <c r="A20" s="380" t="s">
        <v>1424</v>
      </c>
    </row>
    <row r="21" spans="1:1">
      <c r="A21" s="380" t="s">
        <v>1425</v>
      </c>
    </row>
    <row r="22" spans="1:1">
      <c r="A22" s="380" t="s">
        <v>1426</v>
      </c>
    </row>
    <row r="23" spans="1:1">
      <c r="A23" s="380" t="s">
        <v>1427</v>
      </c>
    </row>
    <row r="24" spans="1:1">
      <c r="A24" s="380" t="s">
        <v>1428</v>
      </c>
    </row>
    <row r="25" spans="1:1">
      <c r="A25" s="380" t="s">
        <v>1429</v>
      </c>
    </row>
    <row r="26" spans="1:1">
      <c r="A26" s="380" t="s">
        <v>1430</v>
      </c>
    </row>
    <row r="27" spans="1:1">
      <c r="A27" s="380" t="s">
        <v>1431</v>
      </c>
    </row>
    <row r="28" spans="1:1">
      <c r="A28" s="380" t="s">
        <v>1432</v>
      </c>
    </row>
    <row r="29" spans="1:1">
      <c r="A29" s="380" t="s">
        <v>1433</v>
      </c>
    </row>
    <row r="30" spans="1:1">
      <c r="A30" s="380" t="s">
        <v>1434</v>
      </c>
    </row>
    <row r="31" spans="1:1">
      <c r="A31" s="380" t="s">
        <v>1435</v>
      </c>
    </row>
    <row r="32" spans="1:1">
      <c r="A32" s="380" t="s">
        <v>1436</v>
      </c>
    </row>
    <row r="33" spans="1:1">
      <c r="A33" s="380" t="s">
        <v>1437</v>
      </c>
    </row>
    <row r="34" spans="1:1">
      <c r="A34" s="380" t="s">
        <v>1438</v>
      </c>
    </row>
    <row r="35" spans="1:1">
      <c r="A35" s="380" t="s">
        <v>1439</v>
      </c>
    </row>
    <row r="36" spans="1:1">
      <c r="A36" s="380" t="s">
        <v>1440</v>
      </c>
    </row>
    <row r="37" spans="1:1">
      <c r="A37" s="380" t="s">
        <v>1441</v>
      </c>
    </row>
    <row r="38" spans="1:1">
      <c r="A38" s="380" t="s">
        <v>1442</v>
      </c>
    </row>
    <row r="39" spans="1:1">
      <c r="A39" s="380" t="s">
        <v>1443</v>
      </c>
    </row>
    <row r="40" spans="1:1">
      <c r="A40" s="380" t="s">
        <v>1444</v>
      </c>
    </row>
    <row r="41" spans="1:1">
      <c r="A41" s="380" t="s">
        <v>1445</v>
      </c>
    </row>
    <row r="42" spans="1:1">
      <c r="A42" s="380" t="s">
        <v>1446</v>
      </c>
    </row>
    <row r="43" spans="1:1">
      <c r="A43" s="380" t="s">
        <v>1447</v>
      </c>
    </row>
    <row r="44" spans="1:1">
      <c r="A44" s="380" t="s">
        <v>1448</v>
      </c>
    </row>
    <row r="45" spans="1:1">
      <c r="A45" s="380" t="s">
        <v>1449</v>
      </c>
    </row>
    <row r="46" spans="1:1">
      <c r="A46" s="380" t="s">
        <v>1450</v>
      </c>
    </row>
    <row r="47" spans="1:1">
      <c r="A47" s="380" t="s">
        <v>1451</v>
      </c>
    </row>
    <row r="48" spans="1:1">
      <c r="A48" s="380" t="s">
        <v>1452</v>
      </c>
    </row>
    <row r="49" spans="1:1">
      <c r="A49" s="380" t="s">
        <v>1453</v>
      </c>
    </row>
    <row r="50" spans="1:1">
      <c r="A50" s="380" t="s">
        <v>1454</v>
      </c>
    </row>
    <row r="51" spans="1:1">
      <c r="A51" s="380" t="s">
        <v>1455</v>
      </c>
    </row>
    <row r="52" spans="1:1">
      <c r="A52" s="380" t="s">
        <v>1456</v>
      </c>
    </row>
    <row r="53" spans="1:1">
      <c r="A53" s="380" t="s">
        <v>1457</v>
      </c>
    </row>
    <row r="54" spans="1:1">
      <c r="A54" s="380" t="s">
        <v>1458</v>
      </c>
    </row>
    <row r="55" spans="1:1">
      <c r="A55" s="380" t="s">
        <v>1459</v>
      </c>
    </row>
    <row r="56" spans="1:1" s="381" customFormat="1">
      <c r="A56" s="381" t="s">
        <v>1460</v>
      </c>
    </row>
    <row r="57" spans="1:1">
      <c r="A57" s="380" t="s">
        <v>1461</v>
      </c>
    </row>
    <row r="58" spans="1:1">
      <c r="A58" s="380" t="s">
        <v>1462</v>
      </c>
    </row>
    <row r="59" spans="1:1">
      <c r="A59" s="380" t="s">
        <v>1463</v>
      </c>
    </row>
    <row r="60" spans="1:1">
      <c r="A60" s="380" t="s">
        <v>1464</v>
      </c>
    </row>
    <row r="61" spans="1:1">
      <c r="A61" s="380" t="s">
        <v>1465</v>
      </c>
    </row>
    <row r="62" spans="1:1">
      <c r="A62" s="380" t="s">
        <v>1466</v>
      </c>
    </row>
    <row r="63" spans="1:1">
      <c r="A63" s="380" t="s">
        <v>1467</v>
      </c>
    </row>
    <row r="64" spans="1:1">
      <c r="A64" s="380" t="s">
        <v>1468</v>
      </c>
    </row>
    <row r="65" spans="1:1">
      <c r="A65" s="380" t="s">
        <v>1469</v>
      </c>
    </row>
    <row r="66" spans="1:1">
      <c r="A66" s="380" t="s">
        <v>1470</v>
      </c>
    </row>
    <row r="67" spans="1:1">
      <c r="A67" s="380" t="s">
        <v>1471</v>
      </c>
    </row>
    <row r="68" spans="1:1">
      <c r="A68" s="380" t="s">
        <v>1472</v>
      </c>
    </row>
    <row r="69" spans="1:1">
      <c r="A69" s="380" t="s">
        <v>1473</v>
      </c>
    </row>
    <row r="70" spans="1:1">
      <c r="A70" s="380" t="s">
        <v>1474</v>
      </c>
    </row>
    <row r="71" spans="1:1">
      <c r="A71" s="380" t="s">
        <v>1475</v>
      </c>
    </row>
    <row r="72" spans="1:1">
      <c r="A72" s="380" t="s">
        <v>1476</v>
      </c>
    </row>
    <row r="73" spans="1:1">
      <c r="A73" s="380" t="s">
        <v>1477</v>
      </c>
    </row>
    <row r="74" spans="1:1">
      <c r="A74" s="380" t="s">
        <v>1478</v>
      </c>
    </row>
    <row r="75" spans="1:1">
      <c r="A75" s="380" t="s">
        <v>1479</v>
      </c>
    </row>
    <row r="76" spans="1:1">
      <c r="A76" s="380" t="s">
        <v>1480</v>
      </c>
    </row>
    <row r="77" spans="1:1">
      <c r="A77" s="380" t="s">
        <v>1481</v>
      </c>
    </row>
    <row r="78" spans="1:1">
      <c r="A78" s="380" t="s">
        <v>1482</v>
      </c>
    </row>
    <row r="79" spans="1:1">
      <c r="A79" s="380" t="s">
        <v>1483</v>
      </c>
    </row>
    <row r="80" spans="1:1">
      <c r="A80" s="380" t="s">
        <v>1484</v>
      </c>
    </row>
    <row r="81" spans="1:1">
      <c r="A81" s="380" t="s">
        <v>1485</v>
      </c>
    </row>
    <row r="82" spans="1:1">
      <c r="A82" s="380" t="s">
        <v>1486</v>
      </c>
    </row>
    <row r="83" spans="1:1">
      <c r="A83" s="380" t="s">
        <v>1487</v>
      </c>
    </row>
    <row r="84" spans="1:1">
      <c r="A84" s="380" t="s">
        <v>1488</v>
      </c>
    </row>
    <row r="85" spans="1:1">
      <c r="A85" s="380" t="s">
        <v>1489</v>
      </c>
    </row>
    <row r="86" spans="1:1">
      <c r="A86" s="380" t="s">
        <v>1490</v>
      </c>
    </row>
    <row r="87" spans="1:1">
      <c r="A87" s="380" t="s">
        <v>1491</v>
      </c>
    </row>
    <row r="88" spans="1:1">
      <c r="A88" s="380" t="s">
        <v>1492</v>
      </c>
    </row>
    <row r="89" spans="1:1">
      <c r="A89" s="380" t="s">
        <v>1493</v>
      </c>
    </row>
    <row r="90" spans="1:1">
      <c r="A90" s="380" t="s">
        <v>1494</v>
      </c>
    </row>
    <row r="91" spans="1:1">
      <c r="A91" s="380" t="s">
        <v>1495</v>
      </c>
    </row>
    <row r="92" spans="1:1">
      <c r="A92" s="380" t="s">
        <v>1496</v>
      </c>
    </row>
    <row r="93" spans="1:1">
      <c r="A93" s="380" t="s">
        <v>1497</v>
      </c>
    </row>
    <row r="94" spans="1:1">
      <c r="A94" s="380" t="s">
        <v>1498</v>
      </c>
    </row>
    <row r="95" spans="1:1">
      <c r="A95" s="380" t="s">
        <v>1499</v>
      </c>
    </row>
    <row r="96" spans="1:1">
      <c r="A96" s="380" t="s">
        <v>1500</v>
      </c>
    </row>
    <row r="97" spans="1:1">
      <c r="A97" s="380" t="s">
        <v>1501</v>
      </c>
    </row>
    <row r="98" spans="1:1">
      <c r="A98" s="380" t="s">
        <v>1502</v>
      </c>
    </row>
    <row r="99" spans="1:1">
      <c r="A99" s="380" t="s">
        <v>1503</v>
      </c>
    </row>
    <row r="100" spans="1:1">
      <c r="A100" s="380" t="s">
        <v>1504</v>
      </c>
    </row>
    <row r="101" spans="1:1">
      <c r="A101" s="380" t="s">
        <v>1505</v>
      </c>
    </row>
    <row r="103" spans="1:1">
      <c r="A103" s="380" t="s">
        <v>1506</v>
      </c>
    </row>
    <row r="104" spans="1:1">
      <c r="A104" s="380" t="s">
        <v>1029</v>
      </c>
    </row>
    <row r="105" spans="1:1">
      <c r="A105" s="380" t="s">
        <v>1507</v>
      </c>
    </row>
    <row r="106" spans="1:1">
      <c r="A106" s="380" t="s">
        <v>862</v>
      </c>
    </row>
    <row r="107" spans="1:1">
      <c r="A107" s="380" t="s">
        <v>1508</v>
      </c>
    </row>
    <row r="108" spans="1:1">
      <c r="A108" s="380" t="s">
        <v>864</v>
      </c>
    </row>
    <row r="109" spans="1:1">
      <c r="A109" s="380" t="s">
        <v>1509</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c r="A120" s="380" t="s">
        <v>876</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1510</v>
      </c>
    </row>
    <row r="142" spans="1:1">
      <c r="A142" s="380" t="s">
        <v>898</v>
      </c>
    </row>
    <row r="143" spans="1:1">
      <c r="A143" s="380" t="s">
        <v>1511</v>
      </c>
    </row>
    <row r="144" spans="1:1">
      <c r="A144" s="380" t="s">
        <v>900</v>
      </c>
    </row>
    <row r="145" spans="1:1">
      <c r="A145" s="380" t="s">
        <v>1035</v>
      </c>
    </row>
    <row r="146" spans="1:1">
      <c r="A146" s="380" t="s">
        <v>902</v>
      </c>
    </row>
    <row r="147" spans="1:1">
      <c r="A147" s="380" t="s">
        <v>903</v>
      </c>
    </row>
    <row r="148" spans="1:1">
      <c r="A148" s="380" t="s">
        <v>904</v>
      </c>
    </row>
    <row r="149" spans="1:1">
      <c r="A149" s="380" t="s">
        <v>905</v>
      </c>
    </row>
    <row r="150" spans="1:1" s="381" customFormat="1">
      <c r="A150" s="381" t="s">
        <v>1512</v>
      </c>
    </row>
    <row r="151" spans="1:1">
      <c r="A151" s="380" t="s">
        <v>907</v>
      </c>
    </row>
    <row r="152" spans="1:1">
      <c r="A152" s="380" t="s">
        <v>908</v>
      </c>
    </row>
    <row r="153" spans="1:1">
      <c r="A153" s="380" t="s">
        <v>909</v>
      </c>
    </row>
    <row r="154" spans="1:1">
      <c r="A154" s="380" t="s">
        <v>910</v>
      </c>
    </row>
    <row r="155" spans="1:1">
      <c r="A155" s="380" t="s">
        <v>911</v>
      </c>
    </row>
    <row r="156" spans="1:1">
      <c r="A156" s="380" t="s">
        <v>912</v>
      </c>
    </row>
    <row r="157" spans="1:1">
      <c r="A157" s="380" t="s">
        <v>913</v>
      </c>
    </row>
    <row r="158" spans="1:1">
      <c r="A158" s="380" t="s">
        <v>914</v>
      </c>
    </row>
  </sheetData>
  <phoneticPr fontId="3"/>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B36"/>
  <sheetViews>
    <sheetView topLeftCell="A7"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1505</v>
      </c>
    </row>
    <row r="9" spans="1:1">
      <c r="A9" s="380" t="s">
        <v>1513</v>
      </c>
    </row>
    <row r="10" spans="1:1">
      <c r="A10" s="380" t="s">
        <v>1514</v>
      </c>
    </row>
    <row r="11" spans="1:1">
      <c r="A11" s="380" t="s">
        <v>1515</v>
      </c>
    </row>
    <row r="12" spans="1:1">
      <c r="A12" s="380" t="s">
        <v>1516</v>
      </c>
    </row>
    <row r="13" spans="1:1">
      <c r="A13" s="380" t="s">
        <v>1517</v>
      </c>
    </row>
    <row r="14" spans="1:1" s="381" customFormat="1">
      <c r="A14" s="381" t="s">
        <v>1518</v>
      </c>
    </row>
    <row r="15" spans="1:1" s="381" customFormat="1">
      <c r="A15" s="381" t="s">
        <v>1519</v>
      </c>
    </row>
    <row r="16" spans="1:1" s="381" customFormat="1">
      <c r="A16" s="381" t="s">
        <v>673</v>
      </c>
    </row>
    <row r="17" spans="1:2" s="381" customFormat="1">
      <c r="A17" s="381" t="s">
        <v>707</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1520</v>
      </c>
    </row>
    <row r="36" spans="1:2">
      <c r="A36" s="380" t="s">
        <v>1521</v>
      </c>
    </row>
  </sheetData>
  <phoneticPr fontId="3"/>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B36"/>
  <sheetViews>
    <sheetView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1521</v>
      </c>
    </row>
    <row r="9" spans="1:1">
      <c r="A9" s="380" t="s">
        <v>1522</v>
      </c>
    </row>
    <row r="10" spans="1:1">
      <c r="A10" s="380" t="s">
        <v>1523</v>
      </c>
    </row>
    <row r="11" spans="1:1">
      <c r="A11" s="380" t="s">
        <v>1524</v>
      </c>
    </row>
    <row r="12" spans="1:1">
      <c r="A12" s="380" t="s">
        <v>1525</v>
      </c>
    </row>
    <row r="13" spans="1:1">
      <c r="A13" s="380" t="s">
        <v>1526</v>
      </c>
    </row>
    <row r="14" spans="1:1" s="381" customFormat="1">
      <c r="A14" s="381" t="s">
        <v>1527</v>
      </c>
    </row>
    <row r="15" spans="1:1" s="381" customFormat="1">
      <c r="A15" s="381" t="s">
        <v>1528</v>
      </c>
    </row>
    <row r="16" spans="1:1" s="381" customFormat="1">
      <c r="A16" s="381" t="s">
        <v>673</v>
      </c>
    </row>
    <row r="17" spans="1:2" s="381" customFormat="1">
      <c r="A17" s="381" t="s">
        <v>708</v>
      </c>
    </row>
    <row r="18" spans="1:2" s="381" customFormat="1">
      <c r="A18" s="381"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1529</v>
      </c>
    </row>
    <row r="36" spans="1:2">
      <c r="A36" s="380" t="s">
        <v>1530</v>
      </c>
    </row>
  </sheetData>
  <phoneticPr fontId="3"/>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A158"/>
  <sheetViews>
    <sheetView topLeftCell="A145"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1531</v>
      </c>
    </row>
    <row r="6" spans="1:1">
      <c r="A6" s="380" t="s">
        <v>672</v>
      </c>
    </row>
    <row r="8" spans="1:1">
      <c r="A8" s="380" t="s">
        <v>1530</v>
      </c>
    </row>
    <row r="9" spans="1:1">
      <c r="A9" s="380" t="s">
        <v>1532</v>
      </c>
    </row>
    <row r="10" spans="1:1">
      <c r="A10" s="380" t="s">
        <v>1533</v>
      </c>
    </row>
    <row r="11" spans="1:1">
      <c r="A11" s="380" t="s">
        <v>1534</v>
      </c>
    </row>
    <row r="12" spans="1:1">
      <c r="A12" s="380" t="s">
        <v>1535</v>
      </c>
    </row>
    <row r="13" spans="1:1">
      <c r="A13" s="380" t="s">
        <v>1536</v>
      </c>
    </row>
    <row r="14" spans="1:1">
      <c r="A14" s="380" t="s">
        <v>1537</v>
      </c>
    </row>
    <row r="15" spans="1:1">
      <c r="A15" s="380" t="s">
        <v>1538</v>
      </c>
    </row>
    <row r="16" spans="1:1">
      <c r="A16" s="380" t="s">
        <v>1539</v>
      </c>
    </row>
    <row r="17" spans="1:1">
      <c r="A17" s="380" t="s">
        <v>1540</v>
      </c>
    </row>
    <row r="18" spans="1:1">
      <c r="A18" s="380" t="s">
        <v>1541</v>
      </c>
    </row>
    <row r="19" spans="1:1">
      <c r="A19" s="380" t="s">
        <v>1542</v>
      </c>
    </row>
    <row r="20" spans="1:1">
      <c r="A20" s="380" t="s">
        <v>1543</v>
      </c>
    </row>
    <row r="21" spans="1:1">
      <c r="A21" s="380" t="s">
        <v>1544</v>
      </c>
    </row>
    <row r="22" spans="1:1">
      <c r="A22" s="380" t="s">
        <v>1545</v>
      </c>
    </row>
    <row r="23" spans="1:1">
      <c r="A23" s="380" t="s">
        <v>1546</v>
      </c>
    </row>
    <row r="24" spans="1:1">
      <c r="A24" s="380" t="s">
        <v>1547</v>
      </c>
    </row>
    <row r="25" spans="1:1">
      <c r="A25" s="380" t="s">
        <v>1548</v>
      </c>
    </row>
    <row r="26" spans="1:1">
      <c r="A26" s="380" t="s">
        <v>1549</v>
      </c>
    </row>
    <row r="27" spans="1:1">
      <c r="A27" s="380" t="s">
        <v>1550</v>
      </c>
    </row>
    <row r="28" spans="1:1">
      <c r="A28" s="380" t="s">
        <v>1551</v>
      </c>
    </row>
    <row r="29" spans="1:1">
      <c r="A29" s="380" t="s">
        <v>1552</v>
      </c>
    </row>
    <row r="30" spans="1:1">
      <c r="A30" s="380" t="s">
        <v>1553</v>
      </c>
    </row>
    <row r="31" spans="1:1">
      <c r="A31" s="380" t="s">
        <v>1554</v>
      </c>
    </row>
    <row r="32" spans="1:1">
      <c r="A32" s="380" t="s">
        <v>1555</v>
      </c>
    </row>
    <row r="33" spans="1:1">
      <c r="A33" s="380" t="s">
        <v>1556</v>
      </c>
    </row>
    <row r="34" spans="1:1">
      <c r="A34" s="380" t="s">
        <v>1557</v>
      </c>
    </row>
    <row r="35" spans="1:1">
      <c r="A35" s="380" t="s">
        <v>1558</v>
      </c>
    </row>
    <row r="36" spans="1:1">
      <c r="A36" s="380" t="s">
        <v>1559</v>
      </c>
    </row>
    <row r="37" spans="1:1">
      <c r="A37" s="380" t="s">
        <v>1560</v>
      </c>
    </row>
    <row r="38" spans="1:1">
      <c r="A38" s="380" t="s">
        <v>1561</v>
      </c>
    </row>
    <row r="39" spans="1:1">
      <c r="A39" s="380" t="s">
        <v>1562</v>
      </c>
    </row>
    <row r="40" spans="1:1">
      <c r="A40" s="380" t="s">
        <v>1563</v>
      </c>
    </row>
    <row r="41" spans="1:1">
      <c r="A41" s="380" t="s">
        <v>1564</v>
      </c>
    </row>
    <row r="42" spans="1:1">
      <c r="A42" s="380" t="s">
        <v>1565</v>
      </c>
    </row>
    <row r="43" spans="1:1">
      <c r="A43" s="380" t="s">
        <v>1566</v>
      </c>
    </row>
    <row r="44" spans="1:1">
      <c r="A44" s="380" t="s">
        <v>1567</v>
      </c>
    </row>
    <row r="45" spans="1:1">
      <c r="A45" s="380" t="s">
        <v>1568</v>
      </c>
    </row>
    <row r="46" spans="1:1">
      <c r="A46" s="380" t="s">
        <v>1569</v>
      </c>
    </row>
    <row r="47" spans="1:1">
      <c r="A47" s="380" t="s">
        <v>1570</v>
      </c>
    </row>
    <row r="48" spans="1:1">
      <c r="A48" s="380" t="s">
        <v>1571</v>
      </c>
    </row>
    <row r="49" spans="1:1">
      <c r="A49" s="380" t="s">
        <v>1572</v>
      </c>
    </row>
    <row r="50" spans="1:1">
      <c r="A50" s="380" t="s">
        <v>1573</v>
      </c>
    </row>
    <row r="51" spans="1:1">
      <c r="A51" s="380" t="s">
        <v>1574</v>
      </c>
    </row>
    <row r="52" spans="1:1">
      <c r="A52" s="380" t="s">
        <v>1575</v>
      </c>
    </row>
    <row r="53" spans="1:1">
      <c r="A53" s="380" t="s">
        <v>1576</v>
      </c>
    </row>
    <row r="54" spans="1:1">
      <c r="A54" s="380" t="s">
        <v>1577</v>
      </c>
    </row>
    <row r="55" spans="1:1">
      <c r="A55" s="380" t="s">
        <v>1578</v>
      </c>
    </row>
    <row r="56" spans="1:1">
      <c r="A56" s="380" t="s">
        <v>1579</v>
      </c>
    </row>
    <row r="57" spans="1:1" s="381" customFormat="1">
      <c r="A57" s="381" t="s">
        <v>1580</v>
      </c>
    </row>
    <row r="58" spans="1:1">
      <c r="A58" s="380" t="s">
        <v>1581</v>
      </c>
    </row>
    <row r="59" spans="1:1">
      <c r="A59" s="380" t="s">
        <v>1582</v>
      </c>
    </row>
    <row r="60" spans="1:1">
      <c r="A60" s="380" t="s">
        <v>1583</v>
      </c>
    </row>
    <row r="61" spans="1:1">
      <c r="A61" s="380" t="s">
        <v>1584</v>
      </c>
    </row>
    <row r="62" spans="1:1">
      <c r="A62" s="380" t="s">
        <v>1585</v>
      </c>
    </row>
    <row r="63" spans="1:1">
      <c r="A63" s="380" t="s">
        <v>1586</v>
      </c>
    </row>
    <row r="64" spans="1:1">
      <c r="A64" s="380" t="s">
        <v>1587</v>
      </c>
    </row>
    <row r="65" spans="1:1">
      <c r="A65" s="380" t="s">
        <v>1588</v>
      </c>
    </row>
    <row r="66" spans="1:1">
      <c r="A66" s="380" t="s">
        <v>1589</v>
      </c>
    </row>
    <row r="67" spans="1:1">
      <c r="A67" s="380" t="s">
        <v>1590</v>
      </c>
    </row>
    <row r="68" spans="1:1">
      <c r="A68" s="380" t="s">
        <v>1591</v>
      </c>
    </row>
    <row r="69" spans="1:1">
      <c r="A69" s="380" t="s">
        <v>1592</v>
      </c>
    </row>
    <row r="70" spans="1:1">
      <c r="A70" s="380" t="s">
        <v>1593</v>
      </c>
    </row>
    <row r="71" spans="1:1">
      <c r="A71" s="380" t="s">
        <v>1594</v>
      </c>
    </row>
    <row r="72" spans="1:1">
      <c r="A72" s="380" t="s">
        <v>1595</v>
      </c>
    </row>
    <row r="73" spans="1:1">
      <c r="A73" s="380" t="s">
        <v>1596</v>
      </c>
    </row>
    <row r="74" spans="1:1">
      <c r="A74" s="380" t="s">
        <v>1597</v>
      </c>
    </row>
    <row r="75" spans="1:1">
      <c r="A75" s="380" t="s">
        <v>1598</v>
      </c>
    </row>
    <row r="76" spans="1:1">
      <c r="A76" s="380" t="s">
        <v>1599</v>
      </c>
    </row>
    <row r="77" spans="1:1">
      <c r="A77" s="380" t="s">
        <v>1600</v>
      </c>
    </row>
    <row r="78" spans="1:1">
      <c r="A78" s="380" t="s">
        <v>1601</v>
      </c>
    </row>
    <row r="79" spans="1:1">
      <c r="A79" s="380" t="s">
        <v>1602</v>
      </c>
    </row>
    <row r="80" spans="1:1">
      <c r="A80" s="380" t="s">
        <v>1603</v>
      </c>
    </row>
    <row r="81" spans="1:1">
      <c r="A81" s="380" t="s">
        <v>1604</v>
      </c>
    </row>
    <row r="82" spans="1:1">
      <c r="A82" s="380" t="s">
        <v>1605</v>
      </c>
    </row>
    <row r="83" spans="1:1">
      <c r="A83" s="380" t="s">
        <v>1606</v>
      </c>
    </row>
    <row r="84" spans="1:1">
      <c r="A84" s="380" t="s">
        <v>1607</v>
      </c>
    </row>
    <row r="85" spans="1:1">
      <c r="A85" s="380" t="s">
        <v>1608</v>
      </c>
    </row>
    <row r="86" spans="1:1">
      <c r="A86" s="380" t="s">
        <v>1609</v>
      </c>
    </row>
    <row r="87" spans="1:1">
      <c r="A87" s="380" t="s">
        <v>1610</v>
      </c>
    </row>
    <row r="88" spans="1:1">
      <c r="A88" s="380" t="s">
        <v>1611</v>
      </c>
    </row>
    <row r="89" spans="1:1">
      <c r="A89" s="380" t="s">
        <v>1612</v>
      </c>
    </row>
    <row r="90" spans="1:1">
      <c r="A90" s="380" t="s">
        <v>1613</v>
      </c>
    </row>
    <row r="91" spans="1:1">
      <c r="A91" s="380" t="s">
        <v>1614</v>
      </c>
    </row>
    <row r="92" spans="1:1">
      <c r="A92" s="380" t="s">
        <v>1615</v>
      </c>
    </row>
    <row r="93" spans="1:1">
      <c r="A93" s="380" t="s">
        <v>1616</v>
      </c>
    </row>
    <row r="94" spans="1:1">
      <c r="A94" s="380" t="s">
        <v>1617</v>
      </c>
    </row>
    <row r="95" spans="1:1">
      <c r="A95" s="380" t="s">
        <v>1618</v>
      </c>
    </row>
    <row r="96" spans="1:1">
      <c r="A96" s="380" t="s">
        <v>1619</v>
      </c>
    </row>
    <row r="97" spans="1:1">
      <c r="A97" s="380" t="s">
        <v>1620</v>
      </c>
    </row>
    <row r="98" spans="1:1">
      <c r="A98" s="380" t="s">
        <v>1621</v>
      </c>
    </row>
    <row r="99" spans="1:1">
      <c r="A99" s="380" t="s">
        <v>1622</v>
      </c>
    </row>
    <row r="100" spans="1:1">
      <c r="A100" s="380" t="s">
        <v>1623</v>
      </c>
    </row>
    <row r="101" spans="1:1">
      <c r="A101" s="380" t="s">
        <v>1624</v>
      </c>
    </row>
    <row r="103" spans="1:1">
      <c r="A103" s="380" t="s">
        <v>1625</v>
      </c>
    </row>
    <row r="104" spans="1:1">
      <c r="A104" s="380" t="s">
        <v>1029</v>
      </c>
    </row>
    <row r="105" spans="1:1">
      <c r="A105" s="380" t="s">
        <v>1626</v>
      </c>
    </row>
    <row r="106" spans="1:1">
      <c r="A106" s="380" t="s">
        <v>862</v>
      </c>
    </row>
    <row r="107" spans="1:1">
      <c r="A107" s="380" t="s">
        <v>1627</v>
      </c>
    </row>
    <row r="108" spans="1:1">
      <c r="A108" s="380" t="s">
        <v>864</v>
      </c>
    </row>
    <row r="109" spans="1:1">
      <c r="A109" s="380" t="s">
        <v>1628</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c r="A120" s="380" t="s">
        <v>876</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1629</v>
      </c>
    </row>
    <row r="142" spans="1:1">
      <c r="A142" s="380" t="s">
        <v>898</v>
      </c>
    </row>
    <row r="143" spans="1:1">
      <c r="A143" s="380" t="s">
        <v>1630</v>
      </c>
    </row>
    <row r="144" spans="1:1">
      <c r="A144" s="380" t="s">
        <v>900</v>
      </c>
    </row>
    <row r="145" spans="1:1">
      <c r="A145" s="380" t="s">
        <v>1035</v>
      </c>
    </row>
    <row r="146" spans="1:1">
      <c r="A146" s="380" t="s">
        <v>902</v>
      </c>
    </row>
    <row r="147" spans="1:1">
      <c r="A147" s="380" t="s">
        <v>903</v>
      </c>
    </row>
    <row r="148" spans="1:1">
      <c r="A148" s="380" t="s">
        <v>904</v>
      </c>
    </row>
    <row r="149" spans="1:1">
      <c r="A149" s="380" t="s">
        <v>905</v>
      </c>
    </row>
    <row r="150" spans="1:1">
      <c r="A150" s="380" t="s">
        <v>906</v>
      </c>
    </row>
    <row r="151" spans="1:1" s="381" customFormat="1">
      <c r="A151" s="381" t="s">
        <v>1631</v>
      </c>
    </row>
    <row r="152" spans="1:1">
      <c r="A152" s="380" t="s">
        <v>908</v>
      </c>
    </row>
    <row r="153" spans="1:1">
      <c r="A153" s="380" t="s">
        <v>909</v>
      </c>
    </row>
    <row r="154" spans="1:1">
      <c r="A154" s="380" t="s">
        <v>910</v>
      </c>
    </row>
    <row r="155" spans="1:1">
      <c r="A155" s="380" t="s">
        <v>911</v>
      </c>
    </row>
    <row r="156" spans="1:1">
      <c r="A156" s="380" t="s">
        <v>912</v>
      </c>
    </row>
    <row r="157" spans="1:1">
      <c r="A157" s="380" t="s">
        <v>913</v>
      </c>
    </row>
    <row r="158" spans="1:1">
      <c r="A158" s="380" t="s">
        <v>914</v>
      </c>
    </row>
  </sheetData>
  <phoneticPr fontId="3"/>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B36"/>
  <sheetViews>
    <sheetView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1624</v>
      </c>
    </row>
    <row r="9" spans="1:1">
      <c r="A9" s="380" t="s">
        <v>1632</v>
      </c>
    </row>
    <row r="10" spans="1:1">
      <c r="A10" s="380" t="s">
        <v>1633</v>
      </c>
    </row>
    <row r="11" spans="1:1">
      <c r="A11" s="380" t="s">
        <v>1634</v>
      </c>
    </row>
    <row r="12" spans="1:1">
      <c r="A12" s="380" t="s">
        <v>1635</v>
      </c>
    </row>
    <row r="13" spans="1:1">
      <c r="A13" s="380" t="s">
        <v>1636</v>
      </c>
    </row>
    <row r="14" spans="1:1" s="381" customFormat="1">
      <c r="A14" s="381" t="s">
        <v>1637</v>
      </c>
    </row>
    <row r="15" spans="1:1" s="381" customFormat="1">
      <c r="A15" s="381" t="s">
        <v>1638</v>
      </c>
    </row>
    <row r="16" spans="1:1" s="381" customFormat="1">
      <c r="A16" s="381" t="s">
        <v>673</v>
      </c>
    </row>
    <row r="17" spans="1:2" s="381" customFormat="1">
      <c r="A17" s="381" t="s">
        <v>709</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1639</v>
      </c>
    </row>
    <row r="36" spans="1:2">
      <c r="A36" s="380" t="s">
        <v>1640</v>
      </c>
    </row>
  </sheetData>
  <phoneticPr fontId="3"/>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B36"/>
  <sheetViews>
    <sheetView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1640</v>
      </c>
    </row>
    <row r="9" spans="1:1">
      <c r="A9" s="380" t="s">
        <v>1641</v>
      </c>
    </row>
    <row r="10" spans="1:1">
      <c r="A10" s="380" t="s">
        <v>1642</v>
      </c>
    </row>
    <row r="11" spans="1:1">
      <c r="A11" s="380" t="s">
        <v>1643</v>
      </c>
    </row>
    <row r="12" spans="1:1">
      <c r="A12" s="380" t="s">
        <v>1644</v>
      </c>
    </row>
    <row r="13" spans="1:1">
      <c r="A13" s="380" t="s">
        <v>1645</v>
      </c>
    </row>
    <row r="14" spans="1:1" s="381" customFormat="1">
      <c r="A14" s="381" t="s">
        <v>1646</v>
      </c>
    </row>
    <row r="15" spans="1:1" s="381" customFormat="1">
      <c r="A15" s="381" t="s">
        <v>1647</v>
      </c>
    </row>
    <row r="16" spans="1:1" s="381" customFormat="1">
      <c r="A16" s="381" t="s">
        <v>673</v>
      </c>
    </row>
    <row r="17" spans="1:2" s="381" customFormat="1">
      <c r="A17" s="381" t="s">
        <v>710</v>
      </c>
    </row>
    <row r="18" spans="1:2" s="381" customFormat="1">
      <c r="A18" s="381"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1648</v>
      </c>
    </row>
    <row r="36" spans="1:2">
      <c r="A36" s="380" t="s">
        <v>1649</v>
      </c>
    </row>
  </sheetData>
  <phoneticPr fontId="3"/>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dimension ref="A1:A158"/>
  <sheetViews>
    <sheetView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1668</v>
      </c>
    </row>
    <row r="6" spans="1:1">
      <c r="A6" s="380" t="s">
        <v>672</v>
      </c>
    </row>
    <row r="8" spans="1:1">
      <c r="A8" s="380" t="s">
        <v>1667</v>
      </c>
    </row>
    <row r="9" spans="1:1">
      <c r="A9" s="380" t="s">
        <v>1669</v>
      </c>
    </row>
    <row r="10" spans="1:1">
      <c r="A10" s="380" t="s">
        <v>1670</v>
      </c>
    </row>
    <row r="11" spans="1:1">
      <c r="A11" s="380" t="s">
        <v>1671</v>
      </c>
    </row>
    <row r="12" spans="1:1">
      <c r="A12" s="380" t="s">
        <v>1672</v>
      </c>
    </row>
    <row r="13" spans="1:1">
      <c r="A13" s="380" t="s">
        <v>1673</v>
      </c>
    </row>
    <row r="14" spans="1:1">
      <c r="A14" s="380" t="s">
        <v>1674</v>
      </c>
    </row>
    <row r="15" spans="1:1">
      <c r="A15" s="380" t="s">
        <v>1675</v>
      </c>
    </row>
    <row r="16" spans="1:1">
      <c r="A16" s="380" t="s">
        <v>1676</v>
      </c>
    </row>
    <row r="17" spans="1:1">
      <c r="A17" s="380" t="s">
        <v>1677</v>
      </c>
    </row>
    <row r="18" spans="1:1">
      <c r="A18" s="380" t="s">
        <v>1678</v>
      </c>
    </row>
    <row r="19" spans="1:1">
      <c r="A19" s="380" t="s">
        <v>1679</v>
      </c>
    </row>
    <row r="20" spans="1:1">
      <c r="A20" s="380" t="s">
        <v>1680</v>
      </c>
    </row>
    <row r="21" spans="1:1">
      <c r="A21" s="380" t="s">
        <v>1681</v>
      </c>
    </row>
    <row r="22" spans="1:1">
      <c r="A22" s="380" t="s">
        <v>1682</v>
      </c>
    </row>
    <row r="23" spans="1:1">
      <c r="A23" s="380" t="s">
        <v>1683</v>
      </c>
    </row>
    <row r="24" spans="1:1">
      <c r="A24" s="380" t="s">
        <v>1684</v>
      </c>
    </row>
    <row r="25" spans="1:1">
      <c r="A25" s="380" t="s">
        <v>1685</v>
      </c>
    </row>
    <row r="26" spans="1:1">
      <c r="A26" s="380" t="s">
        <v>1686</v>
      </c>
    </row>
    <row r="27" spans="1:1">
      <c r="A27" s="380" t="s">
        <v>1687</v>
      </c>
    </row>
    <row r="28" spans="1:1">
      <c r="A28" s="380" t="s">
        <v>1688</v>
      </c>
    </row>
    <row r="29" spans="1:1">
      <c r="A29" s="380" t="s">
        <v>1689</v>
      </c>
    </row>
    <row r="30" spans="1:1">
      <c r="A30" s="380" t="s">
        <v>1690</v>
      </c>
    </row>
    <row r="31" spans="1:1">
      <c r="A31" s="380" t="s">
        <v>1691</v>
      </c>
    </row>
    <row r="32" spans="1:1">
      <c r="A32" s="380" t="s">
        <v>1692</v>
      </c>
    </row>
    <row r="33" spans="1:1">
      <c r="A33" s="380" t="s">
        <v>1693</v>
      </c>
    </row>
    <row r="34" spans="1:1">
      <c r="A34" s="380" t="s">
        <v>1694</v>
      </c>
    </row>
    <row r="35" spans="1:1">
      <c r="A35" s="380" t="s">
        <v>1695</v>
      </c>
    </row>
    <row r="36" spans="1:1">
      <c r="A36" s="380" t="s">
        <v>1696</v>
      </c>
    </row>
    <row r="37" spans="1:1">
      <c r="A37" s="380" t="s">
        <v>1697</v>
      </c>
    </row>
    <row r="38" spans="1:1">
      <c r="A38" s="380" t="s">
        <v>1698</v>
      </c>
    </row>
    <row r="39" spans="1:1">
      <c r="A39" s="380" t="s">
        <v>1699</v>
      </c>
    </row>
    <row r="40" spans="1:1">
      <c r="A40" s="380" t="s">
        <v>1700</v>
      </c>
    </row>
    <row r="41" spans="1:1">
      <c r="A41" s="380" t="s">
        <v>1701</v>
      </c>
    </row>
    <row r="42" spans="1:1">
      <c r="A42" s="380" t="s">
        <v>1702</v>
      </c>
    </row>
    <row r="43" spans="1:1">
      <c r="A43" s="380" t="s">
        <v>1703</v>
      </c>
    </row>
    <row r="44" spans="1:1">
      <c r="A44" s="380" t="s">
        <v>1704</v>
      </c>
    </row>
    <row r="45" spans="1:1">
      <c r="A45" s="380" t="s">
        <v>1705</v>
      </c>
    </row>
    <row r="46" spans="1:1">
      <c r="A46" s="380" t="s">
        <v>1706</v>
      </c>
    </row>
    <row r="47" spans="1:1">
      <c r="A47" s="380" t="s">
        <v>1707</v>
      </c>
    </row>
    <row r="48" spans="1:1">
      <c r="A48" s="380" t="s">
        <v>1708</v>
      </c>
    </row>
    <row r="49" spans="1:1">
      <c r="A49" s="380" t="s">
        <v>1709</v>
      </c>
    </row>
    <row r="50" spans="1:1">
      <c r="A50" s="380" t="s">
        <v>1710</v>
      </c>
    </row>
    <row r="51" spans="1:1">
      <c r="A51" s="380" t="s">
        <v>1711</v>
      </c>
    </row>
    <row r="52" spans="1:1">
      <c r="A52" s="380" t="s">
        <v>1712</v>
      </c>
    </row>
    <row r="53" spans="1:1">
      <c r="A53" s="380" t="s">
        <v>1713</v>
      </c>
    </row>
    <row r="54" spans="1:1">
      <c r="A54" s="380" t="s">
        <v>1714</v>
      </c>
    </row>
    <row r="55" spans="1:1">
      <c r="A55" s="380" t="s">
        <v>1715</v>
      </c>
    </row>
    <row r="56" spans="1:1">
      <c r="A56" s="380" t="s">
        <v>1716</v>
      </c>
    </row>
    <row r="57" spans="1:1">
      <c r="A57" s="380" t="s">
        <v>1717</v>
      </c>
    </row>
    <row r="58" spans="1:1" s="381" customFormat="1">
      <c r="A58" s="381" t="s">
        <v>1718</v>
      </c>
    </row>
    <row r="59" spans="1:1">
      <c r="A59" s="380" t="s">
        <v>1719</v>
      </c>
    </row>
    <row r="60" spans="1:1">
      <c r="A60" s="380" t="s">
        <v>1720</v>
      </c>
    </row>
    <row r="61" spans="1:1">
      <c r="A61" s="380" t="s">
        <v>1721</v>
      </c>
    </row>
    <row r="62" spans="1:1">
      <c r="A62" s="380" t="s">
        <v>1722</v>
      </c>
    </row>
    <row r="63" spans="1:1">
      <c r="A63" s="380" t="s">
        <v>1723</v>
      </c>
    </row>
    <row r="64" spans="1:1">
      <c r="A64" s="380" t="s">
        <v>1724</v>
      </c>
    </row>
    <row r="65" spans="1:1">
      <c r="A65" s="380" t="s">
        <v>1725</v>
      </c>
    </row>
    <row r="66" spans="1:1">
      <c r="A66" s="380" t="s">
        <v>1726</v>
      </c>
    </row>
    <row r="67" spans="1:1">
      <c r="A67" s="380" t="s">
        <v>1727</v>
      </c>
    </row>
    <row r="68" spans="1:1">
      <c r="A68" s="380" t="s">
        <v>1728</v>
      </c>
    </row>
    <row r="69" spans="1:1">
      <c r="A69" s="380" t="s">
        <v>1729</v>
      </c>
    </row>
    <row r="70" spans="1:1">
      <c r="A70" s="380" t="s">
        <v>1730</v>
      </c>
    </row>
    <row r="71" spans="1:1">
      <c r="A71" s="380" t="s">
        <v>1731</v>
      </c>
    </row>
    <row r="72" spans="1:1">
      <c r="A72" s="380" t="s">
        <v>1732</v>
      </c>
    </row>
    <row r="73" spans="1:1">
      <c r="A73" s="380" t="s">
        <v>1733</v>
      </c>
    </row>
    <row r="74" spans="1:1">
      <c r="A74" s="380" t="s">
        <v>1734</v>
      </c>
    </row>
    <row r="75" spans="1:1">
      <c r="A75" s="380" t="s">
        <v>1735</v>
      </c>
    </row>
    <row r="76" spans="1:1">
      <c r="A76" s="380" t="s">
        <v>1736</v>
      </c>
    </row>
    <row r="77" spans="1:1">
      <c r="A77" s="380" t="s">
        <v>1737</v>
      </c>
    </row>
    <row r="78" spans="1:1">
      <c r="A78" s="380" t="s">
        <v>1738</v>
      </c>
    </row>
    <row r="79" spans="1:1">
      <c r="A79" s="380" t="s">
        <v>1739</v>
      </c>
    </row>
    <row r="80" spans="1:1">
      <c r="A80" s="380" t="s">
        <v>1740</v>
      </c>
    </row>
    <row r="81" spans="1:1">
      <c r="A81" s="380" t="s">
        <v>1741</v>
      </c>
    </row>
    <row r="82" spans="1:1">
      <c r="A82" s="380" t="s">
        <v>1742</v>
      </c>
    </row>
    <row r="83" spans="1:1">
      <c r="A83" s="380" t="s">
        <v>1743</v>
      </c>
    </row>
    <row r="84" spans="1:1">
      <c r="A84" s="380" t="s">
        <v>1744</v>
      </c>
    </row>
    <row r="85" spans="1:1">
      <c r="A85" s="380" t="s">
        <v>1745</v>
      </c>
    </row>
    <row r="86" spans="1:1">
      <c r="A86" s="380" t="s">
        <v>1746</v>
      </c>
    </row>
    <row r="87" spans="1:1">
      <c r="A87" s="380" t="s">
        <v>1747</v>
      </c>
    </row>
    <row r="88" spans="1:1">
      <c r="A88" s="380" t="s">
        <v>1748</v>
      </c>
    </row>
    <row r="89" spans="1:1">
      <c r="A89" s="380" t="s">
        <v>1749</v>
      </c>
    </row>
    <row r="90" spans="1:1">
      <c r="A90" s="380" t="s">
        <v>1750</v>
      </c>
    </row>
    <row r="91" spans="1:1">
      <c r="A91" s="380" t="s">
        <v>1751</v>
      </c>
    </row>
    <row r="92" spans="1:1">
      <c r="A92" s="380" t="s">
        <v>1752</v>
      </c>
    </row>
    <row r="93" spans="1:1">
      <c r="A93" s="380" t="s">
        <v>1753</v>
      </c>
    </row>
    <row r="94" spans="1:1">
      <c r="A94" s="380" t="s">
        <v>1754</v>
      </c>
    </row>
    <row r="95" spans="1:1">
      <c r="A95" s="380" t="s">
        <v>1755</v>
      </c>
    </row>
    <row r="96" spans="1:1">
      <c r="A96" s="380" t="s">
        <v>1756</v>
      </c>
    </row>
    <row r="97" spans="1:1">
      <c r="A97" s="380" t="s">
        <v>1757</v>
      </c>
    </row>
    <row r="98" spans="1:1">
      <c r="A98" s="380" t="s">
        <v>1758</v>
      </c>
    </row>
    <row r="99" spans="1:1">
      <c r="A99" s="380" t="s">
        <v>1759</v>
      </c>
    </row>
    <row r="100" spans="1:1">
      <c r="A100" s="380" t="s">
        <v>1760</v>
      </c>
    </row>
    <row r="101" spans="1:1">
      <c r="A101" s="380" t="s">
        <v>1761</v>
      </c>
    </row>
    <row r="103" spans="1:1">
      <c r="A103" s="380" t="s">
        <v>1762</v>
      </c>
    </row>
    <row r="104" spans="1:1">
      <c r="A104" s="380" t="s">
        <v>1029</v>
      </c>
    </row>
    <row r="105" spans="1:1">
      <c r="A105" s="380" t="s">
        <v>1763</v>
      </c>
    </row>
    <row r="106" spans="1:1">
      <c r="A106" s="380" t="s">
        <v>862</v>
      </c>
    </row>
    <row r="107" spans="1:1">
      <c r="A107" s="380" t="s">
        <v>1764</v>
      </c>
    </row>
    <row r="108" spans="1:1">
      <c r="A108" s="380" t="s">
        <v>864</v>
      </c>
    </row>
    <row r="109" spans="1:1">
      <c r="A109" s="380" t="s">
        <v>1765</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c r="A120" s="380" t="s">
        <v>876</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1766</v>
      </c>
    </row>
    <row r="142" spans="1:1">
      <c r="A142" s="380" t="s">
        <v>898</v>
      </c>
    </row>
    <row r="143" spans="1:1">
      <c r="A143" s="380" t="s">
        <v>1767</v>
      </c>
    </row>
    <row r="144" spans="1:1">
      <c r="A144" s="380" t="s">
        <v>900</v>
      </c>
    </row>
    <row r="145" spans="1:1">
      <c r="A145" s="380" t="s">
        <v>1035</v>
      </c>
    </row>
    <row r="146" spans="1:1">
      <c r="A146" s="380" t="s">
        <v>902</v>
      </c>
    </row>
    <row r="147" spans="1:1">
      <c r="A147" s="380" t="s">
        <v>903</v>
      </c>
    </row>
    <row r="148" spans="1:1">
      <c r="A148" s="380" t="s">
        <v>904</v>
      </c>
    </row>
    <row r="149" spans="1:1">
      <c r="A149" s="380" t="s">
        <v>905</v>
      </c>
    </row>
    <row r="150" spans="1:1">
      <c r="A150" s="380" t="s">
        <v>906</v>
      </c>
    </row>
    <row r="151" spans="1:1">
      <c r="A151" s="380" t="s">
        <v>907</v>
      </c>
    </row>
    <row r="152" spans="1:1" s="381" customFormat="1">
      <c r="A152" s="381" t="s">
        <v>1768</v>
      </c>
    </row>
    <row r="153" spans="1:1">
      <c r="A153" s="380" t="s">
        <v>909</v>
      </c>
    </row>
    <row r="154" spans="1:1">
      <c r="A154" s="380" t="s">
        <v>910</v>
      </c>
    </row>
    <row r="155" spans="1:1">
      <c r="A155" s="380" t="s">
        <v>911</v>
      </c>
    </row>
    <row r="156" spans="1:1">
      <c r="A156" s="380" t="s">
        <v>912</v>
      </c>
    </row>
    <row r="157" spans="1:1">
      <c r="A157" s="380" t="s">
        <v>913</v>
      </c>
    </row>
    <row r="158" spans="1:1">
      <c r="A158" s="380" t="s">
        <v>914</v>
      </c>
    </row>
  </sheetData>
  <phoneticPr fontId="3"/>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A1:B36"/>
  <sheetViews>
    <sheetView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1649</v>
      </c>
    </row>
    <row r="9" spans="1:1">
      <c r="A9" s="380" t="s">
        <v>1650</v>
      </c>
    </row>
    <row r="10" spans="1:1">
      <c r="A10" s="380" t="s">
        <v>1651</v>
      </c>
    </row>
    <row r="11" spans="1:1">
      <c r="A11" s="380" t="s">
        <v>1652</v>
      </c>
    </row>
    <row r="12" spans="1:1">
      <c r="A12" s="380" t="s">
        <v>1653</v>
      </c>
    </row>
    <row r="13" spans="1:1">
      <c r="A13" s="380" t="s">
        <v>1654</v>
      </c>
    </row>
    <row r="14" spans="1:1" s="381" customFormat="1">
      <c r="A14" s="381" t="s">
        <v>1655</v>
      </c>
    </row>
    <row r="15" spans="1:1" s="381" customFormat="1">
      <c r="A15" s="381" t="s">
        <v>1656</v>
      </c>
    </row>
    <row r="16" spans="1:1" s="381" customFormat="1">
      <c r="A16" s="381" t="s">
        <v>673</v>
      </c>
    </row>
    <row r="17" spans="1:2" s="381" customFormat="1">
      <c r="A17" s="381" t="s">
        <v>711</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1657</v>
      </c>
    </row>
    <row r="36" spans="1:2">
      <c r="A36" s="380" t="s">
        <v>1658</v>
      </c>
    </row>
  </sheetData>
  <phoneticPr fontId="3"/>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dimension ref="A1:B36"/>
  <sheetViews>
    <sheetView topLeftCell="A10" workbookViewId="0">
      <selection activeCell="M19" sqref="M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1658</v>
      </c>
    </row>
    <row r="9" spans="1:1">
      <c r="A9" s="380" t="s">
        <v>1659</v>
      </c>
    </row>
    <row r="10" spans="1:1">
      <c r="A10" s="380" t="s">
        <v>1660</v>
      </c>
    </row>
    <row r="11" spans="1:1">
      <c r="A11" s="380" t="s">
        <v>1661</v>
      </c>
    </row>
    <row r="12" spans="1:1">
      <c r="A12" s="380" t="s">
        <v>1662</v>
      </c>
    </row>
    <row r="13" spans="1:1">
      <c r="A13" s="380" t="s">
        <v>1663</v>
      </c>
    </row>
    <row r="14" spans="1:1" s="381" customFormat="1">
      <c r="A14" s="381" t="s">
        <v>1664</v>
      </c>
    </row>
    <row r="15" spans="1:1" s="381" customFormat="1">
      <c r="A15" s="381" t="s">
        <v>1665</v>
      </c>
    </row>
    <row r="16" spans="1:1" s="381" customFormat="1">
      <c r="A16" s="381" t="s">
        <v>673</v>
      </c>
    </row>
    <row r="17" spans="1:2" s="381" customFormat="1">
      <c r="A17" s="381" t="s">
        <v>712</v>
      </c>
    </row>
    <row r="18" spans="1:2" s="381" customFormat="1">
      <c r="A18" s="381"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1666</v>
      </c>
    </row>
    <row r="36" spans="1:2">
      <c r="A36" s="380" t="s">
        <v>1667</v>
      </c>
    </row>
  </sheetData>
  <phoneticPr fontId="3"/>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dimension ref="A1:A157"/>
  <sheetViews>
    <sheetView topLeftCell="A145" workbookViewId="0">
      <selection activeCell="A152" sqref="A152:IV152"/>
    </sheetView>
  </sheetViews>
  <sheetFormatPr defaultColWidth="9" defaultRowHeight="13"/>
  <cols>
    <col min="1" max="16384" width="9" style="380"/>
  </cols>
  <sheetData>
    <row r="1" spans="1:1">
      <c r="A1" s="380" t="s">
        <v>671</v>
      </c>
    </row>
    <row r="3" spans="1:1">
      <c r="A3" s="380" t="s">
        <v>670</v>
      </c>
    </row>
    <row r="4" spans="1:1">
      <c r="A4" s="380" t="s">
        <v>1769</v>
      </c>
    </row>
    <row r="6" spans="1:1">
      <c r="A6" s="380" t="s">
        <v>672</v>
      </c>
    </row>
    <row r="8" spans="1:1">
      <c r="A8" s="380" t="s">
        <v>1770</v>
      </c>
    </row>
    <row r="9" spans="1:1">
      <c r="A9" s="380" t="s">
        <v>1771</v>
      </c>
    </row>
    <row r="10" spans="1:1">
      <c r="A10" s="380" t="s">
        <v>1772</v>
      </c>
    </row>
    <row r="11" spans="1:1">
      <c r="A11" s="380" t="s">
        <v>1773</v>
      </c>
    </row>
    <row r="12" spans="1:1">
      <c r="A12" s="380" t="s">
        <v>1774</v>
      </c>
    </row>
    <row r="13" spans="1:1">
      <c r="A13" s="380" t="s">
        <v>1775</v>
      </c>
    </row>
    <row r="14" spans="1:1">
      <c r="A14" s="380" t="s">
        <v>1776</v>
      </c>
    </row>
    <row r="15" spans="1:1">
      <c r="A15" s="380" t="s">
        <v>1777</v>
      </c>
    </row>
    <row r="16" spans="1:1">
      <c r="A16" s="380" t="s">
        <v>1778</v>
      </c>
    </row>
    <row r="17" spans="1:1">
      <c r="A17" s="380" t="s">
        <v>1779</v>
      </c>
    </row>
    <row r="18" spans="1:1">
      <c r="A18" s="380" t="s">
        <v>1780</v>
      </c>
    </row>
    <row r="19" spans="1:1">
      <c r="A19" s="380" t="s">
        <v>1781</v>
      </c>
    </row>
    <row r="20" spans="1:1">
      <c r="A20" s="380" t="s">
        <v>1782</v>
      </c>
    </row>
    <row r="21" spans="1:1">
      <c r="A21" s="380" t="s">
        <v>1783</v>
      </c>
    </row>
    <row r="22" spans="1:1">
      <c r="A22" s="380" t="s">
        <v>1784</v>
      </c>
    </row>
    <row r="23" spans="1:1">
      <c r="A23" s="380" t="s">
        <v>1785</v>
      </c>
    </row>
    <row r="24" spans="1:1">
      <c r="A24" s="380" t="s">
        <v>1786</v>
      </c>
    </row>
    <row r="25" spans="1:1">
      <c r="A25" s="380" t="s">
        <v>1787</v>
      </c>
    </row>
    <row r="26" spans="1:1">
      <c r="A26" s="380" t="s">
        <v>1788</v>
      </c>
    </row>
    <row r="27" spans="1:1">
      <c r="A27" s="380" t="s">
        <v>1789</v>
      </c>
    </row>
    <row r="28" spans="1:1">
      <c r="A28" s="380" t="s">
        <v>1790</v>
      </c>
    </row>
    <row r="29" spans="1:1">
      <c r="A29" s="380" t="s">
        <v>1791</v>
      </c>
    </row>
    <row r="30" spans="1:1">
      <c r="A30" s="380" t="s">
        <v>1792</v>
      </c>
    </row>
    <row r="31" spans="1:1">
      <c r="A31" s="380" t="s">
        <v>1793</v>
      </c>
    </row>
    <row r="32" spans="1:1">
      <c r="A32" s="380" t="s">
        <v>1794</v>
      </c>
    </row>
    <row r="33" spans="1:1">
      <c r="A33" s="380" t="s">
        <v>1795</v>
      </c>
    </row>
    <row r="34" spans="1:1">
      <c r="A34" s="380" t="s">
        <v>1796</v>
      </c>
    </row>
    <row r="35" spans="1:1">
      <c r="A35" s="380" t="s">
        <v>1797</v>
      </c>
    </row>
    <row r="36" spans="1:1">
      <c r="A36" s="380" t="s">
        <v>1798</v>
      </c>
    </row>
    <row r="37" spans="1:1">
      <c r="A37" s="380" t="s">
        <v>1799</v>
      </c>
    </row>
    <row r="38" spans="1:1">
      <c r="A38" s="380" t="s">
        <v>1800</v>
      </c>
    </row>
    <row r="39" spans="1:1">
      <c r="A39" s="380" t="s">
        <v>1801</v>
      </c>
    </row>
    <row r="40" spans="1:1">
      <c r="A40" s="380" t="s">
        <v>1802</v>
      </c>
    </row>
    <row r="41" spans="1:1">
      <c r="A41" s="380" t="s">
        <v>1803</v>
      </c>
    </row>
    <row r="42" spans="1:1">
      <c r="A42" s="380" t="s">
        <v>1804</v>
      </c>
    </row>
    <row r="43" spans="1:1">
      <c r="A43" s="380" t="s">
        <v>1805</v>
      </c>
    </row>
    <row r="44" spans="1:1">
      <c r="A44" s="380" t="s">
        <v>1806</v>
      </c>
    </row>
    <row r="45" spans="1:1">
      <c r="A45" s="380" t="s">
        <v>1807</v>
      </c>
    </row>
    <row r="46" spans="1:1">
      <c r="A46" s="380" t="s">
        <v>1808</v>
      </c>
    </row>
    <row r="47" spans="1:1">
      <c r="A47" s="380" t="s">
        <v>1809</v>
      </c>
    </row>
    <row r="48" spans="1:1">
      <c r="A48" s="380" t="s">
        <v>1810</v>
      </c>
    </row>
    <row r="49" spans="1:1">
      <c r="A49" s="380" t="s">
        <v>1811</v>
      </c>
    </row>
    <row r="50" spans="1:1">
      <c r="A50" s="380" t="s">
        <v>1812</v>
      </c>
    </row>
    <row r="51" spans="1:1">
      <c r="A51" s="380" t="s">
        <v>1813</v>
      </c>
    </row>
    <row r="52" spans="1:1">
      <c r="A52" s="380" t="s">
        <v>1814</v>
      </c>
    </row>
    <row r="53" spans="1:1">
      <c r="A53" s="380" t="s">
        <v>1815</v>
      </c>
    </row>
    <row r="54" spans="1:1">
      <c r="A54" s="380" t="s">
        <v>1816</v>
      </c>
    </row>
    <row r="55" spans="1:1">
      <c r="A55" s="380" t="s">
        <v>1817</v>
      </c>
    </row>
    <row r="56" spans="1:1">
      <c r="A56" s="380" t="s">
        <v>1818</v>
      </c>
    </row>
    <row r="57" spans="1:1">
      <c r="A57" s="380" t="s">
        <v>1819</v>
      </c>
    </row>
    <row r="58" spans="1:1" s="381" customFormat="1">
      <c r="A58" s="381" t="s">
        <v>1820</v>
      </c>
    </row>
    <row r="59" spans="1:1">
      <c r="A59" s="380" t="s">
        <v>1821</v>
      </c>
    </row>
    <row r="60" spans="1:1">
      <c r="A60" s="380" t="s">
        <v>1822</v>
      </c>
    </row>
    <row r="61" spans="1:1">
      <c r="A61" s="380" t="s">
        <v>1823</v>
      </c>
    </row>
    <row r="62" spans="1:1">
      <c r="A62" s="380" t="s">
        <v>1824</v>
      </c>
    </row>
    <row r="63" spans="1:1">
      <c r="A63" s="380" t="s">
        <v>1825</v>
      </c>
    </row>
    <row r="64" spans="1:1">
      <c r="A64" s="380" t="s">
        <v>1826</v>
      </c>
    </row>
    <row r="65" spans="1:1">
      <c r="A65" s="380" t="s">
        <v>1827</v>
      </c>
    </row>
    <row r="66" spans="1:1">
      <c r="A66" s="380" t="s">
        <v>1828</v>
      </c>
    </row>
    <row r="67" spans="1:1">
      <c r="A67" s="380" t="s">
        <v>1829</v>
      </c>
    </row>
    <row r="68" spans="1:1">
      <c r="A68" s="380" t="s">
        <v>1830</v>
      </c>
    </row>
    <row r="69" spans="1:1">
      <c r="A69" s="380" t="s">
        <v>1831</v>
      </c>
    </row>
    <row r="70" spans="1:1">
      <c r="A70" s="380" t="s">
        <v>1832</v>
      </c>
    </row>
    <row r="71" spans="1:1">
      <c r="A71" s="380" t="s">
        <v>1833</v>
      </c>
    </row>
    <row r="72" spans="1:1">
      <c r="A72" s="380" t="s">
        <v>1834</v>
      </c>
    </row>
    <row r="73" spans="1:1">
      <c r="A73" s="380" t="s">
        <v>1835</v>
      </c>
    </row>
    <row r="74" spans="1:1">
      <c r="A74" s="380" t="s">
        <v>1836</v>
      </c>
    </row>
    <row r="75" spans="1:1">
      <c r="A75" s="380" t="s">
        <v>1837</v>
      </c>
    </row>
    <row r="76" spans="1:1">
      <c r="A76" s="380" t="s">
        <v>1838</v>
      </c>
    </row>
    <row r="77" spans="1:1">
      <c r="A77" s="380" t="s">
        <v>1839</v>
      </c>
    </row>
    <row r="78" spans="1:1">
      <c r="A78" s="380" t="s">
        <v>1840</v>
      </c>
    </row>
    <row r="79" spans="1:1">
      <c r="A79" s="380" t="s">
        <v>1841</v>
      </c>
    </row>
    <row r="80" spans="1:1">
      <c r="A80" s="380" t="s">
        <v>1842</v>
      </c>
    </row>
    <row r="81" spans="1:1">
      <c r="A81" s="380" t="s">
        <v>1843</v>
      </c>
    </row>
    <row r="82" spans="1:1">
      <c r="A82" s="380" t="s">
        <v>1844</v>
      </c>
    </row>
    <row r="83" spans="1:1">
      <c r="A83" s="380" t="s">
        <v>1845</v>
      </c>
    </row>
    <row r="84" spans="1:1">
      <c r="A84" s="380" t="s">
        <v>1846</v>
      </c>
    </row>
    <row r="85" spans="1:1">
      <c r="A85" s="380" t="s">
        <v>1847</v>
      </c>
    </row>
    <row r="86" spans="1:1">
      <c r="A86" s="380" t="s">
        <v>1848</v>
      </c>
    </row>
    <row r="87" spans="1:1">
      <c r="A87" s="380" t="s">
        <v>1849</v>
      </c>
    </row>
    <row r="88" spans="1:1">
      <c r="A88" s="380" t="s">
        <v>1850</v>
      </c>
    </row>
    <row r="89" spans="1:1">
      <c r="A89" s="380" t="s">
        <v>1851</v>
      </c>
    </row>
    <row r="90" spans="1:1">
      <c r="A90" s="380" t="s">
        <v>1852</v>
      </c>
    </row>
    <row r="91" spans="1:1">
      <c r="A91" s="380" t="s">
        <v>1853</v>
      </c>
    </row>
    <row r="92" spans="1:1">
      <c r="A92" s="380" t="s">
        <v>1854</v>
      </c>
    </row>
    <row r="93" spans="1:1">
      <c r="A93" s="380" t="s">
        <v>1855</v>
      </c>
    </row>
    <row r="94" spans="1:1">
      <c r="A94" s="380" t="s">
        <v>1856</v>
      </c>
    </row>
    <row r="95" spans="1:1">
      <c r="A95" s="380" t="s">
        <v>1857</v>
      </c>
    </row>
    <row r="96" spans="1:1">
      <c r="A96" s="380" t="s">
        <v>1858</v>
      </c>
    </row>
    <row r="97" spans="1:1">
      <c r="A97" s="380" t="s">
        <v>1859</v>
      </c>
    </row>
    <row r="98" spans="1:1">
      <c r="A98" s="380" t="s">
        <v>1860</v>
      </c>
    </row>
    <row r="99" spans="1:1">
      <c r="A99" s="380" t="s">
        <v>1861</v>
      </c>
    </row>
    <row r="100" spans="1:1">
      <c r="A100" s="380" t="s">
        <v>1862</v>
      </c>
    </row>
    <row r="102" spans="1:1">
      <c r="A102" s="380" t="s">
        <v>1863</v>
      </c>
    </row>
    <row r="103" spans="1:1">
      <c r="A103" s="380" t="s">
        <v>1029</v>
      </c>
    </row>
    <row r="104" spans="1:1">
      <c r="A104" s="380" t="s">
        <v>1864</v>
      </c>
    </row>
    <row r="105" spans="1:1">
      <c r="A105" s="380" t="s">
        <v>862</v>
      </c>
    </row>
    <row r="106" spans="1:1">
      <c r="A106" s="380" t="s">
        <v>1865</v>
      </c>
    </row>
    <row r="107" spans="1:1">
      <c r="A107" s="380" t="s">
        <v>864</v>
      </c>
    </row>
    <row r="108" spans="1:1">
      <c r="A108" s="380" t="s">
        <v>1866</v>
      </c>
    </row>
    <row r="109" spans="1:1">
      <c r="A109" s="380" t="s">
        <v>866</v>
      </c>
    </row>
    <row r="110" spans="1:1">
      <c r="A110" s="380" t="s">
        <v>867</v>
      </c>
    </row>
    <row r="111" spans="1:1">
      <c r="A111" s="380" t="s">
        <v>868</v>
      </c>
    </row>
    <row r="112" spans="1:1">
      <c r="A112" s="380" t="s">
        <v>869</v>
      </c>
    </row>
    <row r="113" spans="1:1">
      <c r="A113" s="380" t="s">
        <v>870</v>
      </c>
    </row>
    <row r="114" spans="1:1">
      <c r="A114" s="380" t="s">
        <v>871</v>
      </c>
    </row>
    <row r="115" spans="1:1">
      <c r="A115" s="380" t="s">
        <v>872</v>
      </c>
    </row>
    <row r="116" spans="1:1">
      <c r="A116" s="380" t="s">
        <v>873</v>
      </c>
    </row>
    <row r="117" spans="1:1">
      <c r="A117" s="380" t="s">
        <v>874</v>
      </c>
    </row>
    <row r="118" spans="1:1">
      <c r="A118" s="380" t="s">
        <v>875</v>
      </c>
    </row>
    <row r="119" spans="1:1">
      <c r="A119" s="380" t="s">
        <v>876</v>
      </c>
    </row>
    <row r="120" spans="1:1">
      <c r="A120" s="380" t="s">
        <v>877</v>
      </c>
    </row>
    <row r="121" spans="1:1">
      <c r="A121" s="380" t="s">
        <v>878</v>
      </c>
    </row>
    <row r="122" spans="1:1">
      <c r="A122" s="380" t="s">
        <v>879</v>
      </c>
    </row>
    <row r="123" spans="1:1">
      <c r="A123" s="380" t="s">
        <v>880</v>
      </c>
    </row>
    <row r="124" spans="1:1">
      <c r="A124" s="380" t="s">
        <v>881</v>
      </c>
    </row>
    <row r="125" spans="1:1">
      <c r="A125" s="380" t="s">
        <v>882</v>
      </c>
    </row>
    <row r="126" spans="1:1">
      <c r="A126" s="380" t="s">
        <v>883</v>
      </c>
    </row>
    <row r="127" spans="1:1">
      <c r="A127" s="380" t="s">
        <v>884</v>
      </c>
    </row>
    <row r="128" spans="1:1">
      <c r="A128" s="380" t="s">
        <v>885</v>
      </c>
    </row>
    <row r="129" spans="1:1">
      <c r="A129" s="380" t="s">
        <v>886</v>
      </c>
    </row>
    <row r="130" spans="1:1">
      <c r="A130" s="380" t="s">
        <v>887</v>
      </c>
    </row>
    <row r="131" spans="1:1">
      <c r="A131" s="380" t="s">
        <v>888</v>
      </c>
    </row>
    <row r="132" spans="1:1">
      <c r="A132" s="380" t="s">
        <v>889</v>
      </c>
    </row>
    <row r="133" spans="1:1">
      <c r="A133" s="380" t="s">
        <v>890</v>
      </c>
    </row>
    <row r="134" spans="1:1">
      <c r="A134" s="380" t="s">
        <v>891</v>
      </c>
    </row>
    <row r="135" spans="1:1">
      <c r="A135" s="380" t="s">
        <v>892</v>
      </c>
    </row>
    <row r="136" spans="1:1">
      <c r="A136" s="380" t="s">
        <v>893</v>
      </c>
    </row>
    <row r="137" spans="1:1">
      <c r="A137" s="380" t="s">
        <v>894</v>
      </c>
    </row>
    <row r="138" spans="1:1">
      <c r="A138" s="380" t="s">
        <v>895</v>
      </c>
    </row>
    <row r="139" spans="1:1">
      <c r="A139" s="380" t="s">
        <v>896</v>
      </c>
    </row>
    <row r="140" spans="1:1">
      <c r="A140" s="380" t="s">
        <v>1867</v>
      </c>
    </row>
    <row r="141" spans="1:1">
      <c r="A141" s="380" t="s">
        <v>898</v>
      </c>
    </row>
    <row r="142" spans="1:1">
      <c r="A142" s="380" t="s">
        <v>1868</v>
      </c>
    </row>
    <row r="143" spans="1:1">
      <c r="A143" s="380" t="s">
        <v>900</v>
      </c>
    </row>
    <row r="144" spans="1:1">
      <c r="A144" s="380" t="s">
        <v>1035</v>
      </c>
    </row>
    <row r="145" spans="1:1">
      <c r="A145" s="380" t="s">
        <v>902</v>
      </c>
    </row>
    <row r="146" spans="1:1">
      <c r="A146" s="380" t="s">
        <v>903</v>
      </c>
    </row>
    <row r="147" spans="1:1">
      <c r="A147" s="380" t="s">
        <v>904</v>
      </c>
    </row>
    <row r="148" spans="1:1">
      <c r="A148" s="380" t="s">
        <v>905</v>
      </c>
    </row>
    <row r="149" spans="1:1">
      <c r="A149" s="380" t="s">
        <v>906</v>
      </c>
    </row>
    <row r="150" spans="1:1">
      <c r="A150" s="380" t="s">
        <v>907</v>
      </c>
    </row>
    <row r="151" spans="1:1">
      <c r="A151" s="380" t="s">
        <v>908</v>
      </c>
    </row>
    <row r="152" spans="1:1" s="381" customFormat="1">
      <c r="A152" s="381" t="s">
        <v>1869</v>
      </c>
    </row>
    <row r="153" spans="1:1">
      <c r="A153" s="380" t="s">
        <v>910</v>
      </c>
    </row>
    <row r="154" spans="1:1">
      <c r="A154" s="380" t="s">
        <v>911</v>
      </c>
    </row>
    <row r="155" spans="1:1">
      <c r="A155" s="380" t="s">
        <v>912</v>
      </c>
    </row>
    <row r="156" spans="1:1">
      <c r="A156" s="380" t="s">
        <v>913</v>
      </c>
    </row>
    <row r="157" spans="1:1">
      <c r="A157" s="380" t="s">
        <v>914</v>
      </c>
    </row>
  </sheetData>
  <phoneticPr fontId="3"/>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dimension ref="A1:B36"/>
  <sheetViews>
    <sheetView workbookViewId="0">
      <selection activeCell="M9" sqref="M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1862</v>
      </c>
    </row>
    <row r="9" spans="1:1">
      <c r="A9" s="380" t="s">
        <v>1870</v>
      </c>
    </row>
    <row r="10" spans="1:1">
      <c r="A10" s="380" t="s">
        <v>1871</v>
      </c>
    </row>
    <row r="11" spans="1:1">
      <c r="A11" s="380" t="s">
        <v>1872</v>
      </c>
    </row>
    <row r="12" spans="1:1">
      <c r="A12" s="380" t="s">
        <v>1873</v>
      </c>
    </row>
    <row r="13" spans="1:1">
      <c r="A13" s="380" t="s">
        <v>1874</v>
      </c>
    </row>
    <row r="14" spans="1:1" s="381" customFormat="1">
      <c r="A14" s="381" t="s">
        <v>1875</v>
      </c>
    </row>
    <row r="15" spans="1:1" s="381" customFormat="1">
      <c r="A15" s="381" t="s">
        <v>1876</v>
      </c>
    </row>
    <row r="16" spans="1:1" s="381" customFormat="1">
      <c r="A16" s="381" t="s">
        <v>673</v>
      </c>
    </row>
    <row r="17" spans="1:2" s="381" customFormat="1">
      <c r="A17" s="381" t="s">
        <v>713</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1877</v>
      </c>
    </row>
    <row r="36" spans="1:2">
      <c r="A36" s="380" t="s">
        <v>1878</v>
      </c>
    </row>
  </sheetData>
  <phoneticPr fontId="3"/>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dimension ref="A1:B36"/>
  <sheetViews>
    <sheetView workbookViewId="0">
      <selection activeCell="A14" sqref="A14:IV18"/>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1878</v>
      </c>
    </row>
    <row r="9" spans="1:1">
      <c r="A9" s="380" t="s">
        <v>1879</v>
      </c>
    </row>
    <row r="10" spans="1:1">
      <c r="A10" s="380" t="s">
        <v>1880</v>
      </c>
    </row>
    <row r="11" spans="1:1">
      <c r="A11" s="380" t="s">
        <v>1881</v>
      </c>
    </row>
    <row r="12" spans="1:1">
      <c r="A12" s="380" t="s">
        <v>1882</v>
      </c>
    </row>
    <row r="13" spans="1:1">
      <c r="A13" s="380" t="s">
        <v>1883</v>
      </c>
    </row>
    <row r="14" spans="1:1" s="381" customFormat="1">
      <c r="A14" s="381" t="s">
        <v>1884</v>
      </c>
    </row>
    <row r="15" spans="1:1" s="381" customFormat="1">
      <c r="A15" s="381" t="s">
        <v>1885</v>
      </c>
    </row>
    <row r="16" spans="1:1" s="381" customFormat="1">
      <c r="A16" s="381" t="s">
        <v>673</v>
      </c>
    </row>
    <row r="17" spans="1:2" s="381" customFormat="1">
      <c r="A17" s="381" t="s">
        <v>714</v>
      </c>
    </row>
    <row r="18" spans="1:2" s="381" customFormat="1">
      <c r="A18" s="381"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1886</v>
      </c>
    </row>
    <row r="36" spans="1:2">
      <c r="A36" s="380" t="s">
        <v>1887</v>
      </c>
    </row>
  </sheetData>
  <phoneticPr fontId="3"/>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dimension ref="A1:A158"/>
  <sheetViews>
    <sheetView topLeftCell="A49" workbookViewId="0">
      <selection activeCell="A60" sqref="A60:IV60"/>
    </sheetView>
  </sheetViews>
  <sheetFormatPr defaultColWidth="9" defaultRowHeight="13"/>
  <cols>
    <col min="1" max="16384" width="9" style="380"/>
  </cols>
  <sheetData>
    <row r="1" spans="1:1">
      <c r="A1" s="380" t="s">
        <v>671</v>
      </c>
    </row>
    <row r="3" spans="1:1">
      <c r="A3" s="380" t="s">
        <v>670</v>
      </c>
    </row>
    <row r="4" spans="1:1">
      <c r="A4" s="380" t="s">
        <v>1888</v>
      </c>
    </row>
    <row r="6" spans="1:1">
      <c r="A6" s="380" t="s">
        <v>672</v>
      </c>
    </row>
    <row r="8" spans="1:1">
      <c r="A8" s="380" t="s">
        <v>1887</v>
      </c>
    </row>
    <row r="9" spans="1:1">
      <c r="A9" s="380" t="s">
        <v>1889</v>
      </c>
    </row>
    <row r="10" spans="1:1">
      <c r="A10" s="380" t="s">
        <v>1890</v>
      </c>
    </row>
    <row r="11" spans="1:1">
      <c r="A11" s="380" t="s">
        <v>1891</v>
      </c>
    </row>
    <row r="12" spans="1:1">
      <c r="A12" s="380" t="s">
        <v>1892</v>
      </c>
    </row>
    <row r="13" spans="1:1">
      <c r="A13" s="380" t="s">
        <v>1893</v>
      </c>
    </row>
    <row r="14" spans="1:1">
      <c r="A14" s="380" t="s">
        <v>1894</v>
      </c>
    </row>
    <row r="15" spans="1:1">
      <c r="A15" s="380" t="s">
        <v>1895</v>
      </c>
    </row>
    <row r="16" spans="1:1">
      <c r="A16" s="380" t="s">
        <v>1896</v>
      </c>
    </row>
    <row r="17" spans="1:1">
      <c r="A17" s="380" t="s">
        <v>1897</v>
      </c>
    </row>
    <row r="18" spans="1:1">
      <c r="A18" s="380" t="s">
        <v>1898</v>
      </c>
    </row>
    <row r="19" spans="1:1">
      <c r="A19" s="380" t="s">
        <v>1899</v>
      </c>
    </row>
    <row r="20" spans="1:1">
      <c r="A20" s="380" t="s">
        <v>1900</v>
      </c>
    </row>
    <row r="21" spans="1:1">
      <c r="A21" s="380" t="s">
        <v>1901</v>
      </c>
    </row>
    <row r="22" spans="1:1">
      <c r="A22" s="380" t="s">
        <v>1902</v>
      </c>
    </row>
    <row r="23" spans="1:1">
      <c r="A23" s="380" t="s">
        <v>1903</v>
      </c>
    </row>
    <row r="24" spans="1:1">
      <c r="A24" s="380" t="s">
        <v>1904</v>
      </c>
    </row>
    <row r="25" spans="1:1">
      <c r="A25" s="380" t="s">
        <v>1905</v>
      </c>
    </row>
    <row r="26" spans="1:1">
      <c r="A26" s="380" t="s">
        <v>1906</v>
      </c>
    </row>
    <row r="27" spans="1:1">
      <c r="A27" s="380" t="s">
        <v>1907</v>
      </c>
    </row>
    <row r="28" spans="1:1">
      <c r="A28" s="380" t="s">
        <v>1908</v>
      </c>
    </row>
    <row r="29" spans="1:1">
      <c r="A29" s="380" t="s">
        <v>1909</v>
      </c>
    </row>
    <row r="30" spans="1:1">
      <c r="A30" s="380" t="s">
        <v>1910</v>
      </c>
    </row>
    <row r="31" spans="1:1">
      <c r="A31" s="380" t="s">
        <v>1911</v>
      </c>
    </row>
    <row r="32" spans="1:1">
      <c r="A32" s="380" t="s">
        <v>1912</v>
      </c>
    </row>
    <row r="33" spans="1:1">
      <c r="A33" s="380" t="s">
        <v>1913</v>
      </c>
    </row>
    <row r="34" spans="1:1">
      <c r="A34" s="380" t="s">
        <v>1914</v>
      </c>
    </row>
    <row r="35" spans="1:1">
      <c r="A35" s="380" t="s">
        <v>1915</v>
      </c>
    </row>
    <row r="36" spans="1:1">
      <c r="A36" s="380" t="s">
        <v>1916</v>
      </c>
    </row>
    <row r="37" spans="1:1">
      <c r="A37" s="380" t="s">
        <v>1917</v>
      </c>
    </row>
    <row r="38" spans="1:1">
      <c r="A38" s="380" t="s">
        <v>1918</v>
      </c>
    </row>
    <row r="39" spans="1:1">
      <c r="A39" s="380" t="s">
        <v>1919</v>
      </c>
    </row>
    <row r="40" spans="1:1">
      <c r="A40" s="380" t="s">
        <v>1920</v>
      </c>
    </row>
    <row r="41" spans="1:1">
      <c r="A41" s="380" t="s">
        <v>1921</v>
      </c>
    </row>
    <row r="42" spans="1:1">
      <c r="A42" s="380" t="s">
        <v>1922</v>
      </c>
    </row>
    <row r="43" spans="1:1">
      <c r="A43" s="380" t="s">
        <v>1923</v>
      </c>
    </row>
    <row r="44" spans="1:1">
      <c r="A44" s="380" t="s">
        <v>1924</v>
      </c>
    </row>
    <row r="45" spans="1:1">
      <c r="A45" s="380" t="s">
        <v>1925</v>
      </c>
    </row>
    <row r="46" spans="1:1">
      <c r="A46" s="380" t="s">
        <v>1926</v>
      </c>
    </row>
    <row r="47" spans="1:1">
      <c r="A47" s="380" t="s">
        <v>1927</v>
      </c>
    </row>
    <row r="48" spans="1:1">
      <c r="A48" s="380" t="s">
        <v>1928</v>
      </c>
    </row>
    <row r="49" spans="1:1">
      <c r="A49" s="380" t="s">
        <v>1929</v>
      </c>
    </row>
    <row r="50" spans="1:1">
      <c r="A50" s="380" t="s">
        <v>1930</v>
      </c>
    </row>
    <row r="51" spans="1:1">
      <c r="A51" s="380" t="s">
        <v>1931</v>
      </c>
    </row>
    <row r="52" spans="1:1">
      <c r="A52" s="380" t="s">
        <v>1932</v>
      </c>
    </row>
    <row r="53" spans="1:1">
      <c r="A53" s="380" t="s">
        <v>1933</v>
      </c>
    </row>
    <row r="54" spans="1:1">
      <c r="A54" s="380" t="s">
        <v>1934</v>
      </c>
    </row>
    <row r="55" spans="1:1">
      <c r="A55" s="380" t="s">
        <v>1935</v>
      </c>
    </row>
    <row r="56" spans="1:1">
      <c r="A56" s="380" t="s">
        <v>1936</v>
      </c>
    </row>
    <row r="57" spans="1:1">
      <c r="A57" s="380" t="s">
        <v>1937</v>
      </c>
    </row>
    <row r="58" spans="1:1">
      <c r="A58" s="380" t="s">
        <v>1938</v>
      </c>
    </row>
    <row r="59" spans="1:1">
      <c r="A59" s="380" t="s">
        <v>1939</v>
      </c>
    </row>
    <row r="60" spans="1:1" s="381" customFormat="1">
      <c r="A60" s="381" t="s">
        <v>1940</v>
      </c>
    </row>
    <row r="61" spans="1:1">
      <c r="A61" s="380" t="s">
        <v>1941</v>
      </c>
    </row>
    <row r="62" spans="1:1">
      <c r="A62" s="380" t="s">
        <v>1942</v>
      </c>
    </row>
    <row r="63" spans="1:1">
      <c r="A63" s="380" t="s">
        <v>1943</v>
      </c>
    </row>
    <row r="64" spans="1:1">
      <c r="A64" s="380" t="s">
        <v>1944</v>
      </c>
    </row>
    <row r="65" spans="1:1">
      <c r="A65" s="380" t="s">
        <v>1945</v>
      </c>
    </row>
    <row r="66" spans="1:1">
      <c r="A66" s="380" t="s">
        <v>1946</v>
      </c>
    </row>
    <row r="67" spans="1:1">
      <c r="A67" s="380" t="s">
        <v>1947</v>
      </c>
    </row>
    <row r="68" spans="1:1">
      <c r="A68" s="380" t="s">
        <v>1948</v>
      </c>
    </row>
    <row r="69" spans="1:1">
      <c r="A69" s="380" t="s">
        <v>1949</v>
      </c>
    </row>
    <row r="70" spans="1:1">
      <c r="A70" s="380" t="s">
        <v>1950</v>
      </c>
    </row>
    <row r="71" spans="1:1">
      <c r="A71" s="380" t="s">
        <v>1951</v>
      </c>
    </row>
    <row r="72" spans="1:1">
      <c r="A72" s="380" t="s">
        <v>1952</v>
      </c>
    </row>
    <row r="73" spans="1:1">
      <c r="A73" s="380" t="s">
        <v>1953</v>
      </c>
    </row>
    <row r="74" spans="1:1">
      <c r="A74" s="380" t="s">
        <v>1954</v>
      </c>
    </row>
    <row r="75" spans="1:1">
      <c r="A75" s="380" t="s">
        <v>1955</v>
      </c>
    </row>
    <row r="76" spans="1:1">
      <c r="A76" s="380" t="s">
        <v>1956</v>
      </c>
    </row>
    <row r="77" spans="1:1">
      <c r="A77" s="380" t="s">
        <v>1957</v>
      </c>
    </row>
    <row r="78" spans="1:1">
      <c r="A78" s="380" t="s">
        <v>1958</v>
      </c>
    </row>
    <row r="79" spans="1:1">
      <c r="A79" s="380" t="s">
        <v>1959</v>
      </c>
    </row>
    <row r="80" spans="1:1">
      <c r="A80" s="380" t="s">
        <v>1960</v>
      </c>
    </row>
    <row r="81" spans="1:1">
      <c r="A81" s="380" t="s">
        <v>1961</v>
      </c>
    </row>
    <row r="82" spans="1:1">
      <c r="A82" s="380" t="s">
        <v>1962</v>
      </c>
    </row>
    <row r="83" spans="1:1">
      <c r="A83" s="380" t="s">
        <v>1963</v>
      </c>
    </row>
    <row r="84" spans="1:1">
      <c r="A84" s="380" t="s">
        <v>1964</v>
      </c>
    </row>
    <row r="85" spans="1:1">
      <c r="A85" s="380" t="s">
        <v>1965</v>
      </c>
    </row>
    <row r="86" spans="1:1">
      <c r="A86" s="380" t="s">
        <v>1966</v>
      </c>
    </row>
    <row r="87" spans="1:1">
      <c r="A87" s="380" t="s">
        <v>1967</v>
      </c>
    </row>
    <row r="88" spans="1:1">
      <c r="A88" s="380" t="s">
        <v>1968</v>
      </c>
    </row>
    <row r="89" spans="1:1">
      <c r="A89" s="380" t="s">
        <v>1969</v>
      </c>
    </row>
    <row r="90" spans="1:1">
      <c r="A90" s="380" t="s">
        <v>1970</v>
      </c>
    </row>
    <row r="91" spans="1:1">
      <c r="A91" s="380" t="s">
        <v>1971</v>
      </c>
    </row>
    <row r="92" spans="1:1">
      <c r="A92" s="380" t="s">
        <v>1972</v>
      </c>
    </row>
    <row r="93" spans="1:1">
      <c r="A93" s="380" t="s">
        <v>1973</v>
      </c>
    </row>
    <row r="94" spans="1:1">
      <c r="A94" s="380" t="s">
        <v>1974</v>
      </c>
    </row>
    <row r="95" spans="1:1">
      <c r="A95" s="380" t="s">
        <v>1975</v>
      </c>
    </row>
    <row r="96" spans="1:1">
      <c r="A96" s="380" t="s">
        <v>1976</v>
      </c>
    </row>
    <row r="97" spans="1:1">
      <c r="A97" s="380" t="s">
        <v>1977</v>
      </c>
    </row>
    <row r="98" spans="1:1">
      <c r="A98" s="380" t="s">
        <v>1978</v>
      </c>
    </row>
    <row r="99" spans="1:1">
      <c r="A99" s="380" t="s">
        <v>1979</v>
      </c>
    </row>
    <row r="100" spans="1:1">
      <c r="A100" s="380" t="s">
        <v>1980</v>
      </c>
    </row>
    <row r="101" spans="1:1">
      <c r="A101" s="380" t="s">
        <v>1981</v>
      </c>
    </row>
    <row r="103" spans="1:1">
      <c r="A103" s="380" t="s">
        <v>1982</v>
      </c>
    </row>
    <row r="104" spans="1:1">
      <c r="A104" s="380" t="s">
        <v>1029</v>
      </c>
    </row>
    <row r="105" spans="1:1">
      <c r="A105" s="380" t="s">
        <v>1983</v>
      </c>
    </row>
    <row r="106" spans="1:1">
      <c r="A106" s="380" t="s">
        <v>862</v>
      </c>
    </row>
    <row r="107" spans="1:1">
      <c r="A107" s="380" t="s">
        <v>1984</v>
      </c>
    </row>
    <row r="108" spans="1:1">
      <c r="A108" s="380" t="s">
        <v>864</v>
      </c>
    </row>
    <row r="109" spans="1:1">
      <c r="A109" s="380" t="s">
        <v>1985</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c r="A120" s="380" t="s">
        <v>876</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1986</v>
      </c>
    </row>
    <row r="142" spans="1:1">
      <c r="A142" s="380" t="s">
        <v>898</v>
      </c>
    </row>
    <row r="143" spans="1:1">
      <c r="A143" s="380" t="s">
        <v>1987</v>
      </c>
    </row>
    <row r="144" spans="1:1">
      <c r="A144" s="380" t="s">
        <v>900</v>
      </c>
    </row>
    <row r="145" spans="1:1">
      <c r="A145" s="380" t="s">
        <v>1035</v>
      </c>
    </row>
    <row r="146" spans="1:1">
      <c r="A146" s="380" t="s">
        <v>902</v>
      </c>
    </row>
    <row r="147" spans="1:1">
      <c r="A147" s="380" t="s">
        <v>903</v>
      </c>
    </row>
    <row r="148" spans="1:1">
      <c r="A148" s="380" t="s">
        <v>904</v>
      </c>
    </row>
    <row r="149" spans="1:1">
      <c r="A149" s="380" t="s">
        <v>905</v>
      </c>
    </row>
    <row r="150" spans="1:1">
      <c r="A150" s="380" t="s">
        <v>906</v>
      </c>
    </row>
    <row r="151" spans="1:1">
      <c r="A151" s="380" t="s">
        <v>907</v>
      </c>
    </row>
    <row r="152" spans="1:1">
      <c r="A152" s="380" t="s">
        <v>908</v>
      </c>
    </row>
    <row r="153" spans="1:1">
      <c r="A153" s="380" t="s">
        <v>909</v>
      </c>
    </row>
    <row r="154" spans="1:1" s="381" customFormat="1">
      <c r="A154" s="381" t="s">
        <v>1988</v>
      </c>
    </row>
    <row r="155" spans="1:1">
      <c r="A155" s="380" t="s">
        <v>911</v>
      </c>
    </row>
    <row r="156" spans="1:1">
      <c r="A156" s="380" t="s">
        <v>912</v>
      </c>
    </row>
    <row r="157" spans="1:1">
      <c r="A157" s="380" t="s">
        <v>913</v>
      </c>
    </row>
    <row r="158" spans="1:1">
      <c r="A158" s="380" t="s">
        <v>914</v>
      </c>
    </row>
  </sheetData>
  <phoneticPr fontId="3"/>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B36"/>
  <sheetViews>
    <sheetView topLeftCell="A13" workbookViewId="0">
      <selection activeCell="A14" sqref="A14:IV18"/>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1981</v>
      </c>
    </row>
    <row r="9" spans="1:1">
      <c r="A9" s="380" t="s">
        <v>1989</v>
      </c>
    </row>
    <row r="10" spans="1:1">
      <c r="A10" s="380" t="s">
        <v>1990</v>
      </c>
    </row>
    <row r="11" spans="1:1">
      <c r="A11" s="380" t="s">
        <v>1991</v>
      </c>
    </row>
    <row r="12" spans="1:1">
      <c r="A12" s="380" t="s">
        <v>1992</v>
      </c>
    </row>
    <row r="13" spans="1:1">
      <c r="A13" s="380" t="s">
        <v>1993</v>
      </c>
    </row>
    <row r="14" spans="1:1" s="381" customFormat="1">
      <c r="A14" s="381" t="s">
        <v>1994</v>
      </c>
    </row>
    <row r="15" spans="1:1" s="381" customFormat="1">
      <c r="A15" s="381" t="s">
        <v>1995</v>
      </c>
    </row>
    <row r="16" spans="1:1" s="381" customFormat="1">
      <c r="A16" s="381" t="s">
        <v>673</v>
      </c>
    </row>
    <row r="17" spans="1:2" s="381" customFormat="1">
      <c r="A17" s="381" t="s">
        <v>715</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1996</v>
      </c>
    </row>
    <row r="36" spans="1:2">
      <c r="A36" s="380" t="s">
        <v>1997</v>
      </c>
    </row>
  </sheetData>
  <phoneticPr fontId="3"/>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B36"/>
  <sheetViews>
    <sheetView topLeftCell="A7" workbookViewId="0">
      <selection activeCell="J19" sqref="J19"/>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1997</v>
      </c>
    </row>
    <row r="9" spans="1:1">
      <c r="A9" s="380" t="s">
        <v>1998</v>
      </c>
    </row>
    <row r="10" spans="1:1">
      <c r="A10" s="380" t="s">
        <v>1999</v>
      </c>
    </row>
    <row r="11" spans="1:1">
      <c r="A11" s="380" t="s">
        <v>2000</v>
      </c>
    </row>
    <row r="12" spans="1:1">
      <c r="A12" s="380" t="s">
        <v>2001</v>
      </c>
    </row>
    <row r="13" spans="1:1">
      <c r="A13" s="380" t="s">
        <v>2002</v>
      </c>
    </row>
    <row r="14" spans="1:1" s="381" customFormat="1">
      <c r="A14" s="381" t="s">
        <v>2003</v>
      </c>
    </row>
    <row r="15" spans="1:1" s="381" customFormat="1">
      <c r="A15" s="381" t="s">
        <v>2004</v>
      </c>
    </row>
    <row r="16" spans="1:1" s="381" customFormat="1">
      <c r="A16" s="381" t="s">
        <v>673</v>
      </c>
    </row>
    <row r="17" spans="1:2" s="381" customFormat="1">
      <c r="A17" s="381" t="s">
        <v>2005</v>
      </c>
    </row>
    <row r="18" spans="1:2" s="381" customFormat="1">
      <c r="A18" s="381"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2006</v>
      </c>
    </row>
    <row r="36" spans="1:2">
      <c r="A36" s="380" t="s">
        <v>2007</v>
      </c>
    </row>
  </sheetData>
  <phoneticPr fontId="3"/>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A1:A157"/>
  <sheetViews>
    <sheetView topLeftCell="A148" workbookViewId="0">
      <selection activeCell="A154" sqref="A154:IV154"/>
    </sheetView>
  </sheetViews>
  <sheetFormatPr defaultColWidth="9" defaultRowHeight="13"/>
  <cols>
    <col min="1" max="16384" width="9" style="380"/>
  </cols>
  <sheetData>
    <row r="1" spans="1:1">
      <c r="A1" s="380" t="s">
        <v>671</v>
      </c>
    </row>
    <row r="3" spans="1:1">
      <c r="A3" s="380" t="s">
        <v>670</v>
      </c>
    </row>
    <row r="4" spans="1:1">
      <c r="A4" s="380" t="s">
        <v>2018</v>
      </c>
    </row>
    <row r="6" spans="1:1">
      <c r="A6" s="380" t="s">
        <v>672</v>
      </c>
    </row>
    <row r="8" spans="1:1">
      <c r="A8" s="380" t="s">
        <v>2019</v>
      </c>
    </row>
    <row r="9" spans="1:1">
      <c r="A9" s="380" t="s">
        <v>2020</v>
      </c>
    </row>
    <row r="10" spans="1:1">
      <c r="A10" s="380" t="s">
        <v>2021</v>
      </c>
    </row>
    <row r="11" spans="1:1">
      <c r="A11" s="380" t="s">
        <v>2022</v>
      </c>
    </row>
    <row r="12" spans="1:1">
      <c r="A12" s="380" t="s">
        <v>2023</v>
      </c>
    </row>
    <row r="13" spans="1:1">
      <c r="A13" s="380" t="s">
        <v>2024</v>
      </c>
    </row>
    <row r="14" spans="1:1">
      <c r="A14" s="380" t="s">
        <v>2025</v>
      </c>
    </row>
    <row r="15" spans="1:1">
      <c r="A15" s="380" t="s">
        <v>2026</v>
      </c>
    </row>
    <row r="16" spans="1:1">
      <c r="A16" s="380" t="s">
        <v>2027</v>
      </c>
    </row>
    <row r="17" spans="1:1">
      <c r="A17" s="380" t="s">
        <v>2028</v>
      </c>
    </row>
    <row r="18" spans="1:1">
      <c r="A18" s="380" t="s">
        <v>2029</v>
      </c>
    </row>
    <row r="19" spans="1:1">
      <c r="A19" s="380" t="s">
        <v>2030</v>
      </c>
    </row>
    <row r="20" spans="1:1">
      <c r="A20" s="380" t="s">
        <v>2031</v>
      </c>
    </row>
    <row r="21" spans="1:1">
      <c r="A21" s="380" t="s">
        <v>2032</v>
      </c>
    </row>
    <row r="22" spans="1:1">
      <c r="A22" s="380" t="s">
        <v>2033</v>
      </c>
    </row>
    <row r="23" spans="1:1">
      <c r="A23" s="380" t="s">
        <v>2034</v>
      </c>
    </row>
    <row r="24" spans="1:1">
      <c r="A24" s="380" t="s">
        <v>2035</v>
      </c>
    </row>
    <row r="25" spans="1:1">
      <c r="A25" s="380" t="s">
        <v>2036</v>
      </c>
    </row>
    <row r="26" spans="1:1">
      <c r="A26" s="380" t="s">
        <v>2037</v>
      </c>
    </row>
    <row r="27" spans="1:1">
      <c r="A27" s="380" t="s">
        <v>2038</v>
      </c>
    </row>
    <row r="28" spans="1:1">
      <c r="A28" s="380" t="s">
        <v>2039</v>
      </c>
    </row>
    <row r="29" spans="1:1">
      <c r="A29" s="380" t="s">
        <v>2040</v>
      </c>
    </row>
    <row r="30" spans="1:1">
      <c r="A30" s="380" t="s">
        <v>2041</v>
      </c>
    </row>
    <row r="31" spans="1:1">
      <c r="A31" s="380" t="s">
        <v>2042</v>
      </c>
    </row>
    <row r="32" spans="1:1">
      <c r="A32" s="380" t="s">
        <v>2043</v>
      </c>
    </row>
    <row r="33" spans="1:1">
      <c r="A33" s="380" t="s">
        <v>2044</v>
      </c>
    </row>
    <row r="34" spans="1:1">
      <c r="A34" s="380" t="s">
        <v>2045</v>
      </c>
    </row>
    <row r="35" spans="1:1">
      <c r="A35" s="380" t="s">
        <v>2046</v>
      </c>
    </row>
    <row r="36" spans="1:1">
      <c r="A36" s="380" t="s">
        <v>2047</v>
      </c>
    </row>
    <row r="37" spans="1:1">
      <c r="A37" s="380" t="s">
        <v>2048</v>
      </c>
    </row>
    <row r="38" spans="1:1">
      <c r="A38" s="380" t="s">
        <v>2049</v>
      </c>
    </row>
    <row r="39" spans="1:1">
      <c r="A39" s="380" t="s">
        <v>2050</v>
      </c>
    </row>
    <row r="40" spans="1:1">
      <c r="A40" s="380" t="s">
        <v>2051</v>
      </c>
    </row>
    <row r="41" spans="1:1">
      <c r="A41" s="380" t="s">
        <v>2052</v>
      </c>
    </row>
    <row r="42" spans="1:1">
      <c r="A42" s="380" t="s">
        <v>2053</v>
      </c>
    </row>
    <row r="43" spans="1:1">
      <c r="A43" s="380" t="s">
        <v>2054</v>
      </c>
    </row>
    <row r="44" spans="1:1">
      <c r="A44" s="380" t="s">
        <v>2055</v>
      </c>
    </row>
    <row r="45" spans="1:1">
      <c r="A45" s="380" t="s">
        <v>2056</v>
      </c>
    </row>
    <row r="46" spans="1:1">
      <c r="A46" s="380" t="s">
        <v>2057</v>
      </c>
    </row>
    <row r="47" spans="1:1">
      <c r="A47" s="380" t="s">
        <v>2058</v>
      </c>
    </row>
    <row r="48" spans="1:1">
      <c r="A48" s="380" t="s">
        <v>2059</v>
      </c>
    </row>
    <row r="49" spans="1:1">
      <c r="A49" s="380" t="s">
        <v>2060</v>
      </c>
    </row>
    <row r="50" spans="1:1">
      <c r="A50" s="380" t="s">
        <v>2061</v>
      </c>
    </row>
    <row r="51" spans="1:1">
      <c r="A51" s="380" t="s">
        <v>2062</v>
      </c>
    </row>
    <row r="52" spans="1:1">
      <c r="A52" s="380" t="s">
        <v>2063</v>
      </c>
    </row>
    <row r="53" spans="1:1">
      <c r="A53" s="380" t="s">
        <v>2064</v>
      </c>
    </row>
    <row r="54" spans="1:1">
      <c r="A54" s="380" t="s">
        <v>2065</v>
      </c>
    </row>
    <row r="55" spans="1:1">
      <c r="A55" s="380" t="s">
        <v>2066</v>
      </c>
    </row>
    <row r="56" spans="1:1">
      <c r="A56" s="380" t="s">
        <v>2067</v>
      </c>
    </row>
    <row r="57" spans="1:1">
      <c r="A57" s="380" t="s">
        <v>2068</v>
      </c>
    </row>
    <row r="58" spans="1:1">
      <c r="A58" s="380" t="s">
        <v>2069</v>
      </c>
    </row>
    <row r="59" spans="1:1">
      <c r="A59" s="380" t="s">
        <v>2070</v>
      </c>
    </row>
    <row r="60" spans="1:1">
      <c r="A60" s="380" t="s">
        <v>2071</v>
      </c>
    </row>
    <row r="61" spans="1:1" s="381" customFormat="1">
      <c r="A61" s="381" t="s">
        <v>2072</v>
      </c>
    </row>
    <row r="62" spans="1:1">
      <c r="A62" s="380" t="s">
        <v>2073</v>
      </c>
    </row>
    <row r="63" spans="1:1">
      <c r="A63" s="380" t="s">
        <v>2074</v>
      </c>
    </row>
    <row r="64" spans="1:1">
      <c r="A64" s="380" t="s">
        <v>2075</v>
      </c>
    </row>
    <row r="65" spans="1:1">
      <c r="A65" s="380" t="s">
        <v>2076</v>
      </c>
    </row>
    <row r="66" spans="1:1">
      <c r="A66" s="380" t="s">
        <v>2077</v>
      </c>
    </row>
    <row r="67" spans="1:1">
      <c r="A67" s="380" t="s">
        <v>2078</v>
      </c>
    </row>
    <row r="68" spans="1:1">
      <c r="A68" s="380" t="s">
        <v>2079</v>
      </c>
    </row>
    <row r="69" spans="1:1">
      <c r="A69" s="380" t="s">
        <v>2080</v>
      </c>
    </row>
    <row r="70" spans="1:1">
      <c r="A70" s="380" t="s">
        <v>2081</v>
      </c>
    </row>
    <row r="71" spans="1:1">
      <c r="A71" s="380" t="s">
        <v>2082</v>
      </c>
    </row>
    <row r="72" spans="1:1">
      <c r="A72" s="380" t="s">
        <v>2083</v>
      </c>
    </row>
    <row r="73" spans="1:1">
      <c r="A73" s="380" t="s">
        <v>2084</v>
      </c>
    </row>
    <row r="74" spans="1:1">
      <c r="A74" s="380" t="s">
        <v>2085</v>
      </c>
    </row>
    <row r="75" spans="1:1">
      <c r="A75" s="380" t="s">
        <v>2086</v>
      </c>
    </row>
    <row r="76" spans="1:1">
      <c r="A76" s="380" t="s">
        <v>2087</v>
      </c>
    </row>
    <row r="77" spans="1:1">
      <c r="A77" s="380" t="s">
        <v>2088</v>
      </c>
    </row>
    <row r="78" spans="1:1">
      <c r="A78" s="380" t="s">
        <v>2089</v>
      </c>
    </row>
    <row r="79" spans="1:1">
      <c r="A79" s="380" t="s">
        <v>2090</v>
      </c>
    </row>
    <row r="80" spans="1:1">
      <c r="A80" s="380" t="s">
        <v>2091</v>
      </c>
    </row>
    <row r="81" spans="1:1">
      <c r="A81" s="380" t="s">
        <v>2092</v>
      </c>
    </row>
    <row r="82" spans="1:1">
      <c r="A82" s="380" t="s">
        <v>2093</v>
      </c>
    </row>
    <row r="83" spans="1:1">
      <c r="A83" s="380" t="s">
        <v>2094</v>
      </c>
    </row>
    <row r="84" spans="1:1">
      <c r="A84" s="380" t="s">
        <v>2095</v>
      </c>
    </row>
    <row r="85" spans="1:1">
      <c r="A85" s="380" t="s">
        <v>2096</v>
      </c>
    </row>
    <row r="86" spans="1:1">
      <c r="A86" s="380" t="s">
        <v>2097</v>
      </c>
    </row>
    <row r="87" spans="1:1">
      <c r="A87" s="380" t="s">
        <v>2098</v>
      </c>
    </row>
    <row r="88" spans="1:1">
      <c r="A88" s="380" t="s">
        <v>2099</v>
      </c>
    </row>
    <row r="89" spans="1:1">
      <c r="A89" s="380" t="s">
        <v>2100</v>
      </c>
    </row>
    <row r="90" spans="1:1">
      <c r="A90" s="380" t="s">
        <v>2101</v>
      </c>
    </row>
    <row r="91" spans="1:1">
      <c r="A91" s="380" t="s">
        <v>2102</v>
      </c>
    </row>
    <row r="92" spans="1:1">
      <c r="A92" s="380" t="s">
        <v>2103</v>
      </c>
    </row>
    <row r="93" spans="1:1">
      <c r="A93" s="380" t="s">
        <v>2104</v>
      </c>
    </row>
    <row r="94" spans="1:1">
      <c r="A94" s="380" t="s">
        <v>2105</v>
      </c>
    </row>
    <row r="95" spans="1:1">
      <c r="A95" s="380" t="s">
        <v>2106</v>
      </c>
    </row>
    <row r="96" spans="1:1">
      <c r="A96" s="380" t="s">
        <v>2107</v>
      </c>
    </row>
    <row r="97" spans="1:1">
      <c r="A97" s="380" t="s">
        <v>2108</v>
      </c>
    </row>
    <row r="98" spans="1:1">
      <c r="A98" s="380" t="s">
        <v>2109</v>
      </c>
    </row>
    <row r="99" spans="1:1">
      <c r="A99" s="380" t="s">
        <v>2110</v>
      </c>
    </row>
    <row r="100" spans="1:1">
      <c r="A100" s="380" t="s">
        <v>2111</v>
      </c>
    </row>
    <row r="101" spans="1:1">
      <c r="A101" s="380" t="s">
        <v>2112</v>
      </c>
    </row>
    <row r="103" spans="1:1">
      <c r="A103" s="380" t="s">
        <v>2113</v>
      </c>
    </row>
    <row r="104" spans="1:1">
      <c r="A104" s="380" t="s">
        <v>2114</v>
      </c>
    </row>
    <row r="105" spans="1:1">
      <c r="A105" s="380" t="s">
        <v>862</v>
      </c>
    </row>
    <row r="106" spans="1:1">
      <c r="A106" s="380" t="s">
        <v>2115</v>
      </c>
    </row>
    <row r="107" spans="1:1">
      <c r="A107" s="380" t="s">
        <v>864</v>
      </c>
    </row>
    <row r="108" spans="1:1">
      <c r="A108" s="380" t="s">
        <v>2116</v>
      </c>
    </row>
    <row r="109" spans="1:1">
      <c r="A109" s="380" t="s">
        <v>866</v>
      </c>
    </row>
    <row r="110" spans="1:1">
      <c r="A110" s="380" t="s">
        <v>867</v>
      </c>
    </row>
    <row r="111" spans="1:1">
      <c r="A111" s="380" t="s">
        <v>868</v>
      </c>
    </row>
    <row r="112" spans="1:1">
      <c r="A112" s="380" t="s">
        <v>869</v>
      </c>
    </row>
    <row r="113" spans="1:1">
      <c r="A113" s="380" t="s">
        <v>870</v>
      </c>
    </row>
    <row r="114" spans="1:1">
      <c r="A114" s="380" t="s">
        <v>871</v>
      </c>
    </row>
    <row r="115" spans="1:1">
      <c r="A115" s="380" t="s">
        <v>872</v>
      </c>
    </row>
    <row r="116" spans="1:1">
      <c r="A116" s="380" t="s">
        <v>873</v>
      </c>
    </row>
    <row r="117" spans="1:1">
      <c r="A117" s="380" t="s">
        <v>874</v>
      </c>
    </row>
    <row r="118" spans="1:1">
      <c r="A118" s="380" t="s">
        <v>875</v>
      </c>
    </row>
    <row r="119" spans="1:1">
      <c r="A119" s="380" t="s">
        <v>876</v>
      </c>
    </row>
    <row r="120" spans="1:1">
      <c r="A120" s="380" t="s">
        <v>877</v>
      </c>
    </row>
    <row r="121" spans="1:1">
      <c r="A121" s="380" t="s">
        <v>878</v>
      </c>
    </row>
    <row r="122" spans="1:1">
      <c r="A122" s="380" t="s">
        <v>879</v>
      </c>
    </row>
    <row r="123" spans="1:1">
      <c r="A123" s="380" t="s">
        <v>880</v>
      </c>
    </row>
    <row r="124" spans="1:1">
      <c r="A124" s="380" t="s">
        <v>881</v>
      </c>
    </row>
    <row r="125" spans="1:1">
      <c r="A125" s="380" t="s">
        <v>882</v>
      </c>
    </row>
    <row r="126" spans="1:1">
      <c r="A126" s="380" t="s">
        <v>883</v>
      </c>
    </row>
    <row r="127" spans="1:1">
      <c r="A127" s="380" t="s">
        <v>884</v>
      </c>
    </row>
    <row r="128" spans="1:1">
      <c r="A128" s="380" t="s">
        <v>885</v>
      </c>
    </row>
    <row r="129" spans="1:1">
      <c r="A129" s="380" t="s">
        <v>886</v>
      </c>
    </row>
    <row r="130" spans="1:1">
      <c r="A130" s="380" t="s">
        <v>887</v>
      </c>
    </row>
    <row r="131" spans="1:1">
      <c r="A131" s="380" t="s">
        <v>888</v>
      </c>
    </row>
    <row r="132" spans="1:1">
      <c r="A132" s="380" t="s">
        <v>889</v>
      </c>
    </row>
    <row r="133" spans="1:1">
      <c r="A133" s="380" t="s">
        <v>890</v>
      </c>
    </row>
    <row r="134" spans="1:1">
      <c r="A134" s="380" t="s">
        <v>891</v>
      </c>
    </row>
    <row r="135" spans="1:1">
      <c r="A135" s="380" t="s">
        <v>892</v>
      </c>
    </row>
    <row r="136" spans="1:1">
      <c r="A136" s="380" t="s">
        <v>893</v>
      </c>
    </row>
    <row r="137" spans="1:1">
      <c r="A137" s="380" t="s">
        <v>894</v>
      </c>
    </row>
    <row r="138" spans="1:1">
      <c r="A138" s="380" t="s">
        <v>895</v>
      </c>
    </row>
    <row r="139" spans="1:1">
      <c r="A139" s="380" t="s">
        <v>896</v>
      </c>
    </row>
    <row r="140" spans="1:1">
      <c r="A140" s="380" t="s">
        <v>2117</v>
      </c>
    </row>
    <row r="141" spans="1:1">
      <c r="A141" s="380" t="s">
        <v>898</v>
      </c>
    </row>
    <row r="142" spans="1:1">
      <c r="A142" s="380" t="s">
        <v>2118</v>
      </c>
    </row>
    <row r="143" spans="1:1">
      <c r="A143" s="380" t="s">
        <v>900</v>
      </c>
    </row>
    <row r="144" spans="1:1">
      <c r="A144" s="380" t="s">
        <v>1035</v>
      </c>
    </row>
    <row r="145" spans="1:1">
      <c r="A145" s="380" t="s">
        <v>902</v>
      </c>
    </row>
    <row r="146" spans="1:1">
      <c r="A146" s="380" t="s">
        <v>903</v>
      </c>
    </row>
    <row r="147" spans="1:1">
      <c r="A147" s="380" t="s">
        <v>904</v>
      </c>
    </row>
    <row r="148" spans="1:1">
      <c r="A148" s="380" t="s">
        <v>905</v>
      </c>
    </row>
    <row r="149" spans="1:1">
      <c r="A149" s="380" t="s">
        <v>906</v>
      </c>
    </row>
    <row r="150" spans="1:1">
      <c r="A150" s="380" t="s">
        <v>907</v>
      </c>
    </row>
    <row r="151" spans="1:1">
      <c r="A151" s="380" t="s">
        <v>908</v>
      </c>
    </row>
    <row r="152" spans="1:1">
      <c r="A152" s="380" t="s">
        <v>909</v>
      </c>
    </row>
    <row r="153" spans="1:1">
      <c r="A153" s="380" t="s">
        <v>910</v>
      </c>
    </row>
    <row r="154" spans="1:1" s="381" customFormat="1">
      <c r="A154" s="381" t="s">
        <v>2119</v>
      </c>
    </row>
    <row r="155" spans="1:1">
      <c r="A155" s="380" t="s">
        <v>912</v>
      </c>
    </row>
    <row r="156" spans="1:1">
      <c r="A156" s="380" t="s">
        <v>913</v>
      </c>
    </row>
    <row r="157" spans="1:1">
      <c r="A157" s="380" t="s">
        <v>914</v>
      </c>
    </row>
  </sheetData>
  <phoneticPr fontId="3"/>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dimension ref="A1:B36"/>
  <sheetViews>
    <sheetView workbookViewId="0">
      <selection activeCell="I14" sqref="I14"/>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2008</v>
      </c>
    </row>
    <row r="9" spans="1:1">
      <c r="A9" s="380" t="s">
        <v>2009</v>
      </c>
    </row>
    <row r="10" spans="1:1">
      <c r="A10" s="380" t="s">
        <v>2010</v>
      </c>
    </row>
    <row r="11" spans="1:1">
      <c r="A11" s="380" t="s">
        <v>2011</v>
      </c>
    </row>
    <row r="12" spans="1:1">
      <c r="A12" s="380" t="s">
        <v>2012</v>
      </c>
    </row>
    <row r="13" spans="1:1">
      <c r="A13" s="380" t="s">
        <v>2013</v>
      </c>
    </row>
    <row r="14" spans="1:1" s="381" customFormat="1">
      <c r="A14" s="381" t="s">
        <v>2014</v>
      </c>
    </row>
    <row r="15" spans="1:1" s="381" customFormat="1">
      <c r="A15" s="381" t="s">
        <v>2015</v>
      </c>
    </row>
    <row r="16" spans="1:1" s="381" customFormat="1">
      <c r="A16" s="381" t="s">
        <v>673</v>
      </c>
    </row>
    <row r="17" spans="1:2" s="381" customFormat="1">
      <c r="A17" s="381" t="s">
        <v>716</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2016</v>
      </c>
    </row>
    <row r="36" spans="1:2">
      <c r="A36" s="380" t="s">
        <v>2017</v>
      </c>
    </row>
  </sheetData>
  <phoneticPr fontId="3"/>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dimension ref="A1:B36"/>
  <sheetViews>
    <sheetView workbookViewId="0">
      <selection activeCell="A14" sqref="A14:IV18"/>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2112</v>
      </c>
    </row>
    <row r="9" spans="1:1">
      <c r="A9" s="380" t="s">
        <v>2120</v>
      </c>
    </row>
    <row r="10" spans="1:1">
      <c r="A10" s="380" t="s">
        <v>2121</v>
      </c>
    </row>
    <row r="11" spans="1:1">
      <c r="A11" s="380" t="s">
        <v>2122</v>
      </c>
    </row>
    <row r="12" spans="1:1">
      <c r="A12" s="380" t="s">
        <v>2123</v>
      </c>
    </row>
    <row r="13" spans="1:1">
      <c r="A13" s="380" t="s">
        <v>2124</v>
      </c>
    </row>
    <row r="14" spans="1:1" s="381" customFormat="1">
      <c r="A14" s="381" t="s">
        <v>2125</v>
      </c>
    </row>
    <row r="15" spans="1:1" s="381" customFormat="1">
      <c r="A15" s="381" t="s">
        <v>2126</v>
      </c>
    </row>
    <row r="16" spans="1:1" s="381" customFormat="1">
      <c r="A16" s="381" t="s">
        <v>673</v>
      </c>
    </row>
    <row r="17" spans="1:2" s="381" customFormat="1">
      <c r="A17" s="381" t="s">
        <v>717</v>
      </c>
    </row>
    <row r="18" spans="1:2" s="381" customFormat="1">
      <c r="A18" s="381"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2127</v>
      </c>
    </row>
    <row r="36" spans="1:2">
      <c r="A36" s="380" t="s">
        <v>2128</v>
      </c>
    </row>
  </sheetData>
  <phoneticPr fontId="3"/>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A158"/>
  <sheetViews>
    <sheetView topLeftCell="A145" workbookViewId="0">
      <selection activeCell="G160" sqref="G160"/>
    </sheetView>
  </sheetViews>
  <sheetFormatPr defaultColWidth="9" defaultRowHeight="13"/>
  <cols>
    <col min="1" max="16384" width="9" style="380"/>
  </cols>
  <sheetData>
    <row r="1" spans="1:1">
      <c r="A1" s="380" t="s">
        <v>671</v>
      </c>
    </row>
    <row r="3" spans="1:1">
      <c r="A3" s="380" t="s">
        <v>670</v>
      </c>
    </row>
    <row r="4" spans="1:1">
      <c r="A4" s="380" t="s">
        <v>2129</v>
      </c>
    </row>
    <row r="6" spans="1:1">
      <c r="A6" s="380" t="s">
        <v>672</v>
      </c>
    </row>
    <row r="8" spans="1:1">
      <c r="A8" s="380" t="s">
        <v>2128</v>
      </c>
    </row>
    <row r="9" spans="1:1">
      <c r="A9" s="380" t="s">
        <v>2130</v>
      </c>
    </row>
    <row r="10" spans="1:1">
      <c r="A10" s="380" t="s">
        <v>2131</v>
      </c>
    </row>
    <row r="11" spans="1:1">
      <c r="A11" s="380" t="s">
        <v>2132</v>
      </c>
    </row>
    <row r="12" spans="1:1">
      <c r="A12" s="380" t="s">
        <v>2133</v>
      </c>
    </row>
    <row r="13" spans="1:1">
      <c r="A13" s="380" t="s">
        <v>2134</v>
      </c>
    </row>
    <row r="14" spans="1:1">
      <c r="A14" s="380" t="s">
        <v>2135</v>
      </c>
    </row>
    <row r="15" spans="1:1">
      <c r="A15" s="380" t="s">
        <v>2136</v>
      </c>
    </row>
    <row r="16" spans="1:1">
      <c r="A16" s="380" t="s">
        <v>2137</v>
      </c>
    </row>
    <row r="17" spans="1:1">
      <c r="A17" s="380" t="s">
        <v>2138</v>
      </c>
    </row>
    <row r="18" spans="1:1">
      <c r="A18" s="380" t="s">
        <v>2139</v>
      </c>
    </row>
    <row r="19" spans="1:1">
      <c r="A19" s="380" t="s">
        <v>2140</v>
      </c>
    </row>
    <row r="20" spans="1:1">
      <c r="A20" s="380" t="s">
        <v>2141</v>
      </c>
    </row>
    <row r="21" spans="1:1">
      <c r="A21" s="380" t="s">
        <v>2142</v>
      </c>
    </row>
    <row r="22" spans="1:1">
      <c r="A22" s="380" t="s">
        <v>2143</v>
      </c>
    </row>
    <row r="23" spans="1:1">
      <c r="A23" s="380" t="s">
        <v>2144</v>
      </c>
    </row>
    <row r="24" spans="1:1">
      <c r="A24" s="380" t="s">
        <v>2145</v>
      </c>
    </row>
    <row r="25" spans="1:1">
      <c r="A25" s="380" t="s">
        <v>2146</v>
      </c>
    </row>
    <row r="26" spans="1:1">
      <c r="A26" s="380" t="s">
        <v>2147</v>
      </c>
    </row>
    <row r="27" spans="1:1">
      <c r="A27" s="380" t="s">
        <v>2148</v>
      </c>
    </row>
    <row r="28" spans="1:1">
      <c r="A28" s="380" t="s">
        <v>2149</v>
      </c>
    </row>
    <row r="29" spans="1:1">
      <c r="A29" s="380" t="s">
        <v>2150</v>
      </c>
    </row>
    <row r="30" spans="1:1">
      <c r="A30" s="380" t="s">
        <v>2151</v>
      </c>
    </row>
    <row r="31" spans="1:1">
      <c r="A31" s="380" t="s">
        <v>2152</v>
      </c>
    </row>
    <row r="32" spans="1:1">
      <c r="A32" s="380" t="s">
        <v>2153</v>
      </c>
    </row>
    <row r="33" spans="1:1">
      <c r="A33" s="380" t="s">
        <v>2154</v>
      </c>
    </row>
    <row r="34" spans="1:1">
      <c r="A34" s="380" t="s">
        <v>2155</v>
      </c>
    </row>
    <row r="35" spans="1:1">
      <c r="A35" s="380" t="s">
        <v>2156</v>
      </c>
    </row>
    <row r="36" spans="1:1">
      <c r="A36" s="380" t="s">
        <v>2157</v>
      </c>
    </row>
    <row r="37" spans="1:1">
      <c r="A37" s="380" t="s">
        <v>2158</v>
      </c>
    </row>
    <row r="38" spans="1:1">
      <c r="A38" s="380" t="s">
        <v>2159</v>
      </c>
    </row>
    <row r="39" spans="1:1">
      <c r="A39" s="380" t="s">
        <v>2160</v>
      </c>
    </row>
    <row r="40" spans="1:1">
      <c r="A40" s="380" t="s">
        <v>2161</v>
      </c>
    </row>
    <row r="41" spans="1:1">
      <c r="A41" s="380" t="s">
        <v>2162</v>
      </c>
    </row>
    <row r="42" spans="1:1">
      <c r="A42" s="380" t="s">
        <v>2163</v>
      </c>
    </row>
    <row r="43" spans="1:1">
      <c r="A43" s="380" t="s">
        <v>2164</v>
      </c>
    </row>
    <row r="44" spans="1:1">
      <c r="A44" s="380" t="s">
        <v>2165</v>
      </c>
    </row>
    <row r="45" spans="1:1">
      <c r="A45" s="380" t="s">
        <v>2166</v>
      </c>
    </row>
    <row r="46" spans="1:1">
      <c r="A46" s="380" t="s">
        <v>2167</v>
      </c>
    </row>
    <row r="47" spans="1:1">
      <c r="A47" s="380" t="s">
        <v>2168</v>
      </c>
    </row>
    <row r="48" spans="1:1">
      <c r="A48" s="380" t="s">
        <v>2169</v>
      </c>
    </row>
    <row r="49" spans="1:1">
      <c r="A49" s="380" t="s">
        <v>2170</v>
      </c>
    </row>
    <row r="50" spans="1:1">
      <c r="A50" s="380" t="s">
        <v>2171</v>
      </c>
    </row>
    <row r="51" spans="1:1">
      <c r="A51" s="380" t="s">
        <v>2172</v>
      </c>
    </row>
    <row r="52" spans="1:1">
      <c r="A52" s="380" t="s">
        <v>2173</v>
      </c>
    </row>
    <row r="53" spans="1:1">
      <c r="A53" s="380" t="s">
        <v>2174</v>
      </c>
    </row>
    <row r="54" spans="1:1">
      <c r="A54" s="380" t="s">
        <v>2175</v>
      </c>
    </row>
    <row r="55" spans="1:1">
      <c r="A55" s="380" t="s">
        <v>2176</v>
      </c>
    </row>
    <row r="56" spans="1:1">
      <c r="A56" s="380" t="s">
        <v>2177</v>
      </c>
    </row>
    <row r="57" spans="1:1">
      <c r="A57" s="380" t="s">
        <v>2178</v>
      </c>
    </row>
    <row r="58" spans="1:1">
      <c r="A58" s="380" t="s">
        <v>2179</v>
      </c>
    </row>
    <row r="59" spans="1:1">
      <c r="A59" s="380" t="s">
        <v>2180</v>
      </c>
    </row>
    <row r="60" spans="1:1">
      <c r="A60" s="380" t="s">
        <v>2181</v>
      </c>
    </row>
    <row r="61" spans="1:1">
      <c r="A61" s="380" t="s">
        <v>2182</v>
      </c>
    </row>
    <row r="62" spans="1:1" s="381" customFormat="1">
      <c r="A62" s="381" t="s">
        <v>2183</v>
      </c>
    </row>
    <row r="63" spans="1:1">
      <c r="A63" s="380" t="s">
        <v>2184</v>
      </c>
    </row>
    <row r="64" spans="1:1">
      <c r="A64" s="380" t="s">
        <v>2185</v>
      </c>
    </row>
    <row r="65" spans="1:1">
      <c r="A65" s="380" t="s">
        <v>2186</v>
      </c>
    </row>
    <row r="66" spans="1:1">
      <c r="A66" s="380" t="s">
        <v>2187</v>
      </c>
    </row>
    <row r="67" spans="1:1">
      <c r="A67" s="380" t="s">
        <v>2188</v>
      </c>
    </row>
    <row r="68" spans="1:1">
      <c r="A68" s="380" t="s">
        <v>2189</v>
      </c>
    </row>
    <row r="69" spans="1:1">
      <c r="A69" s="380" t="s">
        <v>2190</v>
      </c>
    </row>
    <row r="70" spans="1:1">
      <c r="A70" s="380" t="s">
        <v>2191</v>
      </c>
    </row>
    <row r="71" spans="1:1">
      <c r="A71" s="380" t="s">
        <v>2192</v>
      </c>
    </row>
    <row r="72" spans="1:1">
      <c r="A72" s="380" t="s">
        <v>2193</v>
      </c>
    </row>
    <row r="73" spans="1:1">
      <c r="A73" s="380" t="s">
        <v>2194</v>
      </c>
    </row>
    <row r="74" spans="1:1">
      <c r="A74" s="380" t="s">
        <v>2195</v>
      </c>
    </row>
    <row r="75" spans="1:1">
      <c r="A75" s="380" t="s">
        <v>2196</v>
      </c>
    </row>
    <row r="76" spans="1:1">
      <c r="A76" s="380" t="s">
        <v>2197</v>
      </c>
    </row>
    <row r="77" spans="1:1">
      <c r="A77" s="380" t="s">
        <v>2198</v>
      </c>
    </row>
    <row r="78" spans="1:1">
      <c r="A78" s="380" t="s">
        <v>2199</v>
      </c>
    </row>
    <row r="79" spans="1:1">
      <c r="A79" s="380" t="s">
        <v>2200</v>
      </c>
    </row>
    <row r="80" spans="1:1">
      <c r="A80" s="380" t="s">
        <v>2201</v>
      </c>
    </row>
    <row r="81" spans="1:1">
      <c r="A81" s="380" t="s">
        <v>2202</v>
      </c>
    </row>
    <row r="82" spans="1:1">
      <c r="A82" s="380" t="s">
        <v>2203</v>
      </c>
    </row>
    <row r="83" spans="1:1">
      <c r="A83" s="380" t="s">
        <v>2204</v>
      </c>
    </row>
    <row r="84" spans="1:1">
      <c r="A84" s="380" t="s">
        <v>2205</v>
      </c>
    </row>
    <row r="85" spans="1:1">
      <c r="A85" s="380" t="s">
        <v>2206</v>
      </c>
    </row>
    <row r="86" spans="1:1">
      <c r="A86" s="380" t="s">
        <v>2207</v>
      </c>
    </row>
    <row r="87" spans="1:1">
      <c r="A87" s="380" t="s">
        <v>2208</v>
      </c>
    </row>
    <row r="88" spans="1:1">
      <c r="A88" s="380" t="s">
        <v>2209</v>
      </c>
    </row>
    <row r="89" spans="1:1">
      <c r="A89" s="380" t="s">
        <v>2210</v>
      </c>
    </row>
    <row r="90" spans="1:1">
      <c r="A90" s="380" t="s">
        <v>2211</v>
      </c>
    </row>
    <row r="91" spans="1:1">
      <c r="A91" s="380" t="s">
        <v>2212</v>
      </c>
    </row>
    <row r="92" spans="1:1">
      <c r="A92" s="380" t="s">
        <v>2213</v>
      </c>
    </row>
    <row r="93" spans="1:1">
      <c r="A93" s="380" t="s">
        <v>2214</v>
      </c>
    </row>
    <row r="94" spans="1:1">
      <c r="A94" s="380" t="s">
        <v>2215</v>
      </c>
    </row>
    <row r="95" spans="1:1">
      <c r="A95" s="380" t="s">
        <v>2216</v>
      </c>
    </row>
    <row r="96" spans="1:1">
      <c r="A96" s="380" t="s">
        <v>2217</v>
      </c>
    </row>
    <row r="97" spans="1:1">
      <c r="A97" s="380" t="s">
        <v>2218</v>
      </c>
    </row>
    <row r="98" spans="1:1">
      <c r="A98" s="380" t="s">
        <v>2219</v>
      </c>
    </row>
    <row r="99" spans="1:1">
      <c r="A99" s="380" t="s">
        <v>2220</v>
      </c>
    </row>
    <row r="100" spans="1:1">
      <c r="A100" s="380" t="s">
        <v>2221</v>
      </c>
    </row>
    <row r="101" spans="1:1">
      <c r="A101" s="380" t="s">
        <v>2222</v>
      </c>
    </row>
    <row r="103" spans="1:1">
      <c r="A103" s="380" t="s">
        <v>2223</v>
      </c>
    </row>
    <row r="104" spans="1:1">
      <c r="A104" s="380" t="s">
        <v>1029</v>
      </c>
    </row>
    <row r="105" spans="1:1">
      <c r="A105" s="380" t="s">
        <v>2224</v>
      </c>
    </row>
    <row r="106" spans="1:1">
      <c r="A106" s="380" t="s">
        <v>862</v>
      </c>
    </row>
    <row r="107" spans="1:1">
      <c r="A107" s="380" t="s">
        <v>2225</v>
      </c>
    </row>
    <row r="108" spans="1:1">
      <c r="A108" s="380" t="s">
        <v>864</v>
      </c>
    </row>
    <row r="109" spans="1:1">
      <c r="A109" s="380" t="s">
        <v>2226</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c r="A120" s="380" t="s">
        <v>876</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2227</v>
      </c>
    </row>
    <row r="142" spans="1:1">
      <c r="A142" s="380" t="s">
        <v>898</v>
      </c>
    </row>
    <row r="143" spans="1:1">
      <c r="A143" s="380" t="s">
        <v>2228</v>
      </c>
    </row>
    <row r="144" spans="1:1">
      <c r="A144" s="380" t="s">
        <v>900</v>
      </c>
    </row>
    <row r="145" spans="1:1">
      <c r="A145" s="380" t="s">
        <v>1035</v>
      </c>
    </row>
    <row r="146" spans="1:1">
      <c r="A146" s="380" t="s">
        <v>902</v>
      </c>
    </row>
    <row r="147" spans="1:1">
      <c r="A147" s="380" t="s">
        <v>903</v>
      </c>
    </row>
    <row r="148" spans="1:1">
      <c r="A148" s="380" t="s">
        <v>904</v>
      </c>
    </row>
    <row r="149" spans="1:1">
      <c r="A149" s="380" t="s">
        <v>905</v>
      </c>
    </row>
    <row r="150" spans="1:1">
      <c r="A150" s="380" t="s">
        <v>906</v>
      </c>
    </row>
    <row r="151" spans="1:1">
      <c r="A151" s="380" t="s">
        <v>907</v>
      </c>
    </row>
    <row r="152" spans="1:1">
      <c r="A152" s="380" t="s">
        <v>908</v>
      </c>
    </row>
    <row r="153" spans="1:1">
      <c r="A153" s="380" t="s">
        <v>909</v>
      </c>
    </row>
    <row r="154" spans="1:1">
      <c r="A154" s="380" t="s">
        <v>910</v>
      </c>
    </row>
    <row r="155" spans="1:1">
      <c r="A155" s="380" t="s">
        <v>911</v>
      </c>
    </row>
    <row r="156" spans="1:1" s="381" customFormat="1">
      <c r="A156" s="381" t="s">
        <v>2229</v>
      </c>
    </row>
    <row r="157" spans="1:1">
      <c r="A157" s="380" t="s">
        <v>913</v>
      </c>
    </row>
    <row r="158" spans="1:1">
      <c r="A158" s="380" t="s">
        <v>914</v>
      </c>
    </row>
  </sheetData>
  <phoneticPr fontId="3"/>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dimension ref="A1:B36"/>
  <sheetViews>
    <sheetView workbookViewId="0">
      <selection activeCell="J12" sqref="J12"/>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2222</v>
      </c>
    </row>
    <row r="9" spans="1:1">
      <c r="A9" s="380" t="s">
        <v>2230</v>
      </c>
    </row>
    <row r="10" spans="1:1">
      <c r="A10" s="380" t="s">
        <v>2231</v>
      </c>
    </row>
    <row r="11" spans="1:1">
      <c r="A11" s="380" t="s">
        <v>2232</v>
      </c>
    </row>
    <row r="12" spans="1:1">
      <c r="A12" s="380" t="s">
        <v>2233</v>
      </c>
    </row>
    <row r="13" spans="1:1">
      <c r="A13" s="380" t="s">
        <v>2234</v>
      </c>
    </row>
    <row r="14" spans="1:1" s="381" customFormat="1">
      <c r="A14" s="381" t="s">
        <v>2235</v>
      </c>
    </row>
    <row r="15" spans="1:1" s="381" customFormat="1">
      <c r="A15" s="381" t="s">
        <v>2236</v>
      </c>
    </row>
    <row r="16" spans="1:1" s="381" customFormat="1">
      <c r="A16" s="381" t="s">
        <v>673</v>
      </c>
    </row>
    <row r="17" spans="1:2" s="381" customFormat="1">
      <c r="A17" s="381" t="s">
        <v>718</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2237</v>
      </c>
    </row>
    <row r="36" spans="1:2">
      <c r="A36" s="380" t="s">
        <v>2238</v>
      </c>
    </row>
  </sheetData>
  <phoneticPr fontId="3"/>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dimension ref="A1:B36"/>
  <sheetViews>
    <sheetView workbookViewId="0">
      <selection activeCell="A14" sqref="A14:IV18"/>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2238</v>
      </c>
    </row>
    <row r="9" spans="1:1">
      <c r="A9" s="380" t="s">
        <v>2239</v>
      </c>
    </row>
    <row r="10" spans="1:1">
      <c r="A10" s="380" t="s">
        <v>2240</v>
      </c>
    </row>
    <row r="11" spans="1:1">
      <c r="A11" s="380" t="s">
        <v>2241</v>
      </c>
    </row>
    <row r="12" spans="1:1">
      <c r="A12" s="380" t="s">
        <v>2242</v>
      </c>
    </row>
    <row r="13" spans="1:1">
      <c r="A13" s="380" t="s">
        <v>2243</v>
      </c>
    </row>
    <row r="14" spans="1:1" s="381" customFormat="1">
      <c r="A14" s="381" t="s">
        <v>2244</v>
      </c>
    </row>
    <row r="15" spans="1:1" s="381" customFormat="1">
      <c r="A15" s="381" t="s">
        <v>2245</v>
      </c>
    </row>
    <row r="16" spans="1:1" s="381" customFormat="1">
      <c r="A16" s="381" t="s">
        <v>673</v>
      </c>
    </row>
    <row r="17" spans="1:2" s="381" customFormat="1">
      <c r="A17" s="381" t="s">
        <v>719</v>
      </c>
    </row>
    <row r="18" spans="1:2" s="381" customFormat="1">
      <c r="A18" s="381" t="s">
        <v>698</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2246</v>
      </c>
    </row>
    <row r="36" spans="1:2">
      <c r="A36" s="380" t="s">
        <v>2247</v>
      </c>
    </row>
  </sheetData>
  <phoneticPr fontId="3"/>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0"/>
  <dimension ref="A1:A158"/>
  <sheetViews>
    <sheetView topLeftCell="A139" workbookViewId="0">
      <selection activeCell="G161" sqref="G161"/>
    </sheetView>
  </sheetViews>
  <sheetFormatPr defaultColWidth="9" defaultRowHeight="13"/>
  <cols>
    <col min="1" max="16384" width="9" style="380"/>
  </cols>
  <sheetData>
    <row r="1" spans="1:1">
      <c r="A1" s="380" t="s">
        <v>671</v>
      </c>
    </row>
    <row r="3" spans="1:1">
      <c r="A3" s="380" t="s">
        <v>670</v>
      </c>
    </row>
    <row r="4" spans="1:1">
      <c r="A4" s="380" t="s">
        <v>2248</v>
      </c>
    </row>
    <row r="6" spans="1:1">
      <c r="A6" s="380" t="s">
        <v>672</v>
      </c>
    </row>
    <row r="8" spans="1:1">
      <c r="A8" s="380" t="s">
        <v>2247</v>
      </c>
    </row>
    <row r="9" spans="1:1">
      <c r="A9" s="380" t="s">
        <v>2249</v>
      </c>
    </row>
    <row r="10" spans="1:1">
      <c r="A10" s="380" t="s">
        <v>2250</v>
      </c>
    </row>
    <row r="11" spans="1:1">
      <c r="A11" s="380" t="s">
        <v>2251</v>
      </c>
    </row>
    <row r="12" spans="1:1">
      <c r="A12" s="380" t="s">
        <v>2252</v>
      </c>
    </row>
    <row r="13" spans="1:1">
      <c r="A13" s="380" t="s">
        <v>2253</v>
      </c>
    </row>
    <row r="14" spans="1:1">
      <c r="A14" s="380" t="s">
        <v>2254</v>
      </c>
    </row>
    <row r="15" spans="1:1">
      <c r="A15" s="380" t="s">
        <v>2255</v>
      </c>
    </row>
    <row r="16" spans="1:1">
      <c r="A16" s="380" t="s">
        <v>2256</v>
      </c>
    </row>
    <row r="17" spans="1:1">
      <c r="A17" s="380" t="s">
        <v>2257</v>
      </c>
    </row>
    <row r="18" spans="1:1">
      <c r="A18" s="380" t="s">
        <v>2258</v>
      </c>
    </row>
    <row r="19" spans="1:1">
      <c r="A19" s="380" t="s">
        <v>2259</v>
      </c>
    </row>
    <row r="20" spans="1:1">
      <c r="A20" s="380" t="s">
        <v>2260</v>
      </c>
    </row>
    <row r="21" spans="1:1">
      <c r="A21" s="380" t="s">
        <v>2261</v>
      </c>
    </row>
    <row r="22" spans="1:1">
      <c r="A22" s="380" t="s">
        <v>2262</v>
      </c>
    </row>
    <row r="23" spans="1:1">
      <c r="A23" s="380" t="s">
        <v>2263</v>
      </c>
    </row>
    <row r="24" spans="1:1">
      <c r="A24" s="380" t="s">
        <v>2264</v>
      </c>
    </row>
    <row r="25" spans="1:1">
      <c r="A25" s="380" t="s">
        <v>2265</v>
      </c>
    </row>
    <row r="26" spans="1:1">
      <c r="A26" s="380" t="s">
        <v>2266</v>
      </c>
    </row>
    <row r="27" spans="1:1">
      <c r="A27" s="380" t="s">
        <v>2267</v>
      </c>
    </row>
    <row r="28" spans="1:1">
      <c r="A28" s="380" t="s">
        <v>2268</v>
      </c>
    </row>
    <row r="29" spans="1:1">
      <c r="A29" s="380" t="s">
        <v>2269</v>
      </c>
    </row>
    <row r="30" spans="1:1">
      <c r="A30" s="380" t="s">
        <v>2270</v>
      </c>
    </row>
    <row r="31" spans="1:1">
      <c r="A31" s="380" t="s">
        <v>2271</v>
      </c>
    </row>
    <row r="32" spans="1:1">
      <c r="A32" s="380" t="s">
        <v>2272</v>
      </c>
    </row>
    <row r="33" spans="1:1">
      <c r="A33" s="380" t="s">
        <v>2273</v>
      </c>
    </row>
    <row r="34" spans="1:1">
      <c r="A34" s="380" t="s">
        <v>2274</v>
      </c>
    </row>
    <row r="35" spans="1:1">
      <c r="A35" s="380" t="s">
        <v>2275</v>
      </c>
    </row>
    <row r="36" spans="1:1">
      <c r="A36" s="380" t="s">
        <v>2276</v>
      </c>
    </row>
    <row r="37" spans="1:1">
      <c r="A37" s="380" t="s">
        <v>2277</v>
      </c>
    </row>
    <row r="38" spans="1:1">
      <c r="A38" s="380" t="s">
        <v>2278</v>
      </c>
    </row>
    <row r="39" spans="1:1">
      <c r="A39" s="380" t="s">
        <v>2279</v>
      </c>
    </row>
    <row r="40" spans="1:1">
      <c r="A40" s="380" t="s">
        <v>2280</v>
      </c>
    </row>
    <row r="41" spans="1:1">
      <c r="A41" s="380" t="s">
        <v>2281</v>
      </c>
    </row>
    <row r="42" spans="1:1">
      <c r="A42" s="380" t="s">
        <v>2282</v>
      </c>
    </row>
    <row r="43" spans="1:1">
      <c r="A43" s="380" t="s">
        <v>2283</v>
      </c>
    </row>
    <row r="44" spans="1:1">
      <c r="A44" s="380" t="s">
        <v>2284</v>
      </c>
    </row>
    <row r="45" spans="1:1">
      <c r="A45" s="380" t="s">
        <v>2285</v>
      </c>
    </row>
    <row r="46" spans="1:1">
      <c r="A46" s="380" t="s">
        <v>2286</v>
      </c>
    </row>
    <row r="47" spans="1:1">
      <c r="A47" s="380" t="s">
        <v>2287</v>
      </c>
    </row>
    <row r="48" spans="1:1">
      <c r="A48" s="380" t="s">
        <v>2288</v>
      </c>
    </row>
    <row r="49" spans="1:1">
      <c r="A49" s="380" t="s">
        <v>2289</v>
      </c>
    </row>
    <row r="50" spans="1:1">
      <c r="A50" s="380" t="s">
        <v>2290</v>
      </c>
    </row>
    <row r="51" spans="1:1">
      <c r="A51" s="380" t="s">
        <v>2291</v>
      </c>
    </row>
    <row r="52" spans="1:1">
      <c r="A52" s="380" t="s">
        <v>2292</v>
      </c>
    </row>
    <row r="53" spans="1:1">
      <c r="A53" s="380" t="s">
        <v>2293</v>
      </c>
    </row>
    <row r="54" spans="1:1">
      <c r="A54" s="380" t="s">
        <v>2294</v>
      </c>
    </row>
    <row r="55" spans="1:1">
      <c r="A55" s="380" t="s">
        <v>2295</v>
      </c>
    </row>
    <row r="56" spans="1:1">
      <c r="A56" s="380" t="s">
        <v>2296</v>
      </c>
    </row>
    <row r="57" spans="1:1">
      <c r="A57" s="380" t="s">
        <v>2297</v>
      </c>
    </row>
    <row r="58" spans="1:1">
      <c r="A58" s="380" t="s">
        <v>2298</v>
      </c>
    </row>
    <row r="59" spans="1:1">
      <c r="A59" s="380" t="s">
        <v>2299</v>
      </c>
    </row>
    <row r="60" spans="1:1">
      <c r="A60" s="380" t="s">
        <v>2300</v>
      </c>
    </row>
    <row r="61" spans="1:1">
      <c r="A61" s="380" t="s">
        <v>2301</v>
      </c>
    </row>
    <row r="62" spans="1:1">
      <c r="A62" s="380" t="s">
        <v>2302</v>
      </c>
    </row>
    <row r="63" spans="1:1" s="381" customFormat="1">
      <c r="A63" s="381" t="s">
        <v>2303</v>
      </c>
    </row>
    <row r="64" spans="1:1">
      <c r="A64" s="380" t="s">
        <v>2304</v>
      </c>
    </row>
    <row r="65" spans="1:1">
      <c r="A65" s="380" t="s">
        <v>2305</v>
      </c>
    </row>
    <row r="66" spans="1:1">
      <c r="A66" s="380" t="s">
        <v>2306</v>
      </c>
    </row>
    <row r="67" spans="1:1">
      <c r="A67" s="380" t="s">
        <v>2307</v>
      </c>
    </row>
    <row r="68" spans="1:1">
      <c r="A68" s="380" t="s">
        <v>2308</v>
      </c>
    </row>
    <row r="69" spans="1:1">
      <c r="A69" s="380" t="s">
        <v>2309</v>
      </c>
    </row>
    <row r="70" spans="1:1">
      <c r="A70" s="380" t="s">
        <v>2310</v>
      </c>
    </row>
    <row r="71" spans="1:1">
      <c r="A71" s="380" t="s">
        <v>2311</v>
      </c>
    </row>
    <row r="72" spans="1:1">
      <c r="A72" s="380" t="s">
        <v>2312</v>
      </c>
    </row>
    <row r="73" spans="1:1">
      <c r="A73" s="380" t="s">
        <v>2313</v>
      </c>
    </row>
    <row r="74" spans="1:1">
      <c r="A74" s="380" t="s">
        <v>2314</v>
      </c>
    </row>
    <row r="75" spans="1:1">
      <c r="A75" s="380" t="s">
        <v>2315</v>
      </c>
    </row>
    <row r="76" spans="1:1">
      <c r="A76" s="380" t="s">
        <v>2316</v>
      </c>
    </row>
    <row r="77" spans="1:1">
      <c r="A77" s="380" t="s">
        <v>2317</v>
      </c>
    </row>
    <row r="78" spans="1:1">
      <c r="A78" s="380" t="s">
        <v>2318</v>
      </c>
    </row>
    <row r="79" spans="1:1">
      <c r="A79" s="380" t="s">
        <v>2319</v>
      </c>
    </row>
    <row r="80" spans="1:1">
      <c r="A80" s="380" t="s">
        <v>2320</v>
      </c>
    </row>
    <row r="81" spans="1:1">
      <c r="A81" s="380" t="s">
        <v>2321</v>
      </c>
    </row>
    <row r="82" spans="1:1">
      <c r="A82" s="380" t="s">
        <v>2322</v>
      </c>
    </row>
    <row r="83" spans="1:1">
      <c r="A83" s="380" t="s">
        <v>2323</v>
      </c>
    </row>
    <row r="84" spans="1:1">
      <c r="A84" s="380" t="s">
        <v>2324</v>
      </c>
    </row>
    <row r="85" spans="1:1">
      <c r="A85" s="380" t="s">
        <v>2325</v>
      </c>
    </row>
    <row r="86" spans="1:1">
      <c r="A86" s="380" t="s">
        <v>2326</v>
      </c>
    </row>
    <row r="87" spans="1:1">
      <c r="A87" s="380" t="s">
        <v>2327</v>
      </c>
    </row>
    <row r="88" spans="1:1">
      <c r="A88" s="380" t="s">
        <v>2328</v>
      </c>
    </row>
    <row r="89" spans="1:1">
      <c r="A89" s="380" t="s">
        <v>2329</v>
      </c>
    </row>
    <row r="90" spans="1:1">
      <c r="A90" s="380" t="s">
        <v>2330</v>
      </c>
    </row>
    <row r="91" spans="1:1">
      <c r="A91" s="380" t="s">
        <v>2331</v>
      </c>
    </row>
    <row r="92" spans="1:1">
      <c r="A92" s="380" t="s">
        <v>2332</v>
      </c>
    </row>
    <row r="93" spans="1:1">
      <c r="A93" s="380" t="s">
        <v>2333</v>
      </c>
    </row>
    <row r="94" spans="1:1">
      <c r="A94" s="380" t="s">
        <v>2334</v>
      </c>
    </row>
    <row r="95" spans="1:1">
      <c r="A95" s="380" t="s">
        <v>2335</v>
      </c>
    </row>
    <row r="96" spans="1:1">
      <c r="A96" s="380" t="s">
        <v>2336</v>
      </c>
    </row>
    <row r="97" spans="1:1">
      <c r="A97" s="380" t="s">
        <v>2337</v>
      </c>
    </row>
    <row r="98" spans="1:1">
      <c r="A98" s="380" t="s">
        <v>2338</v>
      </c>
    </row>
    <row r="99" spans="1:1">
      <c r="A99" s="380" t="s">
        <v>2339</v>
      </c>
    </row>
    <row r="100" spans="1:1">
      <c r="A100" s="380" t="s">
        <v>2340</v>
      </c>
    </row>
    <row r="101" spans="1:1">
      <c r="A101" s="380" t="s">
        <v>2341</v>
      </c>
    </row>
    <row r="103" spans="1:1">
      <c r="A103" s="380" t="s">
        <v>2342</v>
      </c>
    </row>
    <row r="104" spans="1:1">
      <c r="A104" s="380" t="s">
        <v>860</v>
      </c>
    </row>
    <row r="105" spans="1:1">
      <c r="A105" s="380" t="s">
        <v>2343</v>
      </c>
    </row>
    <row r="106" spans="1:1">
      <c r="A106" s="380" t="s">
        <v>862</v>
      </c>
    </row>
    <row r="107" spans="1:1">
      <c r="A107" s="380" t="s">
        <v>2344</v>
      </c>
    </row>
    <row r="108" spans="1:1">
      <c r="A108" s="380" t="s">
        <v>864</v>
      </c>
    </row>
    <row r="109" spans="1:1">
      <c r="A109" s="380" t="s">
        <v>2345</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c r="A120" s="380" t="s">
        <v>876</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2346</v>
      </c>
    </row>
    <row r="142" spans="1:1">
      <c r="A142" s="380" t="s">
        <v>898</v>
      </c>
    </row>
    <row r="143" spans="1:1">
      <c r="A143" s="380" t="s">
        <v>2347</v>
      </c>
    </row>
    <row r="144" spans="1:1">
      <c r="A144" s="380" t="s">
        <v>900</v>
      </c>
    </row>
    <row r="145" spans="1:1">
      <c r="A145" s="380" t="s">
        <v>1035</v>
      </c>
    </row>
    <row r="146" spans="1:1">
      <c r="A146" s="380" t="s">
        <v>902</v>
      </c>
    </row>
    <row r="147" spans="1:1">
      <c r="A147" s="380" t="s">
        <v>903</v>
      </c>
    </row>
    <row r="148" spans="1:1">
      <c r="A148" s="380" t="s">
        <v>904</v>
      </c>
    </row>
    <row r="149" spans="1:1">
      <c r="A149" s="380" t="s">
        <v>905</v>
      </c>
    </row>
    <row r="150" spans="1:1">
      <c r="A150" s="380" t="s">
        <v>906</v>
      </c>
    </row>
    <row r="151" spans="1:1">
      <c r="A151" s="380" t="s">
        <v>907</v>
      </c>
    </row>
    <row r="152" spans="1:1">
      <c r="A152" s="380" t="s">
        <v>908</v>
      </c>
    </row>
    <row r="153" spans="1:1">
      <c r="A153" s="380" t="s">
        <v>909</v>
      </c>
    </row>
    <row r="154" spans="1:1">
      <c r="A154" s="380" t="s">
        <v>910</v>
      </c>
    </row>
    <row r="155" spans="1:1">
      <c r="A155" s="380" t="s">
        <v>911</v>
      </c>
    </row>
    <row r="156" spans="1:1">
      <c r="A156" s="380" t="s">
        <v>912</v>
      </c>
    </row>
    <row r="157" spans="1:1" s="381" customFormat="1">
      <c r="A157" s="381" t="s">
        <v>2348</v>
      </c>
    </row>
    <row r="158" spans="1:1">
      <c r="A158" s="380" t="s">
        <v>914</v>
      </c>
    </row>
  </sheetData>
  <phoneticPr fontId="3"/>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1"/>
  <dimension ref="A1:B36"/>
  <sheetViews>
    <sheetView topLeftCell="A10" workbookViewId="0">
      <selection activeCell="H14" sqref="H14"/>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2341</v>
      </c>
    </row>
    <row r="9" spans="1:1">
      <c r="A9" s="380" t="s">
        <v>2349</v>
      </c>
    </row>
    <row r="10" spans="1:1">
      <c r="A10" s="380" t="s">
        <v>2350</v>
      </c>
    </row>
    <row r="11" spans="1:1">
      <c r="A11" s="380" t="s">
        <v>2351</v>
      </c>
    </row>
    <row r="12" spans="1:1">
      <c r="A12" s="380" t="s">
        <v>2352</v>
      </c>
    </row>
    <row r="13" spans="1:1">
      <c r="A13" s="380" t="s">
        <v>2353</v>
      </c>
    </row>
    <row r="14" spans="1:1" s="381" customFormat="1">
      <c r="A14" s="381" t="s">
        <v>2354</v>
      </c>
    </row>
    <row r="15" spans="1:1" s="381" customFormat="1">
      <c r="A15" s="381" t="s">
        <v>2355</v>
      </c>
    </row>
    <row r="16" spans="1:1" s="381" customFormat="1">
      <c r="A16" s="381" t="s">
        <v>673</v>
      </c>
    </row>
    <row r="17" spans="1:2" s="381" customFormat="1">
      <c r="A17" s="381" t="s">
        <v>2356</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2357</v>
      </c>
    </row>
    <row r="36" spans="1:2">
      <c r="A36" s="380" t="s">
        <v>2358</v>
      </c>
    </row>
  </sheetData>
  <phoneticPr fontId="3"/>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2"/>
  <dimension ref="A1:B36"/>
  <sheetViews>
    <sheetView workbookViewId="0">
      <selection activeCell="A14" sqref="A14:IV18"/>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2358</v>
      </c>
    </row>
    <row r="9" spans="1:1">
      <c r="A9" s="380" t="s">
        <v>2359</v>
      </c>
    </row>
    <row r="10" spans="1:1">
      <c r="A10" s="380" t="s">
        <v>2360</v>
      </c>
    </row>
    <row r="11" spans="1:1">
      <c r="A11" s="380" t="s">
        <v>2361</v>
      </c>
    </row>
    <row r="12" spans="1:1">
      <c r="A12" s="380" t="s">
        <v>2362</v>
      </c>
    </row>
    <row r="13" spans="1:1">
      <c r="A13" s="380" t="s">
        <v>2363</v>
      </c>
    </row>
    <row r="14" spans="1:1" s="381" customFormat="1">
      <c r="A14" s="381" t="s">
        <v>2364</v>
      </c>
    </row>
    <row r="15" spans="1:1" s="381" customFormat="1">
      <c r="A15" s="381" t="s">
        <v>2365</v>
      </c>
    </row>
    <row r="16" spans="1:1" s="381" customFormat="1">
      <c r="A16" s="381" t="s">
        <v>673</v>
      </c>
    </row>
    <row r="17" spans="1:2" s="381" customFormat="1">
      <c r="A17" s="381" t="s">
        <v>720</v>
      </c>
    </row>
    <row r="18" spans="1:2" s="381" customFormat="1">
      <c r="A18" s="381" t="s">
        <v>721</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2366</v>
      </c>
    </row>
    <row r="36" spans="1:2">
      <c r="A36" s="380" t="s">
        <v>2367</v>
      </c>
    </row>
  </sheetData>
  <phoneticPr fontId="3"/>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3"/>
  <dimension ref="A1:A158"/>
  <sheetViews>
    <sheetView topLeftCell="A151" workbookViewId="0">
      <selection activeCell="A158" sqref="A158:IV158"/>
    </sheetView>
  </sheetViews>
  <sheetFormatPr defaultColWidth="9" defaultRowHeight="13"/>
  <cols>
    <col min="1" max="16384" width="9" style="380"/>
  </cols>
  <sheetData>
    <row r="1" spans="1:1">
      <c r="A1" s="380" t="s">
        <v>671</v>
      </c>
    </row>
    <row r="3" spans="1:1">
      <c r="A3" s="380" t="s">
        <v>670</v>
      </c>
    </row>
    <row r="4" spans="1:1">
      <c r="A4" s="380" t="s">
        <v>2368</v>
      </c>
    </row>
    <row r="6" spans="1:1">
      <c r="A6" s="380" t="s">
        <v>672</v>
      </c>
    </row>
    <row r="8" spans="1:1">
      <c r="A8" s="380" t="s">
        <v>2367</v>
      </c>
    </row>
    <row r="9" spans="1:1">
      <c r="A9" s="380" t="s">
        <v>2369</v>
      </c>
    </row>
    <row r="10" spans="1:1">
      <c r="A10" s="380" t="s">
        <v>2370</v>
      </c>
    </row>
    <row r="11" spans="1:1">
      <c r="A11" s="380" t="s">
        <v>2371</v>
      </c>
    </row>
    <row r="12" spans="1:1">
      <c r="A12" s="380" t="s">
        <v>2372</v>
      </c>
    </row>
    <row r="13" spans="1:1">
      <c r="A13" s="380" t="s">
        <v>2373</v>
      </c>
    </row>
    <row r="14" spans="1:1">
      <c r="A14" s="380" t="s">
        <v>2374</v>
      </c>
    </row>
    <row r="15" spans="1:1">
      <c r="A15" s="380" t="s">
        <v>2375</v>
      </c>
    </row>
    <row r="16" spans="1:1">
      <c r="A16" s="380" t="s">
        <v>2376</v>
      </c>
    </row>
    <row r="17" spans="1:1">
      <c r="A17" s="380" t="s">
        <v>2377</v>
      </c>
    </row>
    <row r="18" spans="1:1">
      <c r="A18" s="380" t="s">
        <v>2378</v>
      </c>
    </row>
    <row r="19" spans="1:1">
      <c r="A19" s="380" t="s">
        <v>2379</v>
      </c>
    </row>
    <row r="20" spans="1:1">
      <c r="A20" s="380" t="s">
        <v>2380</v>
      </c>
    </row>
    <row r="21" spans="1:1">
      <c r="A21" s="380" t="s">
        <v>2381</v>
      </c>
    </row>
    <row r="22" spans="1:1">
      <c r="A22" s="380" t="s">
        <v>2382</v>
      </c>
    </row>
    <row r="23" spans="1:1">
      <c r="A23" s="380" t="s">
        <v>2383</v>
      </c>
    </row>
    <row r="24" spans="1:1">
      <c r="A24" s="380" t="s">
        <v>2384</v>
      </c>
    </row>
    <row r="25" spans="1:1">
      <c r="A25" s="380" t="s">
        <v>2385</v>
      </c>
    </row>
    <row r="26" spans="1:1">
      <c r="A26" s="380" t="s">
        <v>2386</v>
      </c>
    </row>
    <row r="27" spans="1:1">
      <c r="A27" s="380" t="s">
        <v>2387</v>
      </c>
    </row>
    <row r="28" spans="1:1">
      <c r="A28" s="380" t="s">
        <v>2388</v>
      </c>
    </row>
    <row r="29" spans="1:1">
      <c r="A29" s="380" t="s">
        <v>2389</v>
      </c>
    </row>
    <row r="30" spans="1:1">
      <c r="A30" s="380" t="s">
        <v>2390</v>
      </c>
    </row>
    <row r="31" spans="1:1">
      <c r="A31" s="380" t="s">
        <v>2391</v>
      </c>
    </row>
    <row r="32" spans="1:1">
      <c r="A32" s="380" t="s">
        <v>2392</v>
      </c>
    </row>
    <row r="33" spans="1:1">
      <c r="A33" s="380" t="s">
        <v>2393</v>
      </c>
    </row>
    <row r="34" spans="1:1">
      <c r="A34" s="380" t="s">
        <v>2394</v>
      </c>
    </row>
    <row r="35" spans="1:1">
      <c r="A35" s="380" t="s">
        <v>2395</v>
      </c>
    </row>
    <row r="36" spans="1:1">
      <c r="A36" s="380" t="s">
        <v>2396</v>
      </c>
    </row>
    <row r="37" spans="1:1">
      <c r="A37" s="380" t="s">
        <v>2397</v>
      </c>
    </row>
    <row r="38" spans="1:1">
      <c r="A38" s="380" t="s">
        <v>2398</v>
      </c>
    </row>
    <row r="39" spans="1:1">
      <c r="A39" s="380" t="s">
        <v>2399</v>
      </c>
    </row>
    <row r="40" spans="1:1">
      <c r="A40" s="380" t="s">
        <v>2400</v>
      </c>
    </row>
    <row r="41" spans="1:1">
      <c r="A41" s="380" t="s">
        <v>2401</v>
      </c>
    </row>
    <row r="42" spans="1:1">
      <c r="A42" s="380" t="s">
        <v>2402</v>
      </c>
    </row>
    <row r="43" spans="1:1">
      <c r="A43" s="380" t="s">
        <v>2403</v>
      </c>
    </row>
    <row r="44" spans="1:1">
      <c r="A44" s="380" t="s">
        <v>2404</v>
      </c>
    </row>
    <row r="45" spans="1:1">
      <c r="A45" s="380" t="s">
        <v>2405</v>
      </c>
    </row>
    <row r="46" spans="1:1">
      <c r="A46" s="380" t="s">
        <v>2406</v>
      </c>
    </row>
    <row r="47" spans="1:1">
      <c r="A47" s="380" t="s">
        <v>2407</v>
      </c>
    </row>
    <row r="48" spans="1:1">
      <c r="A48" s="380" t="s">
        <v>2408</v>
      </c>
    </row>
    <row r="49" spans="1:1">
      <c r="A49" s="380" t="s">
        <v>2409</v>
      </c>
    </row>
    <row r="50" spans="1:1">
      <c r="A50" s="380" t="s">
        <v>2410</v>
      </c>
    </row>
    <row r="51" spans="1:1">
      <c r="A51" s="380" t="s">
        <v>2411</v>
      </c>
    </row>
    <row r="52" spans="1:1">
      <c r="A52" s="380" t="s">
        <v>2412</v>
      </c>
    </row>
    <row r="53" spans="1:1">
      <c r="A53" s="380" t="s">
        <v>2413</v>
      </c>
    </row>
    <row r="54" spans="1:1">
      <c r="A54" s="380" t="s">
        <v>2414</v>
      </c>
    </row>
    <row r="55" spans="1:1">
      <c r="A55" s="380" t="s">
        <v>2415</v>
      </c>
    </row>
    <row r="56" spans="1:1">
      <c r="A56" s="380" t="s">
        <v>2416</v>
      </c>
    </row>
    <row r="57" spans="1:1">
      <c r="A57" s="380" t="s">
        <v>2417</v>
      </c>
    </row>
    <row r="58" spans="1:1">
      <c r="A58" s="380" t="s">
        <v>2418</v>
      </c>
    </row>
    <row r="59" spans="1:1">
      <c r="A59" s="380" t="s">
        <v>2419</v>
      </c>
    </row>
    <row r="60" spans="1:1">
      <c r="A60" s="380" t="s">
        <v>2420</v>
      </c>
    </row>
    <row r="61" spans="1:1">
      <c r="A61" s="380" t="s">
        <v>2421</v>
      </c>
    </row>
    <row r="62" spans="1:1">
      <c r="A62" s="380" t="s">
        <v>2422</v>
      </c>
    </row>
    <row r="63" spans="1:1">
      <c r="A63" s="380" t="s">
        <v>2423</v>
      </c>
    </row>
    <row r="64" spans="1:1" s="381" customFormat="1">
      <c r="A64" s="381" t="s">
        <v>2424</v>
      </c>
    </row>
    <row r="65" spans="1:1">
      <c r="A65" s="380" t="s">
        <v>2425</v>
      </c>
    </row>
    <row r="66" spans="1:1">
      <c r="A66" s="380" t="s">
        <v>2426</v>
      </c>
    </row>
    <row r="67" spans="1:1">
      <c r="A67" s="380" t="s">
        <v>2427</v>
      </c>
    </row>
    <row r="68" spans="1:1">
      <c r="A68" s="380" t="s">
        <v>2428</v>
      </c>
    </row>
    <row r="69" spans="1:1">
      <c r="A69" s="380" t="s">
        <v>2429</v>
      </c>
    </row>
    <row r="70" spans="1:1">
      <c r="A70" s="380" t="s">
        <v>2430</v>
      </c>
    </row>
    <row r="71" spans="1:1">
      <c r="A71" s="380" t="s">
        <v>2431</v>
      </c>
    </row>
    <row r="72" spans="1:1">
      <c r="A72" s="380" t="s">
        <v>2432</v>
      </c>
    </row>
    <row r="73" spans="1:1">
      <c r="A73" s="380" t="s">
        <v>2433</v>
      </c>
    </row>
    <row r="74" spans="1:1">
      <c r="A74" s="380" t="s">
        <v>2434</v>
      </c>
    </row>
    <row r="75" spans="1:1">
      <c r="A75" s="380" t="s">
        <v>2435</v>
      </c>
    </row>
    <row r="76" spans="1:1">
      <c r="A76" s="380" t="s">
        <v>2436</v>
      </c>
    </row>
    <row r="77" spans="1:1">
      <c r="A77" s="380" t="s">
        <v>2437</v>
      </c>
    </row>
    <row r="78" spans="1:1">
      <c r="A78" s="380" t="s">
        <v>2438</v>
      </c>
    </row>
    <row r="79" spans="1:1">
      <c r="A79" s="380" t="s">
        <v>2439</v>
      </c>
    </row>
    <row r="80" spans="1:1">
      <c r="A80" s="380" t="s">
        <v>2440</v>
      </c>
    </row>
    <row r="81" spans="1:1">
      <c r="A81" s="380" t="s">
        <v>2441</v>
      </c>
    </row>
    <row r="82" spans="1:1">
      <c r="A82" s="380" t="s">
        <v>2442</v>
      </c>
    </row>
    <row r="83" spans="1:1">
      <c r="A83" s="380" t="s">
        <v>2443</v>
      </c>
    </row>
    <row r="84" spans="1:1">
      <c r="A84" s="380" t="s">
        <v>2444</v>
      </c>
    </row>
    <row r="85" spans="1:1">
      <c r="A85" s="380" t="s">
        <v>2445</v>
      </c>
    </row>
    <row r="86" spans="1:1">
      <c r="A86" s="380" t="s">
        <v>2446</v>
      </c>
    </row>
    <row r="87" spans="1:1">
      <c r="A87" s="380" t="s">
        <v>2447</v>
      </c>
    </row>
    <row r="88" spans="1:1">
      <c r="A88" s="380" t="s">
        <v>2448</v>
      </c>
    </row>
    <row r="89" spans="1:1">
      <c r="A89" s="380" t="s">
        <v>2449</v>
      </c>
    </row>
    <row r="90" spans="1:1">
      <c r="A90" s="380" t="s">
        <v>2450</v>
      </c>
    </row>
    <row r="91" spans="1:1">
      <c r="A91" s="380" t="s">
        <v>2451</v>
      </c>
    </row>
    <row r="92" spans="1:1">
      <c r="A92" s="380" t="s">
        <v>2452</v>
      </c>
    </row>
    <row r="93" spans="1:1">
      <c r="A93" s="380" t="s">
        <v>2453</v>
      </c>
    </row>
    <row r="94" spans="1:1">
      <c r="A94" s="380" t="s">
        <v>2454</v>
      </c>
    </row>
    <row r="95" spans="1:1">
      <c r="A95" s="380" t="s">
        <v>2455</v>
      </c>
    </row>
    <row r="96" spans="1:1">
      <c r="A96" s="380" t="s">
        <v>2456</v>
      </c>
    </row>
    <row r="97" spans="1:1">
      <c r="A97" s="380" t="s">
        <v>2457</v>
      </c>
    </row>
    <row r="98" spans="1:1">
      <c r="A98" s="380" t="s">
        <v>2458</v>
      </c>
    </row>
    <row r="99" spans="1:1">
      <c r="A99" s="380" t="s">
        <v>2459</v>
      </c>
    </row>
    <row r="100" spans="1:1">
      <c r="A100" s="380" t="s">
        <v>2460</v>
      </c>
    </row>
    <row r="101" spans="1:1">
      <c r="A101" s="380" t="s">
        <v>2461</v>
      </c>
    </row>
    <row r="103" spans="1:1">
      <c r="A103" s="380" t="s">
        <v>2462</v>
      </c>
    </row>
    <row r="104" spans="1:1">
      <c r="A104" s="380" t="s">
        <v>1029</v>
      </c>
    </row>
    <row r="105" spans="1:1">
      <c r="A105" s="380" t="s">
        <v>2463</v>
      </c>
    </row>
    <row r="106" spans="1:1">
      <c r="A106" s="380" t="s">
        <v>862</v>
      </c>
    </row>
    <row r="107" spans="1:1">
      <c r="A107" s="380" t="s">
        <v>2464</v>
      </c>
    </row>
    <row r="108" spans="1:1">
      <c r="A108" s="380" t="s">
        <v>864</v>
      </c>
    </row>
    <row r="109" spans="1:1">
      <c r="A109" s="380" t="s">
        <v>2465</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c r="A120" s="380" t="s">
        <v>876</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2466</v>
      </c>
    </row>
    <row r="142" spans="1:1">
      <c r="A142" s="380" t="s">
        <v>898</v>
      </c>
    </row>
    <row r="143" spans="1:1">
      <c r="A143" s="380" t="s">
        <v>2467</v>
      </c>
    </row>
    <row r="144" spans="1:1">
      <c r="A144" s="380" t="s">
        <v>900</v>
      </c>
    </row>
    <row r="145" spans="1:1">
      <c r="A145" s="380" t="s">
        <v>1035</v>
      </c>
    </row>
    <row r="146" spans="1:1">
      <c r="A146" s="380" t="s">
        <v>902</v>
      </c>
    </row>
    <row r="147" spans="1:1">
      <c r="A147" s="380" t="s">
        <v>903</v>
      </c>
    </row>
    <row r="148" spans="1:1">
      <c r="A148" s="380" t="s">
        <v>904</v>
      </c>
    </row>
    <row r="149" spans="1:1">
      <c r="A149" s="380" t="s">
        <v>905</v>
      </c>
    </row>
    <row r="150" spans="1:1">
      <c r="A150" s="380" t="s">
        <v>906</v>
      </c>
    </row>
    <row r="151" spans="1:1">
      <c r="A151" s="380" t="s">
        <v>907</v>
      </c>
    </row>
    <row r="152" spans="1:1">
      <c r="A152" s="380" t="s">
        <v>908</v>
      </c>
    </row>
    <row r="153" spans="1:1">
      <c r="A153" s="380" t="s">
        <v>909</v>
      </c>
    </row>
    <row r="154" spans="1:1">
      <c r="A154" s="380" t="s">
        <v>910</v>
      </c>
    </row>
    <row r="155" spans="1:1">
      <c r="A155" s="380" t="s">
        <v>911</v>
      </c>
    </row>
    <row r="156" spans="1:1">
      <c r="A156" s="380" t="s">
        <v>912</v>
      </c>
    </row>
    <row r="157" spans="1:1">
      <c r="A157" s="380" t="s">
        <v>913</v>
      </c>
    </row>
    <row r="158" spans="1:1" s="381" customFormat="1">
      <c r="A158" s="381" t="s">
        <v>2468</v>
      </c>
    </row>
  </sheetData>
  <phoneticPr fontId="3"/>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4"/>
  <dimension ref="A1:B36"/>
  <sheetViews>
    <sheetView workbookViewId="0">
      <selection activeCell="H14" sqref="H14"/>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2461</v>
      </c>
    </row>
    <row r="9" spans="1:1">
      <c r="A9" s="380" t="s">
        <v>2469</v>
      </c>
    </row>
    <row r="10" spans="1:1">
      <c r="A10" s="380" t="s">
        <v>2470</v>
      </c>
    </row>
    <row r="11" spans="1:1">
      <c r="A11" s="380" t="s">
        <v>2471</v>
      </c>
    </row>
    <row r="12" spans="1:1">
      <c r="A12" s="380" t="s">
        <v>2472</v>
      </c>
    </row>
    <row r="13" spans="1:1">
      <c r="A13" s="380" t="s">
        <v>2473</v>
      </c>
    </row>
    <row r="14" spans="1:1" s="381" customFormat="1">
      <c r="A14" s="381" t="s">
        <v>2474</v>
      </c>
    </row>
    <row r="15" spans="1:1" s="381" customFormat="1">
      <c r="A15" s="381" t="s">
        <v>2475</v>
      </c>
    </row>
    <row r="16" spans="1:1" s="381" customFormat="1">
      <c r="A16" s="381" t="s">
        <v>673</v>
      </c>
    </row>
    <row r="17" spans="1:2" s="381" customFormat="1">
      <c r="A17" s="381" t="s">
        <v>722</v>
      </c>
    </row>
    <row r="18" spans="1:2" s="381" customFormat="1">
      <c r="A18" s="381" t="s">
        <v>695</v>
      </c>
    </row>
    <row r="19" spans="1:2">
      <c r="B19" s="380" t="s">
        <v>674</v>
      </c>
    </row>
    <row r="20" spans="1:2">
      <c r="B20" s="380" t="s">
        <v>675</v>
      </c>
    </row>
    <row r="21" spans="1:2">
      <c r="B21" s="380" t="s">
        <v>676</v>
      </c>
    </row>
    <row r="22" spans="1:2">
      <c r="B22" s="380" t="s">
        <v>677</v>
      </c>
    </row>
    <row r="23" spans="1:2">
      <c r="B23" s="380" t="s">
        <v>678</v>
      </c>
    </row>
    <row r="24" spans="1:2">
      <c r="B24" s="380" t="s">
        <v>679</v>
      </c>
    </row>
    <row r="25" spans="1:2">
      <c r="B25" s="380" t="s">
        <v>680</v>
      </c>
    </row>
    <row r="26" spans="1:2">
      <c r="B26" s="380" t="s">
        <v>681</v>
      </c>
    </row>
    <row r="27" spans="1:2">
      <c r="B27" s="380" t="s">
        <v>682</v>
      </c>
    </row>
    <row r="28" spans="1:2">
      <c r="B28" s="380" t="s">
        <v>683</v>
      </c>
    </row>
    <row r="29" spans="1:2">
      <c r="B29" s="380" t="s">
        <v>684</v>
      </c>
    </row>
    <row r="30" spans="1:2">
      <c r="B30" s="380" t="s">
        <v>685</v>
      </c>
    </row>
    <row r="31" spans="1:2">
      <c r="B31" s="380" t="s">
        <v>686</v>
      </c>
    </row>
    <row r="32" spans="1:2">
      <c r="B32" s="380" t="s">
        <v>687</v>
      </c>
    </row>
    <row r="33" spans="1:2">
      <c r="B33" s="380" t="s">
        <v>688</v>
      </c>
    </row>
    <row r="34" spans="1:2">
      <c r="B34" s="380" t="s">
        <v>689</v>
      </c>
    </row>
    <row r="35" spans="1:2">
      <c r="A35" s="380" t="s">
        <v>2476</v>
      </c>
    </row>
    <row r="36" spans="1:2">
      <c r="A36" s="380" t="s">
        <v>2477</v>
      </c>
    </row>
  </sheetData>
  <phoneticPr fontId="3"/>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5"/>
  <dimension ref="A1:B112"/>
  <sheetViews>
    <sheetView topLeftCell="A61" workbookViewId="0">
      <selection activeCell="A71" sqref="A71:IV75"/>
    </sheetView>
  </sheetViews>
  <sheetFormatPr defaultColWidth="9" defaultRowHeight="13"/>
  <cols>
    <col min="1" max="16384" width="9" style="380"/>
  </cols>
  <sheetData>
    <row r="1" spans="1:1">
      <c r="A1" s="380" t="s">
        <v>671</v>
      </c>
    </row>
    <row r="3" spans="1:1">
      <c r="A3" s="380" t="s">
        <v>670</v>
      </c>
    </row>
    <row r="4" spans="1:1">
      <c r="A4" s="380" t="s">
        <v>915</v>
      </c>
    </row>
    <row r="6" spans="1:1">
      <c r="A6" s="380" t="s">
        <v>672</v>
      </c>
    </row>
    <row r="8" spans="1:1">
      <c r="A8" s="380" t="s">
        <v>2477</v>
      </c>
    </row>
    <row r="9" spans="1:1">
      <c r="A9" s="380" t="s">
        <v>2478</v>
      </c>
    </row>
    <row r="10" spans="1:1">
      <c r="A10" s="380" t="s">
        <v>2479</v>
      </c>
    </row>
    <row r="11" spans="1:1">
      <c r="A11" s="380" t="s">
        <v>2480</v>
      </c>
    </row>
    <row r="12" spans="1:1">
      <c r="A12" s="380" t="s">
        <v>2481</v>
      </c>
    </row>
    <row r="13" spans="1:1">
      <c r="A13" s="380" t="s">
        <v>2482</v>
      </c>
    </row>
    <row r="14" spans="1:1">
      <c r="A14" s="380" t="s">
        <v>2483</v>
      </c>
    </row>
    <row r="15" spans="1:1">
      <c r="A15" s="380" t="s">
        <v>2484</v>
      </c>
    </row>
    <row r="16" spans="1:1">
      <c r="A16" s="380" t="s">
        <v>2485</v>
      </c>
    </row>
    <row r="17" spans="1:1">
      <c r="A17" s="380" t="s">
        <v>2486</v>
      </c>
    </row>
    <row r="18" spans="1:1">
      <c r="A18" s="380" t="s">
        <v>2487</v>
      </c>
    </row>
    <row r="19" spans="1:1">
      <c r="A19" s="380" t="s">
        <v>2488</v>
      </c>
    </row>
    <row r="20" spans="1:1">
      <c r="A20" s="380" t="s">
        <v>2489</v>
      </c>
    </row>
    <row r="21" spans="1:1">
      <c r="A21" s="380" t="s">
        <v>2490</v>
      </c>
    </row>
    <row r="22" spans="1:1">
      <c r="A22" s="380" t="s">
        <v>2491</v>
      </c>
    </row>
    <row r="23" spans="1:1">
      <c r="A23" s="380" t="s">
        <v>2492</v>
      </c>
    </row>
    <row r="24" spans="1:1">
      <c r="A24" s="380" t="s">
        <v>2493</v>
      </c>
    </row>
    <row r="25" spans="1:1">
      <c r="A25" s="380" t="s">
        <v>2494</v>
      </c>
    </row>
    <row r="26" spans="1:1">
      <c r="A26" s="380" t="s">
        <v>2495</v>
      </c>
    </row>
    <row r="27" spans="1:1">
      <c r="A27" s="380" t="s">
        <v>2496</v>
      </c>
    </row>
    <row r="28" spans="1:1">
      <c r="A28" s="380" t="s">
        <v>2497</v>
      </c>
    </row>
    <row r="29" spans="1:1">
      <c r="A29" s="380" t="s">
        <v>2498</v>
      </c>
    </row>
    <row r="30" spans="1:1">
      <c r="A30" s="380" t="s">
        <v>2499</v>
      </c>
    </row>
    <row r="31" spans="1:1">
      <c r="A31" s="380" t="s">
        <v>2500</v>
      </c>
    </row>
    <row r="32" spans="1:1">
      <c r="A32" s="380" t="s">
        <v>2501</v>
      </c>
    </row>
    <row r="33" spans="1:1">
      <c r="A33" s="380" t="s">
        <v>2502</v>
      </c>
    </row>
    <row r="34" spans="1:1">
      <c r="A34" s="380" t="s">
        <v>2503</v>
      </c>
    </row>
    <row r="35" spans="1:1">
      <c r="A35" s="380" t="s">
        <v>2504</v>
      </c>
    </row>
    <row r="36" spans="1:1">
      <c r="A36" s="380" t="s">
        <v>2505</v>
      </c>
    </row>
    <row r="37" spans="1:1">
      <c r="A37" s="380" t="s">
        <v>2506</v>
      </c>
    </row>
    <row r="38" spans="1:1">
      <c r="A38" s="380" t="s">
        <v>2507</v>
      </c>
    </row>
    <row r="39" spans="1:1">
      <c r="A39" s="380" t="s">
        <v>2508</v>
      </c>
    </row>
    <row r="40" spans="1:1">
      <c r="A40" s="380" t="s">
        <v>2509</v>
      </c>
    </row>
    <row r="41" spans="1:1">
      <c r="A41" s="380" t="s">
        <v>2510</v>
      </c>
    </row>
    <row r="42" spans="1:1">
      <c r="A42" s="380" t="s">
        <v>2511</v>
      </c>
    </row>
    <row r="43" spans="1:1">
      <c r="A43" s="380" t="s">
        <v>2512</v>
      </c>
    </row>
    <row r="44" spans="1:1">
      <c r="A44" s="380" t="s">
        <v>2513</v>
      </c>
    </row>
    <row r="45" spans="1:1">
      <c r="A45" s="380" t="s">
        <v>2514</v>
      </c>
    </row>
    <row r="46" spans="1:1">
      <c r="A46" s="380" t="s">
        <v>2515</v>
      </c>
    </row>
    <row r="47" spans="1:1">
      <c r="A47" s="380" t="s">
        <v>2516</v>
      </c>
    </row>
    <row r="48" spans="1:1">
      <c r="A48" s="380" t="s">
        <v>2517</v>
      </c>
    </row>
    <row r="49" spans="1:1">
      <c r="A49" s="380" t="s">
        <v>2518</v>
      </c>
    </row>
    <row r="50" spans="1:1">
      <c r="A50" s="380" t="s">
        <v>2519</v>
      </c>
    </row>
    <row r="51" spans="1:1">
      <c r="A51" s="380" t="s">
        <v>2520</v>
      </c>
    </row>
    <row r="52" spans="1:1">
      <c r="A52" s="380" t="s">
        <v>2521</v>
      </c>
    </row>
    <row r="53" spans="1:1">
      <c r="A53" s="380" t="s">
        <v>2522</v>
      </c>
    </row>
    <row r="54" spans="1:1">
      <c r="A54" s="380" t="s">
        <v>2523</v>
      </c>
    </row>
    <row r="55" spans="1:1">
      <c r="A55" s="380" t="s">
        <v>2524</v>
      </c>
    </row>
    <row r="56" spans="1:1">
      <c r="A56" s="380" t="s">
        <v>2525</v>
      </c>
    </row>
    <row r="57" spans="1:1">
      <c r="A57" s="380" t="s">
        <v>2526</v>
      </c>
    </row>
    <row r="58" spans="1:1">
      <c r="A58" s="380" t="s">
        <v>2527</v>
      </c>
    </row>
    <row r="59" spans="1:1">
      <c r="A59" s="380" t="s">
        <v>2528</v>
      </c>
    </row>
    <row r="60" spans="1:1">
      <c r="A60" s="380" t="s">
        <v>2529</v>
      </c>
    </row>
    <row r="61" spans="1:1">
      <c r="A61" s="380" t="s">
        <v>2530</v>
      </c>
    </row>
    <row r="62" spans="1:1">
      <c r="A62" s="380" t="s">
        <v>2531</v>
      </c>
    </row>
    <row r="63" spans="1:1">
      <c r="A63" s="380" t="s">
        <v>2532</v>
      </c>
    </row>
    <row r="64" spans="1:1">
      <c r="A64" s="380" t="s">
        <v>2533</v>
      </c>
    </row>
    <row r="65" spans="1:2">
      <c r="A65" s="380" t="s">
        <v>2534</v>
      </c>
    </row>
    <row r="66" spans="1:2">
      <c r="A66" s="380" t="s">
        <v>2535</v>
      </c>
    </row>
    <row r="67" spans="1:2">
      <c r="A67" s="380" t="s">
        <v>2536</v>
      </c>
    </row>
    <row r="68" spans="1:2">
      <c r="A68" s="380" t="s">
        <v>2537</v>
      </c>
    </row>
    <row r="69" spans="1:2">
      <c r="A69" s="380" t="s">
        <v>2538</v>
      </c>
    </row>
    <row r="70" spans="1:2">
      <c r="A70" s="380" t="s">
        <v>2539</v>
      </c>
    </row>
    <row r="71" spans="1:2" s="381" customFormat="1">
      <c r="A71" s="381" t="s">
        <v>2540</v>
      </c>
    </row>
    <row r="72" spans="1:2" s="381" customFormat="1">
      <c r="A72" s="381" t="s">
        <v>2541</v>
      </c>
    </row>
    <row r="73" spans="1:2" s="381" customFormat="1">
      <c r="A73" s="381" t="s">
        <v>2542</v>
      </c>
    </row>
    <row r="74" spans="1:2" s="381" customFormat="1">
      <c r="A74" s="381" t="s">
        <v>2543</v>
      </c>
    </row>
    <row r="75" spans="1:2" s="381" customFormat="1">
      <c r="A75" s="381" t="s">
        <v>2544</v>
      </c>
    </row>
    <row r="76" spans="1:2">
      <c r="A76" s="380" t="s">
        <v>726</v>
      </c>
    </row>
    <row r="77" spans="1:2">
      <c r="B77" s="380" t="s">
        <v>727</v>
      </c>
    </row>
    <row r="78" spans="1:2">
      <c r="B78" s="380" t="s">
        <v>728</v>
      </c>
    </row>
    <row r="79" spans="1:2">
      <c r="B79" s="380" t="s">
        <v>729</v>
      </c>
    </row>
    <row r="80" spans="1:2">
      <c r="B80" s="380" t="s">
        <v>730</v>
      </c>
    </row>
    <row r="81" spans="2:2">
      <c r="B81" s="380" t="s">
        <v>731</v>
      </c>
    </row>
    <row r="82" spans="2:2">
      <c r="B82" s="380" t="s">
        <v>732</v>
      </c>
    </row>
    <row r="83" spans="2:2">
      <c r="B83" s="380" t="s">
        <v>733</v>
      </c>
    </row>
    <row r="84" spans="2:2">
      <c r="B84" s="380" t="s">
        <v>729</v>
      </c>
    </row>
    <row r="85" spans="2:2">
      <c r="B85" s="380" t="s">
        <v>730</v>
      </c>
    </row>
    <row r="86" spans="2:2">
      <c r="B86" s="380" t="s">
        <v>734</v>
      </c>
    </row>
    <row r="87" spans="2:2">
      <c r="B87" s="380" t="s">
        <v>735</v>
      </c>
    </row>
    <row r="88" spans="2:2">
      <c r="B88" s="380" t="s">
        <v>736</v>
      </c>
    </row>
    <row r="89" spans="2:2">
      <c r="B89" s="380" t="s">
        <v>737</v>
      </c>
    </row>
    <row r="90" spans="2:2">
      <c r="B90" s="380" t="s">
        <v>736</v>
      </c>
    </row>
    <row r="91" spans="2:2">
      <c r="B91" s="380" t="s">
        <v>738</v>
      </c>
    </row>
    <row r="92" spans="2:2">
      <c r="B92" s="380" t="s">
        <v>739</v>
      </c>
    </row>
    <row r="93" spans="2:2">
      <c r="B93" s="380" t="s">
        <v>740</v>
      </c>
    </row>
    <row r="94" spans="2:2">
      <c r="B94" s="380" t="s">
        <v>741</v>
      </c>
    </row>
    <row r="95" spans="2:2">
      <c r="B95" s="380" t="s">
        <v>742</v>
      </c>
    </row>
    <row r="96" spans="2:2">
      <c r="B96" s="380" t="s">
        <v>743</v>
      </c>
    </row>
    <row r="97" spans="1:2">
      <c r="B97" s="380" t="s">
        <v>676</v>
      </c>
    </row>
    <row r="98" spans="1:2">
      <c r="B98" s="380" t="s">
        <v>677</v>
      </c>
    </row>
    <row r="99" spans="1:2">
      <c r="B99" s="380" t="s">
        <v>678</v>
      </c>
    </row>
    <row r="100" spans="1:2">
      <c r="B100" s="380" t="s">
        <v>679</v>
      </c>
    </row>
    <row r="101" spans="1:2">
      <c r="B101" s="380" t="s">
        <v>680</v>
      </c>
    </row>
    <row r="102" spans="1:2">
      <c r="B102" s="380" t="s">
        <v>681</v>
      </c>
    </row>
    <row r="103" spans="1:2">
      <c r="B103" s="380" t="s">
        <v>682</v>
      </c>
    </row>
    <row r="104" spans="1:2">
      <c r="B104" s="380" t="s">
        <v>683</v>
      </c>
    </row>
    <row r="105" spans="1:2">
      <c r="B105" s="380" t="s">
        <v>684</v>
      </c>
    </row>
    <row r="106" spans="1:2">
      <c r="B106" s="380" t="s">
        <v>685</v>
      </c>
    </row>
    <row r="107" spans="1:2">
      <c r="B107" s="380" t="s">
        <v>686</v>
      </c>
    </row>
    <row r="108" spans="1:2">
      <c r="B108" s="380" t="s">
        <v>687</v>
      </c>
    </row>
    <row r="109" spans="1:2">
      <c r="B109" s="380" t="s">
        <v>688</v>
      </c>
    </row>
    <row r="110" spans="1:2">
      <c r="B110" s="380" t="s">
        <v>689</v>
      </c>
    </row>
    <row r="111" spans="1:2">
      <c r="A111" s="380" t="s">
        <v>2545</v>
      </c>
    </row>
    <row r="112" spans="1:2">
      <c r="A112" s="380" t="s">
        <v>2546</v>
      </c>
    </row>
  </sheetData>
  <phoneticPr fontId="3"/>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6"/>
  <dimension ref="A1:BY158"/>
  <sheetViews>
    <sheetView workbookViewId="0">
      <selection activeCell="D112" sqref="D112"/>
    </sheetView>
  </sheetViews>
  <sheetFormatPr defaultColWidth="9" defaultRowHeight="13"/>
  <cols>
    <col min="1" max="16384" width="9" style="380"/>
  </cols>
  <sheetData>
    <row r="1" spans="1:77">
      <c r="A1" s="380" t="s">
        <v>671</v>
      </c>
    </row>
    <row r="3" spans="1:77">
      <c r="A3" s="380" t="s">
        <v>670</v>
      </c>
    </row>
    <row r="4" spans="1:77">
      <c r="A4" s="380" t="s">
        <v>2547</v>
      </c>
    </row>
    <row r="5" spans="1:77">
      <c r="BR5" s="426"/>
      <c r="BX5" s="427"/>
      <c r="BY5" s="427"/>
    </row>
    <row r="6" spans="1:77">
      <c r="A6" s="380" t="s">
        <v>672</v>
      </c>
    </row>
    <row r="8" spans="1:77">
      <c r="A8" s="380" t="s">
        <v>2546</v>
      </c>
    </row>
    <row r="9" spans="1:77">
      <c r="A9" s="380" t="s">
        <v>2548</v>
      </c>
    </row>
    <row r="10" spans="1:77">
      <c r="A10" s="380" t="s">
        <v>2549</v>
      </c>
    </row>
    <row r="11" spans="1:77">
      <c r="A11" s="380" t="s">
        <v>2550</v>
      </c>
    </row>
    <row r="12" spans="1:77">
      <c r="A12" s="380" t="s">
        <v>2551</v>
      </c>
    </row>
    <row r="13" spans="1:77">
      <c r="A13" s="380" t="s">
        <v>2552</v>
      </c>
    </row>
    <row r="14" spans="1:77">
      <c r="A14" s="380" t="s">
        <v>2553</v>
      </c>
    </row>
    <row r="15" spans="1:77">
      <c r="A15" s="380" t="s">
        <v>2554</v>
      </c>
    </row>
    <row r="16" spans="1:77">
      <c r="A16" s="380" t="s">
        <v>2555</v>
      </c>
    </row>
    <row r="17" spans="1:1">
      <c r="A17" s="380" t="s">
        <v>2556</v>
      </c>
    </row>
    <row r="18" spans="1:1">
      <c r="A18" s="380" t="s">
        <v>2557</v>
      </c>
    </row>
    <row r="19" spans="1:1">
      <c r="A19" s="380" t="s">
        <v>2558</v>
      </c>
    </row>
    <row r="20" spans="1:1">
      <c r="A20" s="380" t="s">
        <v>2559</v>
      </c>
    </row>
    <row r="21" spans="1:1">
      <c r="A21" s="380" t="s">
        <v>2560</v>
      </c>
    </row>
    <row r="22" spans="1:1">
      <c r="A22" s="380" t="s">
        <v>2561</v>
      </c>
    </row>
    <row r="23" spans="1:1">
      <c r="A23" s="380" t="s">
        <v>2562</v>
      </c>
    </row>
    <row r="24" spans="1:1">
      <c r="A24" s="380" t="s">
        <v>2563</v>
      </c>
    </row>
    <row r="25" spans="1:1">
      <c r="A25" s="380" t="s">
        <v>2564</v>
      </c>
    </row>
    <row r="26" spans="1:1">
      <c r="A26" s="380" t="s">
        <v>2565</v>
      </c>
    </row>
    <row r="27" spans="1:1">
      <c r="A27" s="380" t="s">
        <v>2566</v>
      </c>
    </row>
    <row r="28" spans="1:1">
      <c r="A28" s="380" t="s">
        <v>2567</v>
      </c>
    </row>
    <row r="29" spans="1:1">
      <c r="A29" s="380" t="s">
        <v>2568</v>
      </c>
    </row>
    <row r="30" spans="1:1">
      <c r="A30" s="380" t="s">
        <v>2569</v>
      </c>
    </row>
    <row r="31" spans="1:1">
      <c r="A31" s="380" t="s">
        <v>2570</v>
      </c>
    </row>
    <row r="32" spans="1:1">
      <c r="A32" s="380" t="s">
        <v>2571</v>
      </c>
    </row>
    <row r="33" spans="1:1">
      <c r="A33" s="380" t="s">
        <v>2572</v>
      </c>
    </row>
    <row r="34" spans="1:1">
      <c r="A34" s="380" t="s">
        <v>2573</v>
      </c>
    </row>
    <row r="35" spans="1:1">
      <c r="A35" s="380" t="s">
        <v>2574</v>
      </c>
    </row>
    <row r="36" spans="1:1">
      <c r="A36" s="380" t="s">
        <v>2575</v>
      </c>
    </row>
    <row r="37" spans="1:1">
      <c r="A37" s="380" t="s">
        <v>2576</v>
      </c>
    </row>
    <row r="38" spans="1:1">
      <c r="A38" s="380" t="s">
        <v>2577</v>
      </c>
    </row>
    <row r="39" spans="1:1">
      <c r="A39" s="380" t="s">
        <v>2578</v>
      </c>
    </row>
    <row r="40" spans="1:1">
      <c r="A40" s="380" t="s">
        <v>2579</v>
      </c>
    </row>
    <row r="41" spans="1:1">
      <c r="A41" s="380" t="s">
        <v>2580</v>
      </c>
    </row>
    <row r="42" spans="1:1">
      <c r="A42" s="380" t="s">
        <v>2581</v>
      </c>
    </row>
    <row r="43" spans="1:1">
      <c r="A43" s="380" t="s">
        <v>2582</v>
      </c>
    </row>
    <row r="44" spans="1:1">
      <c r="A44" s="380" t="s">
        <v>2583</v>
      </c>
    </row>
    <row r="45" spans="1:1" s="381" customFormat="1">
      <c r="A45" s="381" t="s">
        <v>2584</v>
      </c>
    </row>
    <row r="46" spans="1:1" s="381" customFormat="1">
      <c r="A46" s="381" t="s">
        <v>2585</v>
      </c>
    </row>
    <row r="47" spans="1:1" s="381" customFormat="1">
      <c r="A47" s="381" t="s">
        <v>2586</v>
      </c>
    </row>
    <row r="48" spans="1:1" s="381" customFormat="1">
      <c r="A48" s="381" t="s">
        <v>2587</v>
      </c>
    </row>
    <row r="49" spans="1:1" s="381" customFormat="1">
      <c r="A49" s="381" t="s">
        <v>2588</v>
      </c>
    </row>
    <row r="50" spans="1:1" s="381" customFormat="1">
      <c r="A50" s="381" t="s">
        <v>2589</v>
      </c>
    </row>
    <row r="51" spans="1:1" s="381" customFormat="1">
      <c r="A51" s="381" t="s">
        <v>2590</v>
      </c>
    </row>
    <row r="52" spans="1:1" s="381" customFormat="1">
      <c r="A52" s="381" t="s">
        <v>2591</v>
      </c>
    </row>
    <row r="53" spans="1:1" s="381" customFormat="1">
      <c r="A53" s="381" t="s">
        <v>2592</v>
      </c>
    </row>
    <row r="54" spans="1:1" s="381" customFormat="1">
      <c r="A54" s="381" t="s">
        <v>2593</v>
      </c>
    </row>
    <row r="55" spans="1:1" s="381" customFormat="1">
      <c r="A55" s="381" t="s">
        <v>2594</v>
      </c>
    </row>
    <row r="56" spans="1:1" s="381" customFormat="1">
      <c r="A56" s="381" t="s">
        <v>2595</v>
      </c>
    </row>
    <row r="57" spans="1:1" s="381" customFormat="1">
      <c r="A57" s="381" t="s">
        <v>2596</v>
      </c>
    </row>
    <row r="58" spans="1:1" s="381" customFormat="1">
      <c r="A58" s="381" t="s">
        <v>2597</v>
      </c>
    </row>
    <row r="59" spans="1:1" s="381" customFormat="1">
      <c r="A59" s="381" t="s">
        <v>2598</v>
      </c>
    </row>
    <row r="60" spans="1:1" s="381" customFormat="1">
      <c r="A60" s="381" t="s">
        <v>2599</v>
      </c>
    </row>
    <row r="61" spans="1:1" s="381" customFormat="1">
      <c r="A61" s="381" t="s">
        <v>2600</v>
      </c>
    </row>
    <row r="62" spans="1:1" s="381" customFormat="1">
      <c r="A62" s="381" t="s">
        <v>2601</v>
      </c>
    </row>
    <row r="63" spans="1:1" s="381" customFormat="1">
      <c r="A63" s="381" t="s">
        <v>2602</v>
      </c>
    </row>
    <row r="64" spans="1:1" s="381" customFormat="1">
      <c r="A64" s="381" t="s">
        <v>2603</v>
      </c>
    </row>
    <row r="65" spans="1:1">
      <c r="A65" s="380" t="s">
        <v>2604</v>
      </c>
    </row>
    <row r="66" spans="1:1">
      <c r="A66" s="380" t="s">
        <v>2605</v>
      </c>
    </row>
    <row r="67" spans="1:1">
      <c r="A67" s="380" t="s">
        <v>2606</v>
      </c>
    </row>
    <row r="68" spans="1:1">
      <c r="A68" s="380" t="s">
        <v>2607</v>
      </c>
    </row>
    <row r="69" spans="1:1">
      <c r="A69" s="380" t="s">
        <v>2608</v>
      </c>
    </row>
    <row r="70" spans="1:1">
      <c r="A70" s="380" t="s">
        <v>2609</v>
      </c>
    </row>
    <row r="71" spans="1:1">
      <c r="A71" s="380" t="s">
        <v>2610</v>
      </c>
    </row>
    <row r="72" spans="1:1">
      <c r="A72" s="380" t="s">
        <v>2611</v>
      </c>
    </row>
    <row r="73" spans="1:1">
      <c r="A73" s="380" t="s">
        <v>2612</v>
      </c>
    </row>
    <row r="74" spans="1:1">
      <c r="A74" s="380" t="s">
        <v>2613</v>
      </c>
    </row>
    <row r="75" spans="1:1">
      <c r="A75" s="380" t="s">
        <v>2614</v>
      </c>
    </row>
    <row r="76" spans="1:1">
      <c r="A76" s="380" t="s">
        <v>2615</v>
      </c>
    </row>
    <row r="77" spans="1:1">
      <c r="A77" s="380" t="s">
        <v>2616</v>
      </c>
    </row>
    <row r="78" spans="1:1">
      <c r="A78" s="380" t="s">
        <v>2617</v>
      </c>
    </row>
    <row r="79" spans="1:1">
      <c r="A79" s="380" t="s">
        <v>2618</v>
      </c>
    </row>
    <row r="80" spans="1:1">
      <c r="A80" s="380" t="s">
        <v>2619</v>
      </c>
    </row>
    <row r="81" spans="1:1">
      <c r="A81" s="380" t="s">
        <v>2620</v>
      </c>
    </row>
    <row r="82" spans="1:1">
      <c r="A82" s="380" t="s">
        <v>2621</v>
      </c>
    </row>
    <row r="83" spans="1:1">
      <c r="A83" s="380" t="s">
        <v>2622</v>
      </c>
    </row>
    <row r="84" spans="1:1">
      <c r="A84" s="380" t="s">
        <v>2623</v>
      </c>
    </row>
    <row r="85" spans="1:1">
      <c r="A85" s="380" t="s">
        <v>2624</v>
      </c>
    </row>
    <row r="86" spans="1:1">
      <c r="A86" s="380" t="s">
        <v>2625</v>
      </c>
    </row>
    <row r="87" spans="1:1">
      <c r="A87" s="380" t="s">
        <v>2626</v>
      </c>
    </row>
    <row r="88" spans="1:1">
      <c r="A88" s="380" t="s">
        <v>2627</v>
      </c>
    </row>
    <row r="89" spans="1:1">
      <c r="A89" s="380" t="s">
        <v>2628</v>
      </c>
    </row>
    <row r="90" spans="1:1">
      <c r="A90" s="380" t="s">
        <v>2629</v>
      </c>
    </row>
    <row r="91" spans="1:1">
      <c r="A91" s="380" t="s">
        <v>2630</v>
      </c>
    </row>
    <row r="92" spans="1:1">
      <c r="A92" s="380" t="s">
        <v>2631</v>
      </c>
    </row>
    <row r="93" spans="1:1">
      <c r="A93" s="380" t="s">
        <v>2632</v>
      </c>
    </row>
    <row r="94" spans="1:1">
      <c r="A94" s="380" t="s">
        <v>2633</v>
      </c>
    </row>
    <row r="95" spans="1:1">
      <c r="A95" s="380" t="s">
        <v>2634</v>
      </c>
    </row>
    <row r="96" spans="1:1">
      <c r="A96" s="380" t="s">
        <v>2635</v>
      </c>
    </row>
    <row r="97" spans="1:1">
      <c r="A97" s="380" t="s">
        <v>2636</v>
      </c>
    </row>
    <row r="98" spans="1:1">
      <c r="A98" s="380" t="s">
        <v>2637</v>
      </c>
    </row>
    <row r="99" spans="1:1">
      <c r="A99" s="380" t="s">
        <v>2638</v>
      </c>
    </row>
    <row r="100" spans="1:1">
      <c r="A100" s="380" t="s">
        <v>2639</v>
      </c>
    </row>
    <row r="101" spans="1:1">
      <c r="A101" s="380" t="s">
        <v>2640</v>
      </c>
    </row>
    <row r="103" spans="1:1">
      <c r="A103" s="380" t="s">
        <v>2641</v>
      </c>
    </row>
    <row r="104" spans="1:1">
      <c r="A104" s="380" t="s">
        <v>1029</v>
      </c>
    </row>
    <row r="105" spans="1:1">
      <c r="A105" s="380" t="s">
        <v>2642</v>
      </c>
    </row>
    <row r="106" spans="1:1">
      <c r="A106" s="380" t="s">
        <v>862</v>
      </c>
    </row>
    <row r="107" spans="1:1">
      <c r="A107" s="380" t="s">
        <v>2643</v>
      </c>
    </row>
    <row r="108" spans="1:1">
      <c r="A108" s="380" t="s">
        <v>864</v>
      </c>
    </row>
    <row r="109" spans="1:1">
      <c r="A109" s="380" t="s">
        <v>2644</v>
      </c>
    </row>
    <row r="110" spans="1:1">
      <c r="A110" s="380" t="s">
        <v>866</v>
      </c>
    </row>
    <row r="111" spans="1:1">
      <c r="A111" s="380" t="s">
        <v>867</v>
      </c>
    </row>
    <row r="112" spans="1:1">
      <c r="A112" s="380" t="s">
        <v>868</v>
      </c>
    </row>
    <row r="113" spans="1:1">
      <c r="A113" s="380" t="s">
        <v>869</v>
      </c>
    </row>
    <row r="114" spans="1:1">
      <c r="A114" s="380" t="s">
        <v>870</v>
      </c>
    </row>
    <row r="115" spans="1:1">
      <c r="A115" s="380" t="s">
        <v>871</v>
      </c>
    </row>
    <row r="116" spans="1:1">
      <c r="A116" s="380" t="s">
        <v>872</v>
      </c>
    </row>
    <row r="117" spans="1:1">
      <c r="A117" s="380" t="s">
        <v>873</v>
      </c>
    </row>
    <row r="118" spans="1:1">
      <c r="A118" s="380" t="s">
        <v>874</v>
      </c>
    </row>
    <row r="119" spans="1:1">
      <c r="A119" s="380" t="s">
        <v>875</v>
      </c>
    </row>
    <row r="120" spans="1:1">
      <c r="A120" s="380" t="s">
        <v>2645</v>
      </c>
    </row>
    <row r="121" spans="1:1">
      <c r="A121" s="380" t="s">
        <v>877</v>
      </c>
    </row>
    <row r="122" spans="1:1">
      <c r="A122" s="380" t="s">
        <v>878</v>
      </c>
    </row>
    <row r="123" spans="1:1">
      <c r="A123" s="380" t="s">
        <v>879</v>
      </c>
    </row>
    <row r="124" spans="1:1">
      <c r="A124" s="380" t="s">
        <v>880</v>
      </c>
    </row>
    <row r="125" spans="1:1">
      <c r="A125" s="380" t="s">
        <v>881</v>
      </c>
    </row>
    <row r="126" spans="1:1">
      <c r="A126" s="380" t="s">
        <v>882</v>
      </c>
    </row>
    <row r="127" spans="1:1">
      <c r="A127" s="380" t="s">
        <v>883</v>
      </c>
    </row>
    <row r="128" spans="1:1">
      <c r="A128" s="380" t="s">
        <v>884</v>
      </c>
    </row>
    <row r="129" spans="1:1">
      <c r="A129" s="380" t="s">
        <v>885</v>
      </c>
    </row>
    <row r="130" spans="1:1">
      <c r="A130" s="380" t="s">
        <v>886</v>
      </c>
    </row>
    <row r="131" spans="1:1">
      <c r="A131" s="380" t="s">
        <v>887</v>
      </c>
    </row>
    <row r="132" spans="1:1">
      <c r="A132" s="380" t="s">
        <v>888</v>
      </c>
    </row>
    <row r="133" spans="1:1">
      <c r="A133" s="380" t="s">
        <v>889</v>
      </c>
    </row>
    <row r="134" spans="1:1">
      <c r="A134" s="380" t="s">
        <v>890</v>
      </c>
    </row>
    <row r="135" spans="1:1">
      <c r="A135" s="380" t="s">
        <v>891</v>
      </c>
    </row>
    <row r="136" spans="1:1">
      <c r="A136" s="380" t="s">
        <v>892</v>
      </c>
    </row>
    <row r="137" spans="1:1">
      <c r="A137" s="380" t="s">
        <v>893</v>
      </c>
    </row>
    <row r="138" spans="1:1">
      <c r="A138" s="380" t="s">
        <v>894</v>
      </c>
    </row>
    <row r="139" spans="1:1">
      <c r="A139" s="380" t="s">
        <v>895</v>
      </c>
    </row>
    <row r="140" spans="1:1">
      <c r="A140" s="380" t="s">
        <v>896</v>
      </c>
    </row>
    <row r="141" spans="1:1">
      <c r="A141" s="380" t="s">
        <v>2646</v>
      </c>
    </row>
    <row r="142" spans="1:1">
      <c r="A142" s="380" t="s">
        <v>898</v>
      </c>
    </row>
    <row r="143" spans="1:1">
      <c r="A143" s="380" t="s">
        <v>2647</v>
      </c>
    </row>
    <row r="144" spans="1:1">
      <c r="A144" s="380" t="s">
        <v>900</v>
      </c>
    </row>
    <row r="145" spans="1:1" s="381" customFormat="1">
      <c r="A145" s="381" t="s">
        <v>1035</v>
      </c>
    </row>
    <row r="146" spans="1:1" s="381" customFormat="1">
      <c r="A146" s="381" t="s">
        <v>902</v>
      </c>
    </row>
    <row r="147" spans="1:1" s="381" customFormat="1">
      <c r="A147" s="381" t="s">
        <v>903</v>
      </c>
    </row>
    <row r="148" spans="1:1" s="381" customFormat="1">
      <c r="A148" s="381" t="s">
        <v>904</v>
      </c>
    </row>
    <row r="149" spans="1:1" s="381" customFormat="1">
      <c r="A149" s="381" t="s">
        <v>905</v>
      </c>
    </row>
    <row r="150" spans="1:1" s="381" customFormat="1">
      <c r="A150" s="381" t="s">
        <v>906</v>
      </c>
    </row>
    <row r="151" spans="1:1" s="381" customFormat="1">
      <c r="A151" s="381" t="s">
        <v>907</v>
      </c>
    </row>
    <row r="152" spans="1:1" s="381" customFormat="1">
      <c r="A152" s="381" t="s">
        <v>908</v>
      </c>
    </row>
    <row r="153" spans="1:1" s="381" customFormat="1">
      <c r="A153" s="381" t="s">
        <v>909</v>
      </c>
    </row>
    <row r="154" spans="1:1" s="381" customFormat="1">
      <c r="A154" s="381" t="s">
        <v>910</v>
      </c>
    </row>
    <row r="155" spans="1:1" s="381" customFormat="1">
      <c r="A155" s="381" t="s">
        <v>911</v>
      </c>
    </row>
    <row r="156" spans="1:1" s="381" customFormat="1">
      <c r="A156" s="381" t="s">
        <v>912</v>
      </c>
    </row>
    <row r="157" spans="1:1" s="381" customFormat="1">
      <c r="A157" s="381" t="s">
        <v>913</v>
      </c>
    </row>
    <row r="158" spans="1:1" s="381" customFormat="1">
      <c r="A158" s="381" t="s">
        <v>2648</v>
      </c>
    </row>
  </sheetData>
  <phoneticPr fontId="3"/>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
    <tabColor rgb="FFFFFF00"/>
  </sheetPr>
  <dimension ref="B3:K28"/>
  <sheetViews>
    <sheetView topLeftCell="A43" zoomScale="90" zoomScaleNormal="90" workbookViewId="0">
      <selection activeCell="O9" sqref="O9"/>
    </sheetView>
  </sheetViews>
  <sheetFormatPr defaultRowHeight="13"/>
  <sheetData>
    <row r="3" spans="2:11">
      <c r="B3" t="s">
        <v>47</v>
      </c>
    </row>
    <row r="4" spans="2:11">
      <c r="B4" s="6" t="s">
        <v>24</v>
      </c>
    </row>
    <row r="6" spans="2:11">
      <c r="B6" s="7"/>
      <c r="C6" s="2"/>
      <c r="D6" s="2"/>
      <c r="E6" s="2"/>
      <c r="F6" s="2"/>
      <c r="G6" s="2"/>
      <c r="H6" s="2"/>
      <c r="I6" s="2"/>
      <c r="J6" s="2"/>
      <c r="K6" s="2"/>
    </row>
    <row r="7" spans="2:11">
      <c r="B7" s="2"/>
      <c r="C7" s="2"/>
      <c r="D7" s="2"/>
      <c r="E7" s="2"/>
      <c r="F7" s="2"/>
      <c r="G7" s="2"/>
      <c r="H7" s="2"/>
      <c r="I7" s="2"/>
      <c r="J7" s="2"/>
      <c r="K7" s="2"/>
    </row>
    <row r="8" spans="2:11">
      <c r="B8" s="8"/>
      <c r="C8" s="4"/>
      <c r="D8" s="4"/>
      <c r="E8" s="4"/>
      <c r="F8" s="4"/>
      <c r="G8" s="4"/>
      <c r="H8" s="4"/>
      <c r="I8" s="4"/>
      <c r="J8" s="4"/>
      <c r="K8" s="4"/>
    </row>
    <row r="9" spans="2:11">
      <c r="B9" s="4"/>
      <c r="C9" s="4"/>
      <c r="D9" s="4"/>
      <c r="E9" s="4"/>
      <c r="F9" s="4"/>
      <c r="G9" s="4"/>
      <c r="H9" s="4" t="s">
        <v>22</v>
      </c>
      <c r="I9" s="4"/>
      <c r="J9" s="4"/>
      <c r="K9" s="4"/>
    </row>
    <row r="10" spans="2:11">
      <c r="B10" s="3"/>
      <c r="C10" s="3"/>
      <c r="D10" s="3"/>
      <c r="E10" s="3"/>
      <c r="F10" s="3"/>
      <c r="G10" s="3"/>
      <c r="H10" s="3"/>
      <c r="I10" s="3"/>
      <c r="J10" s="3"/>
      <c r="K10" s="3"/>
    </row>
    <row r="11" spans="2:11">
      <c r="B11" s="3"/>
      <c r="C11" s="3"/>
      <c r="D11" s="3"/>
      <c r="E11" s="3"/>
      <c r="F11" s="3"/>
      <c r="G11" s="3"/>
      <c r="H11" s="3"/>
      <c r="I11" s="3"/>
      <c r="J11" s="3"/>
      <c r="K11" s="3"/>
    </row>
    <row r="12" spans="2:11">
      <c r="B12" s="3"/>
      <c r="C12" s="5" t="s">
        <v>28</v>
      </c>
      <c r="D12" s="3"/>
      <c r="E12" s="3"/>
      <c r="F12" s="3"/>
      <c r="G12" s="3"/>
      <c r="H12" s="3"/>
      <c r="I12" s="3"/>
      <c r="J12" s="3"/>
      <c r="K12" s="3"/>
    </row>
    <row r="13" spans="2:11">
      <c r="B13" s="3"/>
      <c r="C13" s="3"/>
      <c r="D13" s="3"/>
      <c r="E13" s="3"/>
      <c r="F13" s="3"/>
      <c r="G13" s="3"/>
      <c r="H13" s="3"/>
      <c r="I13" s="3"/>
      <c r="J13" s="3"/>
      <c r="K13" s="3"/>
    </row>
    <row r="14" spans="2:11">
      <c r="B14" s="3"/>
      <c r="C14" s="3"/>
      <c r="D14" s="3"/>
      <c r="E14" s="3"/>
      <c r="F14" s="3"/>
      <c r="G14" s="3"/>
      <c r="H14" s="3"/>
      <c r="I14" s="3"/>
      <c r="J14" s="3"/>
      <c r="K14" s="3"/>
    </row>
    <row r="15" spans="2:11">
      <c r="B15" s="3"/>
      <c r="C15" s="3"/>
      <c r="D15" s="3"/>
      <c r="E15" s="3"/>
      <c r="F15" s="3"/>
      <c r="G15" s="3"/>
      <c r="H15" s="3"/>
      <c r="I15" s="3"/>
      <c r="J15" s="3"/>
      <c r="K15" s="3"/>
    </row>
    <row r="22" spans="2:3">
      <c r="B22" t="s">
        <v>26</v>
      </c>
    </row>
    <row r="23" spans="2:3">
      <c r="C23" t="s">
        <v>27</v>
      </c>
    </row>
    <row r="24" spans="2:3">
      <c r="B24" s="1"/>
    </row>
    <row r="25" spans="2:3">
      <c r="B25" t="s">
        <v>52</v>
      </c>
    </row>
    <row r="26" spans="2:3">
      <c r="C26" t="s">
        <v>29</v>
      </c>
    </row>
    <row r="27" spans="2:3">
      <c r="C27" t="s">
        <v>49</v>
      </c>
    </row>
    <row r="28" spans="2:3">
      <c r="C28" t="s">
        <v>50</v>
      </c>
    </row>
  </sheetData>
  <phoneticPr fontId="3"/>
  <pageMargins left="0.7" right="0.7" top="0.75" bottom="0.75" header="0.3" footer="0.3"/>
  <pageSetup paperSize="9" orientation="portrait" r:id="rId1"/>
  <headerFooter>
    <oddHeader xml:space="preserve">&amp;R&amp;"ＭＳ Ｐゴシック"&amp;11 &amp;"ＭＳ Ｐゴシック"&amp;9 【社外秘B】&amp;"ＭＳ Ｐゴシック,標準"&amp;11 
</oddHeader>
    <oddFooter xml:space="preserve">&amp;C&amp;"ＭＳ Ｐゴシック"&amp;11 &amp;"ＭＳ Ｐゴシック"&amp;9 KDDI情報システム開発PJ関係各社　情報システム開発関係者のみ&amp;"ＭＳ Ｐゴシック,標準"&amp;11 
</oddFooter>
  </headerFooter>
  <drawing r:id="rId2"/>
  <legacyDrawing r:id="rId3"/>
  <controls>
    <mc:AlternateContent xmlns:mc="http://schemas.openxmlformats.org/markup-compatibility/2006">
      <mc:Choice Requires="x14">
        <control shapeId="2486" r:id="rId4" name="CommandButton8">
          <controlPr autoLine="0" r:id="rId5">
            <anchor moveWithCells="1">
              <from>
                <xdr:col>2</xdr:col>
                <xdr:colOff>412750</xdr:colOff>
                <xdr:row>18</xdr:row>
                <xdr:rowOff>12700</xdr:rowOff>
              </from>
              <to>
                <xdr:col>4</xdr:col>
                <xdr:colOff>438150</xdr:colOff>
                <xdr:row>20</xdr:row>
                <xdr:rowOff>57150</xdr:rowOff>
              </to>
            </anchor>
          </controlPr>
        </control>
      </mc:Choice>
      <mc:Fallback>
        <control shapeId="2486" r:id="rId4" name="CommandButton8"/>
      </mc:Fallback>
    </mc:AlternateContent>
    <mc:AlternateContent xmlns:mc="http://schemas.openxmlformats.org/markup-compatibility/2006">
      <mc:Choice Requires="x14">
        <control shapeId="2485" r:id="rId6" name="CommandButton7">
          <controlPr autoLine="0" r:id="rId7">
            <anchor moveWithCells="1">
              <from>
                <xdr:col>6</xdr:col>
                <xdr:colOff>508000</xdr:colOff>
                <xdr:row>17</xdr:row>
                <xdr:rowOff>107950</xdr:rowOff>
              </from>
              <to>
                <xdr:col>8</xdr:col>
                <xdr:colOff>393700</xdr:colOff>
                <xdr:row>19</xdr:row>
                <xdr:rowOff>82550</xdr:rowOff>
              </to>
            </anchor>
          </controlPr>
        </control>
      </mc:Choice>
      <mc:Fallback>
        <control shapeId="2485" r:id="rId6" name="CommandButton7"/>
      </mc:Fallback>
    </mc:AlternateContent>
    <mc:AlternateContent xmlns:mc="http://schemas.openxmlformats.org/markup-compatibility/2006">
      <mc:Choice Requires="x14">
        <control shapeId="2484" r:id="rId8" name="CommandButton6">
          <controlPr autoLine="0" r:id="rId9">
            <anchor moveWithCells="1">
              <from>
                <xdr:col>6</xdr:col>
                <xdr:colOff>514350</xdr:colOff>
                <xdr:row>15</xdr:row>
                <xdr:rowOff>82550</xdr:rowOff>
              </from>
              <to>
                <xdr:col>8</xdr:col>
                <xdr:colOff>336550</xdr:colOff>
                <xdr:row>17</xdr:row>
                <xdr:rowOff>57150</xdr:rowOff>
              </to>
            </anchor>
          </controlPr>
        </control>
      </mc:Choice>
      <mc:Fallback>
        <control shapeId="2484" r:id="rId8" name="CommandButton6"/>
      </mc:Fallback>
    </mc:AlternateContent>
    <mc:AlternateContent xmlns:mc="http://schemas.openxmlformats.org/markup-compatibility/2006">
      <mc:Choice Requires="x14">
        <control shapeId="2069" r:id="rId10" name="CommandButton5">
          <controlPr autoLine="0" r:id="rId11">
            <anchor moveWithCells="1">
              <from>
                <xdr:col>8</xdr:col>
                <xdr:colOff>469900</xdr:colOff>
                <xdr:row>15</xdr:row>
                <xdr:rowOff>69850</xdr:rowOff>
              </from>
              <to>
                <xdr:col>11</xdr:col>
                <xdr:colOff>158750</xdr:colOff>
                <xdr:row>17</xdr:row>
                <xdr:rowOff>44450</xdr:rowOff>
              </to>
            </anchor>
          </controlPr>
        </control>
      </mc:Choice>
      <mc:Fallback>
        <control shapeId="2069" r:id="rId10" name="CommandButton5"/>
      </mc:Fallback>
    </mc:AlternateContent>
    <mc:AlternateContent xmlns:mc="http://schemas.openxmlformats.org/markup-compatibility/2006">
      <mc:Choice Requires="x14">
        <control shapeId="2068" r:id="rId12" name="CommandButton3">
          <controlPr autoLine="0" r:id="rId13">
            <anchor moveWithCells="1">
              <from>
                <xdr:col>8</xdr:col>
                <xdr:colOff>476250</xdr:colOff>
                <xdr:row>17</xdr:row>
                <xdr:rowOff>133350</xdr:rowOff>
              </from>
              <to>
                <xdr:col>11</xdr:col>
                <xdr:colOff>254000</xdr:colOff>
                <xdr:row>19</xdr:row>
                <xdr:rowOff>107950</xdr:rowOff>
              </to>
            </anchor>
          </controlPr>
        </control>
      </mc:Choice>
      <mc:Fallback>
        <control shapeId="2068" r:id="rId12" name="CommandButton3"/>
      </mc:Fallback>
    </mc:AlternateContent>
    <mc:AlternateContent xmlns:mc="http://schemas.openxmlformats.org/markup-compatibility/2006">
      <mc:Choice Requires="x14">
        <control shapeId="2067" r:id="rId14" name="CommandButton4">
          <controlPr autoLine="0" autoPict="0" r:id="rId15">
            <anchor moveWithCells="1">
              <from>
                <xdr:col>4</xdr:col>
                <xdr:colOff>88900</xdr:colOff>
                <xdr:row>15</xdr:row>
                <xdr:rowOff>69850</xdr:rowOff>
              </from>
              <to>
                <xdr:col>5</xdr:col>
                <xdr:colOff>298450</xdr:colOff>
                <xdr:row>17</xdr:row>
                <xdr:rowOff>69850</xdr:rowOff>
              </to>
            </anchor>
          </controlPr>
        </control>
      </mc:Choice>
      <mc:Fallback>
        <control shapeId="2067" r:id="rId14" name="CommandButton4"/>
      </mc:Fallback>
    </mc:AlternateContent>
    <mc:AlternateContent xmlns:mc="http://schemas.openxmlformats.org/markup-compatibility/2006">
      <mc:Choice Requires="x14">
        <control shapeId="2065" r:id="rId16" name="caseCol">
          <controlPr autoLine="0" r:id="rId17">
            <anchor moveWithCells="1">
              <from>
                <xdr:col>10</xdr:col>
                <xdr:colOff>63500</xdr:colOff>
                <xdr:row>5</xdr:row>
                <xdr:rowOff>82550</xdr:rowOff>
              </from>
              <to>
                <xdr:col>11</xdr:col>
                <xdr:colOff>12700</xdr:colOff>
                <xdr:row>6</xdr:row>
                <xdr:rowOff>146050</xdr:rowOff>
              </to>
            </anchor>
          </controlPr>
        </control>
      </mc:Choice>
      <mc:Fallback>
        <control shapeId="2065" r:id="rId16" name="caseCol"/>
      </mc:Fallback>
    </mc:AlternateContent>
    <mc:AlternateContent xmlns:mc="http://schemas.openxmlformats.org/markup-compatibility/2006">
      <mc:Choice Requires="x14">
        <control shapeId="2064" r:id="rId18" name="Label7">
          <controlPr defaultSize="0" autoLine="0" r:id="rId19">
            <anchor moveWithCells="1">
              <from>
                <xdr:col>8</xdr:col>
                <xdr:colOff>444500</xdr:colOff>
                <xdr:row>5</xdr:row>
                <xdr:rowOff>107950</xdr:rowOff>
              </from>
              <to>
                <xdr:col>10</xdr:col>
                <xdr:colOff>158750</xdr:colOff>
                <xdr:row>6</xdr:row>
                <xdr:rowOff>107950</xdr:rowOff>
              </to>
            </anchor>
          </controlPr>
        </control>
      </mc:Choice>
      <mc:Fallback>
        <control shapeId="2064" r:id="rId18" name="Label7"/>
      </mc:Fallback>
    </mc:AlternateContent>
    <mc:AlternateContent xmlns:mc="http://schemas.openxmlformats.org/markup-compatibility/2006">
      <mc:Choice Requires="x14">
        <control shapeId="2063" r:id="rId20" name="IFile">
          <controlPr defaultSize="0" autoLine="0" autoPict="0" r:id="rId21">
            <anchor moveWithCells="1">
              <from>
                <xdr:col>2</xdr:col>
                <xdr:colOff>508000</xdr:colOff>
                <xdr:row>9</xdr:row>
                <xdr:rowOff>44450</xdr:rowOff>
              </from>
              <to>
                <xdr:col>9</xdr:col>
                <xdr:colOff>107950</xdr:colOff>
                <xdr:row>10</xdr:row>
                <xdr:rowOff>88900</xdr:rowOff>
              </to>
            </anchor>
          </controlPr>
        </control>
      </mc:Choice>
      <mc:Fallback>
        <control shapeId="2063" r:id="rId20" name="IFile"/>
      </mc:Fallback>
    </mc:AlternateContent>
    <mc:AlternateContent xmlns:mc="http://schemas.openxmlformats.org/markup-compatibility/2006">
      <mc:Choice Requires="x14">
        <control shapeId="2062" r:id="rId22" name="Label6">
          <controlPr defaultSize="0" autoLine="0" r:id="rId23">
            <anchor moveWithCells="1">
              <from>
                <xdr:col>1</xdr:col>
                <xdr:colOff>12700</xdr:colOff>
                <xdr:row>9</xdr:row>
                <xdr:rowOff>50800</xdr:rowOff>
              </from>
              <to>
                <xdr:col>2</xdr:col>
                <xdr:colOff>584200</xdr:colOff>
                <xdr:row>10</xdr:row>
                <xdr:rowOff>88900</xdr:rowOff>
              </to>
            </anchor>
          </controlPr>
        </control>
      </mc:Choice>
      <mc:Fallback>
        <control shapeId="2062" r:id="rId22" name="Label6"/>
      </mc:Fallback>
    </mc:AlternateContent>
    <mc:AlternateContent xmlns:mc="http://schemas.openxmlformats.org/markup-compatibility/2006">
      <mc:Choice Requires="x14">
        <control shapeId="2059" r:id="rId24" name="CaseNo">
          <controlPr defaultSize="0" autoLine="0" autoPict="0" r:id="rId25">
            <anchor moveWithCells="1">
              <from>
                <xdr:col>4</xdr:col>
                <xdr:colOff>495300</xdr:colOff>
                <xdr:row>5</xdr:row>
                <xdr:rowOff>101600</xdr:rowOff>
              </from>
              <to>
                <xdr:col>5</xdr:col>
                <xdr:colOff>476250</xdr:colOff>
                <xdr:row>6</xdr:row>
                <xdr:rowOff>152400</xdr:rowOff>
              </to>
            </anchor>
          </controlPr>
        </control>
      </mc:Choice>
      <mc:Fallback>
        <control shapeId="2059" r:id="rId24" name="CaseNo"/>
      </mc:Fallback>
    </mc:AlternateContent>
    <mc:AlternateContent xmlns:mc="http://schemas.openxmlformats.org/markup-compatibility/2006">
      <mc:Choice Requires="x14">
        <control shapeId="2058" r:id="rId26" name="Label4">
          <controlPr defaultSize="0" autoLine="0" r:id="rId27">
            <anchor moveWithCells="1">
              <from>
                <xdr:col>4</xdr:col>
                <xdr:colOff>0</xdr:colOff>
                <xdr:row>5</xdr:row>
                <xdr:rowOff>120650</xdr:rowOff>
              </from>
              <to>
                <xdr:col>4</xdr:col>
                <xdr:colOff>552450</xdr:colOff>
                <xdr:row>6</xdr:row>
                <xdr:rowOff>158750</xdr:rowOff>
              </to>
            </anchor>
          </controlPr>
        </control>
      </mc:Choice>
      <mc:Fallback>
        <control shapeId="2058" r:id="rId26" name="Label4"/>
      </mc:Fallback>
    </mc:AlternateContent>
    <mc:AlternateContent xmlns:mc="http://schemas.openxmlformats.org/markup-compatibility/2006">
      <mc:Choice Requires="x14">
        <control shapeId="2056" r:id="rId28" name="OStream">
          <controlPr defaultSize="0" autoLine="0" r:id="rId29">
            <anchor moveWithCells="1">
              <from>
                <xdr:col>2</xdr:col>
                <xdr:colOff>450850</xdr:colOff>
                <xdr:row>12</xdr:row>
                <xdr:rowOff>101600</xdr:rowOff>
              </from>
              <to>
                <xdr:col>11</xdr:col>
                <xdr:colOff>584200</xdr:colOff>
                <xdr:row>14</xdr:row>
                <xdr:rowOff>6350</xdr:rowOff>
              </to>
            </anchor>
          </controlPr>
        </control>
      </mc:Choice>
      <mc:Fallback>
        <control shapeId="2056" r:id="rId28" name="OStream"/>
      </mc:Fallback>
    </mc:AlternateContent>
    <mc:AlternateContent xmlns:mc="http://schemas.openxmlformats.org/markup-compatibility/2006">
      <mc:Choice Requires="x14">
        <control shapeId="2055" r:id="rId30" name="Label3">
          <controlPr defaultSize="0" autoLine="0" r:id="rId31">
            <anchor moveWithCells="1">
              <from>
                <xdr:col>1</xdr:col>
                <xdr:colOff>12700</xdr:colOff>
                <xdr:row>12</xdr:row>
                <xdr:rowOff>101600</xdr:rowOff>
              </from>
              <to>
                <xdr:col>2</xdr:col>
                <xdr:colOff>552450</xdr:colOff>
                <xdr:row>13</xdr:row>
                <xdr:rowOff>127000</xdr:rowOff>
              </to>
            </anchor>
          </controlPr>
        </control>
      </mc:Choice>
      <mc:Fallback>
        <control shapeId="2055" r:id="rId30" name="Label3"/>
      </mc:Fallback>
    </mc:AlternateContent>
    <mc:AlternateContent xmlns:mc="http://schemas.openxmlformats.org/markup-compatibility/2006">
      <mc:Choice Requires="x14">
        <control shapeId="2054" r:id="rId32" name="CommandButton2">
          <controlPr autoLine="0" r:id="rId33">
            <anchor moveWithCells="1">
              <from>
                <xdr:col>2</xdr:col>
                <xdr:colOff>425450</xdr:colOff>
                <xdr:row>15</xdr:row>
                <xdr:rowOff>63500</xdr:rowOff>
              </from>
              <to>
                <xdr:col>4</xdr:col>
                <xdr:colOff>139700</xdr:colOff>
                <xdr:row>17</xdr:row>
                <xdr:rowOff>107950</xdr:rowOff>
              </to>
            </anchor>
          </controlPr>
        </control>
      </mc:Choice>
      <mc:Fallback>
        <control shapeId="2054" r:id="rId32" name="CommandButton2"/>
      </mc:Fallback>
    </mc:AlternateContent>
    <mc:AlternateContent xmlns:mc="http://schemas.openxmlformats.org/markup-compatibility/2006">
      <mc:Choice Requires="x14">
        <control shapeId="2053" r:id="rId34" name="Label2">
          <controlPr defaultSize="0" autoLine="0" autoPict="0" r:id="rId35">
            <anchor moveWithCells="1">
              <from>
                <xdr:col>1</xdr:col>
                <xdr:colOff>12700</xdr:colOff>
                <xdr:row>7</xdr:row>
                <xdr:rowOff>127000</xdr:rowOff>
              </from>
              <to>
                <xdr:col>2</xdr:col>
                <xdr:colOff>450850</xdr:colOff>
                <xdr:row>8</xdr:row>
                <xdr:rowOff>120650</xdr:rowOff>
              </to>
            </anchor>
          </controlPr>
        </control>
      </mc:Choice>
      <mc:Fallback>
        <control shapeId="2053" r:id="rId34" name="Label2"/>
      </mc:Fallback>
    </mc:AlternateContent>
    <mc:AlternateContent xmlns:mc="http://schemas.openxmlformats.org/markup-compatibility/2006">
      <mc:Choice Requires="x14">
        <control shapeId="2052" r:id="rId36" name="Label1">
          <controlPr defaultSize="0" autoLine="0" r:id="rId37">
            <anchor moveWithCells="1">
              <from>
                <xdr:col>1</xdr:col>
                <xdr:colOff>0</xdr:colOff>
                <xdr:row>5</xdr:row>
                <xdr:rowOff>133350</xdr:rowOff>
              </from>
              <to>
                <xdr:col>2</xdr:col>
                <xdr:colOff>323850</xdr:colOff>
                <xdr:row>6</xdr:row>
                <xdr:rowOff>120650</xdr:rowOff>
              </to>
            </anchor>
          </controlPr>
        </control>
      </mc:Choice>
      <mc:Fallback>
        <control shapeId="2052" r:id="rId36" name="Label1"/>
      </mc:Fallback>
    </mc:AlternateContent>
    <mc:AlternateContent xmlns:mc="http://schemas.openxmlformats.org/markup-compatibility/2006">
      <mc:Choice Requires="x14">
        <control shapeId="2051" r:id="rId38" name="OPath">
          <controlPr defaultSize="0" autoLine="0" r:id="rId39">
            <anchor moveWithCells="1">
              <from>
                <xdr:col>2</xdr:col>
                <xdr:colOff>508000</xdr:colOff>
                <xdr:row>7</xdr:row>
                <xdr:rowOff>88900</xdr:rowOff>
              </from>
              <to>
                <xdr:col>7</xdr:col>
                <xdr:colOff>336550</xdr:colOff>
                <xdr:row>8</xdr:row>
                <xdr:rowOff>158750</xdr:rowOff>
              </to>
            </anchor>
          </controlPr>
        </control>
      </mc:Choice>
      <mc:Fallback>
        <control shapeId="2051" r:id="rId38" name="OPath"/>
      </mc:Fallback>
    </mc:AlternateContent>
    <mc:AlternateContent xmlns:mc="http://schemas.openxmlformats.org/markup-compatibility/2006">
      <mc:Choice Requires="x14">
        <control shapeId="2050" r:id="rId40" name="ISheet">
          <controlPr defaultSize="0" autoLine="0" r:id="rId41">
            <anchor moveWithCells="1">
              <from>
                <xdr:col>2</xdr:col>
                <xdr:colOff>279400</xdr:colOff>
                <xdr:row>5</xdr:row>
                <xdr:rowOff>101600</xdr:rowOff>
              </from>
              <to>
                <xdr:col>4</xdr:col>
                <xdr:colOff>31750</xdr:colOff>
                <xdr:row>6</xdr:row>
                <xdr:rowOff>158750</xdr:rowOff>
              </to>
            </anchor>
          </controlPr>
        </control>
      </mc:Choice>
      <mc:Fallback>
        <control shapeId="2050" r:id="rId40" name="ISheet"/>
      </mc:Fallback>
    </mc:AlternateContent>
    <mc:AlternateContent xmlns:mc="http://schemas.openxmlformats.org/markup-compatibility/2006">
      <mc:Choice Requires="x14">
        <control shapeId="2049" r:id="rId42" name="CommandButton1">
          <controlPr autoLine="0" autoPict="0" r:id="rId43">
            <anchor moveWithCells="1">
              <from>
                <xdr:col>1</xdr:col>
                <xdr:colOff>0</xdr:colOff>
                <xdr:row>15</xdr:row>
                <xdr:rowOff>63500</xdr:rowOff>
              </from>
              <to>
                <xdr:col>2</xdr:col>
                <xdr:colOff>285750</xdr:colOff>
                <xdr:row>17</xdr:row>
                <xdr:rowOff>101600</xdr:rowOff>
              </to>
            </anchor>
          </controlPr>
        </control>
      </mc:Choice>
      <mc:Fallback>
        <control shapeId="2049" r:id="rId42" name="CommandButton1"/>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rgb="FFFFFF00"/>
  </sheetPr>
  <dimension ref="A1:GX85"/>
  <sheetViews>
    <sheetView tabSelected="1" zoomScale="85" zoomScaleNormal="85" workbookViewId="0">
      <selection activeCell="A58" sqref="A58:XFD58"/>
    </sheetView>
  </sheetViews>
  <sheetFormatPr defaultColWidth="9" defaultRowHeight="12.5"/>
  <cols>
    <col min="1" max="1" width="3.453125" style="172" customWidth="1"/>
    <col min="2" max="2" width="3.36328125" style="172" customWidth="1"/>
    <col min="3" max="7" width="1.7265625" style="172" customWidth="1"/>
    <col min="8" max="8" width="24.81640625" style="172" customWidth="1"/>
    <col min="9" max="9" width="3.6328125" style="172" customWidth="1"/>
    <col min="10" max="10" width="3.453125" style="172" bestFit="1" customWidth="1"/>
    <col min="11" max="12" width="5" style="172" bestFit="1" customWidth="1"/>
    <col min="13" max="13" width="49.81640625" style="172" customWidth="1"/>
    <col min="14" max="14" width="7.81640625" style="172" customWidth="1"/>
    <col min="15" max="15" width="15.08984375" style="172" customWidth="1"/>
    <col min="16" max="22" width="9" style="172" customWidth="1"/>
    <col min="23" max="23" width="3.36328125" style="172" customWidth="1"/>
    <col min="24" max="24" width="21.81640625" style="172" customWidth="1"/>
    <col min="25" max="25" width="4.453125" style="172" customWidth="1"/>
    <col min="26" max="26" width="5.6328125" style="172" customWidth="1"/>
    <col min="27" max="27" width="4.453125" style="172" customWidth="1"/>
    <col min="28" max="28" width="4.6328125" style="172" customWidth="1"/>
    <col min="29" max="29" width="12.6328125" style="172" customWidth="1"/>
    <col min="30" max="32" width="12.453125" style="172" customWidth="1"/>
    <col min="33" max="33" width="7.6328125" style="172" customWidth="1"/>
    <col min="34" max="36" width="12.453125" style="172" customWidth="1"/>
    <col min="37" max="37" width="7.6328125" style="172" customWidth="1"/>
    <col min="38" max="40" width="12.453125" style="172" customWidth="1"/>
    <col min="41" max="41" width="7.6328125" style="172" customWidth="1"/>
    <col min="42" max="44" width="12.453125" style="172" customWidth="1"/>
    <col min="45" max="45" width="7.6328125" style="172" customWidth="1"/>
    <col min="46" max="48" width="12.453125" style="172" customWidth="1"/>
    <col min="49" max="49" width="7.6328125" style="172" customWidth="1"/>
    <col min="50" max="52" width="12.453125" style="172" customWidth="1"/>
    <col min="53" max="53" width="7.6328125" style="172" customWidth="1"/>
    <col min="54" max="56" width="12.453125" style="172" customWidth="1"/>
    <col min="57" max="57" width="7.6328125" style="172" customWidth="1"/>
    <col min="58" max="60" width="12.453125" style="172" customWidth="1"/>
    <col min="61" max="61" width="7.6328125" style="172" customWidth="1"/>
    <col min="62" max="64" width="12.453125" style="172" customWidth="1"/>
    <col min="65" max="65" width="7.6328125" style="172" customWidth="1"/>
    <col min="66" max="68" width="12.453125" style="172" customWidth="1"/>
    <col min="69" max="69" width="7.6328125" style="172" customWidth="1"/>
    <col min="70" max="72" width="12.453125" style="172" customWidth="1"/>
    <col min="73" max="73" width="7.6328125" style="172" customWidth="1"/>
    <col min="74" max="76" width="12.453125" style="172" customWidth="1"/>
    <col min="77" max="77" width="7.6328125" style="172" customWidth="1"/>
    <col min="78" max="80" width="12.453125" style="172" customWidth="1"/>
    <col min="81" max="81" width="7.6328125" style="172" customWidth="1"/>
    <col min="82" max="84" width="12.453125" style="172" customWidth="1"/>
    <col min="85" max="85" width="7.6328125" style="172" customWidth="1"/>
    <col min="86" max="88" width="12.453125" style="172" customWidth="1"/>
    <col min="89" max="89" width="7.6328125" style="172" customWidth="1"/>
    <col min="90" max="92" width="12.453125" style="172" customWidth="1"/>
    <col min="93" max="93" width="7.6328125" style="172" customWidth="1"/>
    <col min="94" max="96" width="12.453125" style="172" customWidth="1"/>
    <col min="97" max="97" width="7.6328125" style="172" customWidth="1"/>
    <col min="98" max="100" width="12.453125" style="172" customWidth="1"/>
    <col min="101" max="101" width="7.6328125" style="172" customWidth="1"/>
    <col min="102" max="104" width="12.453125" style="172" customWidth="1"/>
    <col min="105" max="105" width="7.6328125" style="172" customWidth="1"/>
    <col min="106" max="108" width="12.453125" style="172" customWidth="1"/>
    <col min="109" max="109" width="7.6328125" style="172" customWidth="1"/>
    <col min="110" max="112" width="12.453125" style="172" customWidth="1"/>
    <col min="113" max="113" width="7.6328125" style="172" customWidth="1"/>
    <col min="114" max="116" width="12.453125" style="172" customWidth="1"/>
    <col min="117" max="117" width="7.6328125" style="172" customWidth="1"/>
    <col min="118" max="120" width="12.453125" style="172" customWidth="1"/>
    <col min="121" max="121" width="7.6328125" style="172" customWidth="1"/>
    <col min="122" max="124" width="12.453125" style="172" customWidth="1"/>
    <col min="125" max="125" width="7.6328125" style="172" customWidth="1"/>
    <col min="126" max="128" width="12.453125" style="172" customWidth="1"/>
    <col min="129" max="129" width="7.6328125" style="172" customWidth="1"/>
    <col min="130" max="132" width="12.453125" style="172" customWidth="1"/>
    <col min="133" max="133" width="7.6328125" style="172" customWidth="1"/>
    <col min="134" max="136" width="12.453125" style="172" customWidth="1"/>
    <col min="137" max="137" width="7.6328125" style="172" customWidth="1"/>
    <col min="138" max="140" width="12.453125" style="172" customWidth="1"/>
    <col min="141" max="141" width="7.6328125" style="172" customWidth="1"/>
    <col min="142" max="144" width="12.453125" style="172" customWidth="1"/>
    <col min="145" max="145" width="7.6328125" style="172" customWidth="1"/>
    <col min="146" max="148" width="12.453125" style="172" customWidth="1"/>
    <col min="149" max="149" width="7.6328125" style="172" customWidth="1"/>
    <col min="150" max="152" width="12.453125" style="172" customWidth="1"/>
    <col min="153" max="153" width="7.6328125" style="172" customWidth="1"/>
    <col min="154" max="156" width="12.453125" style="172" customWidth="1"/>
    <col min="157" max="157" width="7.6328125" style="172" customWidth="1"/>
    <col min="158" max="160" width="12.453125" style="172" customWidth="1"/>
    <col min="161" max="161" width="7.6328125" style="172" customWidth="1"/>
    <col min="162" max="164" width="12.453125" style="172" customWidth="1"/>
    <col min="165" max="165" width="7.6328125" style="172" customWidth="1"/>
    <col min="166" max="168" width="12.453125" style="172" customWidth="1"/>
    <col min="169" max="169" width="7.6328125" style="172" customWidth="1"/>
    <col min="170" max="172" width="12.453125" style="172" customWidth="1"/>
    <col min="173" max="173" width="7.6328125" style="172" customWidth="1"/>
    <col min="174" max="176" width="12.453125" style="172" customWidth="1"/>
    <col min="177" max="177" width="7.6328125" style="172" customWidth="1"/>
    <col min="178" max="180" width="12.453125" style="172" customWidth="1"/>
    <col min="181" max="181" width="7.6328125" style="172" customWidth="1"/>
    <col min="182" max="184" width="12.453125" style="172" customWidth="1"/>
    <col min="185" max="185" width="7.6328125" style="172" customWidth="1"/>
    <col min="186" max="188" width="12.453125" style="172" customWidth="1"/>
    <col min="189" max="189" width="7.6328125" style="172" customWidth="1"/>
    <col min="190" max="192" width="12.453125" style="172" customWidth="1"/>
    <col min="193" max="193" width="7.6328125" style="172" customWidth="1"/>
    <col min="194" max="196" width="12.453125" style="172" customWidth="1"/>
    <col min="197" max="197" width="7.6328125" style="172" customWidth="1"/>
    <col min="198" max="200" width="12.453125" style="172" customWidth="1"/>
    <col min="201" max="201" width="7.6328125" style="172" customWidth="1"/>
    <col min="202" max="202" width="2" style="172" customWidth="1"/>
    <col min="203" max="203" width="1.81640625" style="172" customWidth="1"/>
    <col min="204" max="16384" width="9" style="172"/>
  </cols>
  <sheetData>
    <row r="1" spans="1:206" ht="13.5" thickBot="1">
      <c r="A1" s="173"/>
      <c r="B1" s="411" t="s">
        <v>500</v>
      </c>
      <c r="C1" s="411"/>
      <c r="D1" s="411"/>
      <c r="E1" s="411"/>
      <c r="F1" s="411"/>
      <c r="G1" s="411"/>
      <c r="H1" s="411"/>
      <c r="I1" s="411"/>
      <c r="J1" s="411"/>
      <c r="K1" s="411"/>
      <c r="L1" s="411"/>
      <c r="M1" s="411"/>
      <c r="N1" s="411"/>
      <c r="O1" s="411"/>
      <c r="P1" s="411"/>
      <c r="Q1" s="411"/>
      <c r="R1" s="411"/>
      <c r="S1" s="411"/>
      <c r="T1" s="411"/>
      <c r="U1" s="411"/>
      <c r="V1" s="411"/>
      <c r="W1" s="411"/>
      <c r="X1" s="411"/>
      <c r="Y1" s="411"/>
      <c r="Z1" s="411"/>
      <c r="AA1" s="173"/>
      <c r="AB1" s="173"/>
      <c r="AC1" s="173"/>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c r="BO1" s="201"/>
      <c r="BP1" s="201"/>
      <c r="BQ1" s="201"/>
      <c r="BR1" s="201"/>
      <c r="BS1" s="201"/>
      <c r="BT1" s="201"/>
      <c r="BU1" s="201"/>
      <c r="BV1" s="201"/>
      <c r="BW1" s="201"/>
      <c r="BX1" s="201"/>
      <c r="BY1" s="201"/>
      <c r="BZ1" s="201"/>
      <c r="CA1" s="201"/>
      <c r="CB1" s="201"/>
      <c r="CC1" s="201"/>
      <c r="CD1" s="201"/>
      <c r="CE1" s="201"/>
      <c r="CF1" s="201"/>
      <c r="CG1" s="201"/>
      <c r="CH1" s="201"/>
      <c r="CI1" s="201"/>
      <c r="CJ1" s="201"/>
      <c r="CK1" s="201"/>
      <c r="CL1" s="201"/>
      <c r="CM1" s="201"/>
      <c r="CN1" s="201"/>
      <c r="CO1" s="201"/>
      <c r="CP1" s="201"/>
      <c r="CQ1" s="201"/>
      <c r="CR1" s="201"/>
      <c r="CS1" s="201"/>
      <c r="CT1" s="201"/>
      <c r="CU1" s="201"/>
      <c r="CV1" s="201"/>
      <c r="CW1" s="201"/>
      <c r="CX1" s="201"/>
      <c r="CY1" s="201"/>
      <c r="CZ1" s="201"/>
      <c r="DA1" s="201"/>
      <c r="DB1" s="201"/>
      <c r="DC1" s="201"/>
      <c r="DD1" s="201"/>
      <c r="DE1" s="201"/>
      <c r="DF1" s="201"/>
      <c r="DG1" s="201"/>
      <c r="DH1" s="201"/>
      <c r="DI1" s="201"/>
      <c r="DJ1" s="201"/>
      <c r="DK1" s="201"/>
      <c r="DL1" s="201"/>
      <c r="DM1" s="201"/>
      <c r="DN1" s="201"/>
      <c r="DO1" s="201"/>
      <c r="DP1" s="201"/>
      <c r="DQ1" s="201"/>
      <c r="DR1" s="201"/>
      <c r="DS1" s="201"/>
      <c r="DT1" s="201"/>
      <c r="DU1" s="201"/>
      <c r="DV1" s="201"/>
      <c r="DW1" s="201"/>
      <c r="DX1" s="201"/>
      <c r="DY1" s="201"/>
      <c r="DZ1" s="201"/>
      <c r="EA1" s="201"/>
      <c r="EB1" s="201"/>
      <c r="EC1" s="201"/>
      <c r="ED1" s="201"/>
      <c r="EE1" s="201"/>
      <c r="EF1" s="201"/>
      <c r="EG1" s="201"/>
      <c r="EH1" s="201"/>
      <c r="EI1" s="201"/>
      <c r="EJ1" s="201"/>
      <c r="EK1" s="201"/>
      <c r="EL1" s="201"/>
      <c r="EM1" s="201"/>
      <c r="EN1" s="201"/>
      <c r="EO1" s="201"/>
      <c r="EP1" s="201"/>
      <c r="EQ1" s="201"/>
      <c r="ER1" s="201"/>
      <c r="ES1" s="201"/>
      <c r="ET1" s="201"/>
      <c r="EU1" s="201"/>
      <c r="EV1" s="201"/>
      <c r="EW1" s="201"/>
      <c r="EX1" s="201"/>
      <c r="EY1" s="201"/>
      <c r="EZ1" s="201"/>
      <c r="FA1" s="201"/>
      <c r="FB1" s="201"/>
      <c r="FC1" s="201"/>
      <c r="FD1" s="201"/>
      <c r="FE1" s="201"/>
      <c r="FF1" s="201"/>
      <c r="FG1" s="201"/>
      <c r="FH1" s="201"/>
      <c r="FI1" s="201"/>
      <c r="FJ1" s="201"/>
      <c r="FK1" s="201"/>
      <c r="FL1" s="201"/>
      <c r="FM1" s="201"/>
      <c r="FN1" s="201"/>
      <c r="FO1" s="201"/>
      <c r="FP1" s="201"/>
      <c r="FQ1" s="201"/>
      <c r="FR1" s="201"/>
      <c r="FS1" s="201"/>
      <c r="FT1" s="201"/>
      <c r="FU1" s="201"/>
      <c r="FV1" s="201"/>
      <c r="FW1" s="201"/>
      <c r="FX1" s="201"/>
      <c r="FY1" s="201"/>
      <c r="FZ1" s="201"/>
      <c r="GA1" s="201"/>
      <c r="GB1" s="201"/>
      <c r="GC1" s="201"/>
      <c r="GD1" s="201"/>
      <c r="GE1" s="201"/>
      <c r="GF1" s="201"/>
      <c r="GG1" s="201"/>
      <c r="GH1" s="201"/>
      <c r="GI1" s="201"/>
      <c r="GJ1" s="201"/>
      <c r="GK1" s="201"/>
      <c r="GL1" s="201"/>
      <c r="GM1" s="201"/>
      <c r="GN1" s="201"/>
      <c r="GO1" s="201"/>
      <c r="GP1" s="201"/>
      <c r="GQ1" s="201"/>
      <c r="GR1" s="201"/>
      <c r="GS1" s="201"/>
      <c r="GT1" s="201"/>
      <c r="GU1" s="201"/>
      <c r="GV1" s="173"/>
      <c r="GW1" s="173"/>
      <c r="GX1" s="173"/>
    </row>
    <row r="2" spans="1:206" ht="14.5" thickBot="1">
      <c r="A2" s="173"/>
      <c r="B2" s="412" t="s">
        <v>499</v>
      </c>
      <c r="C2" s="412"/>
      <c r="D2" s="412"/>
      <c r="E2" s="412"/>
      <c r="F2" s="413" t="s">
        <v>498</v>
      </c>
      <c r="G2" s="414"/>
      <c r="H2" s="415"/>
      <c r="I2" s="416" t="s">
        <v>5</v>
      </c>
      <c r="J2" s="416"/>
      <c r="K2" s="416"/>
      <c r="L2" s="371" t="s">
        <v>497</v>
      </c>
      <c r="M2" s="370"/>
      <c r="N2" s="370"/>
      <c r="O2" s="370"/>
      <c r="P2" s="417" t="s">
        <v>6</v>
      </c>
      <c r="Q2" s="418"/>
      <c r="R2" s="418"/>
      <c r="S2" s="419"/>
      <c r="T2" s="420" t="s">
        <v>496</v>
      </c>
      <c r="U2" s="421"/>
      <c r="V2" s="422"/>
      <c r="W2" s="173"/>
      <c r="X2" s="369" t="s">
        <v>495</v>
      </c>
      <c r="Y2" s="200" t="s">
        <v>494</v>
      </c>
      <c r="Z2" s="173"/>
      <c r="AA2" s="173"/>
      <c r="AB2" s="173"/>
      <c r="AC2" s="173"/>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c r="BJ2" s="201"/>
      <c r="BK2" s="201"/>
      <c r="BL2" s="201"/>
      <c r="BM2" s="201"/>
      <c r="BN2" s="201"/>
      <c r="BO2" s="201"/>
      <c r="BP2" s="201"/>
      <c r="BQ2" s="201"/>
      <c r="BR2" s="201"/>
      <c r="BS2" s="201"/>
      <c r="BT2" s="201"/>
      <c r="BU2" s="201"/>
      <c r="BV2" s="201"/>
      <c r="BW2" s="201"/>
      <c r="BX2" s="201"/>
      <c r="BY2" s="201"/>
      <c r="BZ2" s="201"/>
      <c r="CA2" s="201"/>
      <c r="CB2" s="201"/>
      <c r="CC2" s="201"/>
      <c r="CD2" s="201"/>
      <c r="CE2" s="201"/>
      <c r="CF2" s="201"/>
      <c r="CG2" s="201"/>
      <c r="CH2" s="201"/>
      <c r="CI2" s="201"/>
      <c r="CJ2" s="201"/>
      <c r="CK2" s="201"/>
      <c r="CL2" s="201"/>
      <c r="CM2" s="201"/>
      <c r="CN2" s="201"/>
      <c r="CO2" s="201"/>
      <c r="CP2" s="201"/>
      <c r="CQ2" s="201"/>
      <c r="CR2" s="201"/>
      <c r="CS2" s="201"/>
      <c r="CT2" s="201"/>
      <c r="CU2" s="201"/>
      <c r="CV2" s="201"/>
      <c r="CW2" s="201"/>
      <c r="CX2" s="201"/>
      <c r="CY2" s="201"/>
      <c r="CZ2" s="201"/>
      <c r="DA2" s="201"/>
      <c r="DB2" s="201"/>
      <c r="DC2" s="201"/>
      <c r="DD2" s="201"/>
      <c r="DE2" s="201"/>
      <c r="DF2" s="201"/>
      <c r="DG2" s="201"/>
      <c r="DH2" s="201"/>
      <c r="DI2" s="201"/>
      <c r="DJ2" s="201"/>
      <c r="DK2" s="201"/>
      <c r="DL2" s="201"/>
      <c r="DM2" s="201"/>
      <c r="DN2" s="201"/>
      <c r="DO2" s="201"/>
      <c r="DP2" s="201"/>
      <c r="DQ2" s="201"/>
      <c r="DR2" s="201"/>
      <c r="DS2" s="201"/>
      <c r="DT2" s="201"/>
      <c r="DU2" s="201"/>
      <c r="DV2" s="201"/>
      <c r="DW2" s="201"/>
      <c r="DX2" s="201"/>
      <c r="DY2" s="201"/>
      <c r="DZ2" s="201"/>
      <c r="EA2" s="201"/>
      <c r="EB2" s="201"/>
      <c r="EC2" s="201"/>
      <c r="ED2" s="201"/>
      <c r="EE2" s="201"/>
      <c r="EF2" s="201"/>
      <c r="EG2" s="201"/>
      <c r="EH2" s="201"/>
      <c r="EI2" s="201"/>
      <c r="EJ2" s="201"/>
      <c r="EK2" s="201"/>
      <c r="EL2" s="201"/>
      <c r="EM2" s="201"/>
      <c r="EN2" s="201"/>
      <c r="EO2" s="201"/>
      <c r="EP2" s="201"/>
      <c r="EQ2" s="201"/>
      <c r="ER2" s="201"/>
      <c r="ES2" s="201"/>
      <c r="ET2" s="201"/>
      <c r="EU2" s="201"/>
      <c r="EV2" s="201"/>
      <c r="EW2" s="201"/>
      <c r="EX2" s="201"/>
      <c r="EY2" s="201"/>
      <c r="EZ2" s="201"/>
      <c r="FA2" s="201"/>
      <c r="FB2" s="201"/>
      <c r="FC2" s="201"/>
      <c r="FD2" s="201"/>
      <c r="FE2" s="201"/>
      <c r="FF2" s="201"/>
      <c r="FG2" s="201"/>
      <c r="FH2" s="201"/>
      <c r="FI2" s="201"/>
      <c r="FJ2" s="201"/>
      <c r="FK2" s="201"/>
      <c r="FL2" s="201"/>
      <c r="FM2" s="201"/>
      <c r="FN2" s="201"/>
      <c r="FO2" s="201"/>
      <c r="FP2" s="201"/>
      <c r="FQ2" s="201"/>
      <c r="FR2" s="201"/>
      <c r="FS2" s="201"/>
      <c r="FT2" s="201"/>
      <c r="FU2" s="201"/>
      <c r="FV2" s="201"/>
      <c r="FW2" s="201"/>
      <c r="FX2" s="201"/>
      <c r="FY2" s="201"/>
      <c r="FZ2" s="201"/>
      <c r="GA2" s="201"/>
      <c r="GB2" s="201"/>
      <c r="GC2" s="201"/>
      <c r="GD2" s="201"/>
      <c r="GE2" s="201"/>
      <c r="GF2" s="201"/>
      <c r="GG2" s="201"/>
      <c r="GH2" s="201"/>
      <c r="GI2" s="201"/>
      <c r="GJ2" s="201"/>
      <c r="GK2" s="201"/>
      <c r="GL2" s="201"/>
      <c r="GM2" s="201"/>
      <c r="GN2" s="201"/>
      <c r="GO2" s="201"/>
      <c r="GP2" s="201"/>
      <c r="GQ2" s="201"/>
      <c r="GR2" s="201"/>
      <c r="GS2" s="201"/>
      <c r="GT2" s="201"/>
      <c r="GU2" s="201"/>
      <c r="GV2" s="173"/>
      <c r="GW2" s="173"/>
      <c r="GX2" s="173"/>
    </row>
    <row r="3" spans="1:206" ht="13.5" thickBot="1">
      <c r="A3" s="173"/>
      <c r="B3" s="397" t="s">
        <v>493</v>
      </c>
      <c r="C3" s="398"/>
      <c r="D3" s="398"/>
      <c r="E3" s="398"/>
      <c r="F3" s="398"/>
      <c r="G3" s="398"/>
      <c r="H3" s="398"/>
      <c r="I3" s="398"/>
      <c r="J3" s="398"/>
      <c r="K3" s="399"/>
      <c r="L3" s="400" t="s">
        <v>492</v>
      </c>
      <c r="M3" s="401"/>
      <c r="N3" s="401"/>
      <c r="O3" s="401"/>
      <c r="P3" s="401"/>
      <c r="Q3" s="401"/>
      <c r="R3" s="401"/>
      <c r="S3" s="401"/>
      <c r="T3" s="401"/>
      <c r="U3" s="401"/>
      <c r="V3" s="401"/>
      <c r="W3" s="402"/>
      <c r="X3" s="368"/>
      <c r="Y3" s="200" t="s">
        <v>491</v>
      </c>
      <c r="Z3" s="173"/>
      <c r="AA3" s="173"/>
      <c r="AB3" s="173"/>
      <c r="AC3" s="173"/>
      <c r="AD3" s="201"/>
      <c r="AE3" s="201"/>
      <c r="AF3" s="201"/>
      <c r="AG3" s="201"/>
      <c r="AH3" s="201"/>
      <c r="AI3" s="201"/>
      <c r="AJ3" s="201"/>
      <c r="AK3" s="201"/>
      <c r="AL3" s="201"/>
      <c r="AM3" s="201"/>
      <c r="AN3" s="201"/>
      <c r="AO3" s="201"/>
      <c r="AP3" s="201"/>
      <c r="AQ3" s="201"/>
      <c r="AR3" s="201"/>
      <c r="AS3" s="201"/>
      <c r="AT3" s="201"/>
      <c r="AU3" s="201"/>
      <c r="AV3" s="201"/>
      <c r="AW3" s="201"/>
      <c r="AX3" s="201"/>
      <c r="AY3" s="201"/>
      <c r="AZ3" s="201"/>
      <c r="BA3" s="201"/>
      <c r="BB3" s="201"/>
      <c r="BC3" s="201"/>
      <c r="BD3" s="201"/>
      <c r="BE3" s="201"/>
      <c r="BF3" s="201"/>
      <c r="BG3" s="201"/>
      <c r="BH3" s="201"/>
      <c r="BI3" s="201"/>
      <c r="BJ3" s="201"/>
      <c r="BK3" s="201"/>
      <c r="BL3" s="201"/>
      <c r="BM3" s="201"/>
      <c r="BN3" s="201"/>
      <c r="BO3" s="201"/>
      <c r="BP3" s="201"/>
      <c r="BQ3" s="201"/>
      <c r="BR3" s="201"/>
      <c r="BS3" s="201"/>
      <c r="BT3" s="201"/>
      <c r="BU3" s="201"/>
      <c r="BV3" s="201"/>
      <c r="BW3" s="201"/>
      <c r="BX3" s="201"/>
      <c r="BY3" s="201"/>
      <c r="BZ3" s="201"/>
      <c r="CA3" s="201"/>
      <c r="CB3" s="201"/>
      <c r="CC3" s="201"/>
      <c r="CD3" s="201"/>
      <c r="CE3" s="201"/>
      <c r="CF3" s="201"/>
      <c r="CG3" s="201"/>
      <c r="CH3" s="201"/>
      <c r="CI3" s="201"/>
      <c r="CJ3" s="201"/>
      <c r="CK3" s="201"/>
      <c r="CL3" s="201"/>
      <c r="CM3" s="201"/>
      <c r="CN3" s="201"/>
      <c r="CO3" s="201"/>
      <c r="CP3" s="201"/>
      <c r="CQ3" s="201"/>
      <c r="CR3" s="201"/>
      <c r="CS3" s="201"/>
      <c r="CT3" s="201"/>
      <c r="CU3" s="201"/>
      <c r="CV3" s="201"/>
      <c r="CW3" s="201"/>
      <c r="CX3" s="201"/>
      <c r="CY3" s="201"/>
      <c r="CZ3" s="201"/>
      <c r="DA3" s="201"/>
      <c r="DB3" s="201"/>
      <c r="DC3" s="201"/>
      <c r="DD3" s="201"/>
      <c r="DE3" s="201"/>
      <c r="DF3" s="201"/>
      <c r="DG3" s="201"/>
      <c r="DH3" s="201"/>
      <c r="DI3" s="201"/>
      <c r="DJ3" s="201"/>
      <c r="DK3" s="201"/>
      <c r="DL3" s="201"/>
      <c r="DM3" s="201"/>
      <c r="DN3" s="201"/>
      <c r="DO3" s="201"/>
      <c r="DP3" s="201"/>
      <c r="DQ3" s="201"/>
      <c r="DR3" s="201"/>
      <c r="DS3" s="201"/>
      <c r="DT3" s="201"/>
      <c r="DU3" s="201"/>
      <c r="DV3" s="201"/>
      <c r="DW3" s="201"/>
      <c r="DX3" s="201"/>
      <c r="DY3" s="201"/>
      <c r="DZ3" s="201"/>
      <c r="EA3" s="201"/>
      <c r="EB3" s="201"/>
      <c r="EC3" s="201"/>
      <c r="ED3" s="201"/>
      <c r="EE3" s="201"/>
      <c r="EF3" s="201"/>
      <c r="EG3" s="201"/>
      <c r="EH3" s="201"/>
      <c r="EI3" s="201"/>
      <c r="EJ3" s="201"/>
      <c r="EK3" s="201"/>
      <c r="EL3" s="201"/>
      <c r="EM3" s="201"/>
      <c r="EN3" s="201"/>
      <c r="EO3" s="201"/>
      <c r="EP3" s="201"/>
      <c r="EQ3" s="201"/>
      <c r="ER3" s="201"/>
      <c r="ES3" s="201"/>
      <c r="ET3" s="201"/>
      <c r="EU3" s="201"/>
      <c r="EV3" s="201"/>
      <c r="EW3" s="201"/>
      <c r="EX3" s="201"/>
      <c r="EY3" s="201"/>
      <c r="EZ3" s="201"/>
      <c r="FA3" s="201"/>
      <c r="FB3" s="201"/>
      <c r="FC3" s="201"/>
      <c r="FD3" s="201"/>
      <c r="FE3" s="201"/>
      <c r="FF3" s="201"/>
      <c r="FG3" s="201"/>
      <c r="FH3" s="201"/>
      <c r="FI3" s="201"/>
      <c r="FJ3" s="201"/>
      <c r="FK3" s="201"/>
      <c r="FL3" s="201"/>
      <c r="FM3" s="201"/>
      <c r="FN3" s="201"/>
      <c r="FO3" s="201"/>
      <c r="FP3" s="201"/>
      <c r="FQ3" s="201"/>
      <c r="FR3" s="201"/>
      <c r="FS3" s="201"/>
      <c r="FT3" s="201"/>
      <c r="FU3" s="201"/>
      <c r="FV3" s="201"/>
      <c r="FW3" s="201"/>
      <c r="FX3" s="201"/>
      <c r="FY3" s="201"/>
      <c r="FZ3" s="201"/>
      <c r="GA3" s="201"/>
      <c r="GB3" s="201"/>
      <c r="GC3" s="201"/>
      <c r="GD3" s="201"/>
      <c r="GE3" s="201"/>
      <c r="GF3" s="201"/>
      <c r="GG3" s="201"/>
      <c r="GH3" s="201"/>
      <c r="GI3" s="201"/>
      <c r="GJ3" s="201"/>
      <c r="GK3" s="201"/>
      <c r="GL3" s="201"/>
      <c r="GM3" s="201"/>
      <c r="GN3" s="201"/>
      <c r="GO3" s="201"/>
      <c r="GP3" s="201"/>
      <c r="GQ3" s="201"/>
      <c r="GR3" s="201"/>
      <c r="GS3" s="201"/>
      <c r="GT3" s="201"/>
      <c r="GU3" s="201"/>
      <c r="GV3" s="173"/>
      <c r="GW3" s="173"/>
      <c r="GX3" s="173"/>
    </row>
    <row r="4" spans="1:206" ht="13.5" thickBot="1">
      <c r="A4" s="173"/>
      <c r="B4" s="397" t="s">
        <v>490</v>
      </c>
      <c r="C4" s="398"/>
      <c r="D4" s="398"/>
      <c r="E4" s="398"/>
      <c r="F4" s="398"/>
      <c r="G4" s="398"/>
      <c r="H4" s="398"/>
      <c r="I4" s="398"/>
      <c r="J4" s="398"/>
      <c r="K4" s="399"/>
      <c r="L4" s="400" t="s">
        <v>489</v>
      </c>
      <c r="M4" s="401"/>
      <c r="N4" s="401"/>
      <c r="O4" s="401"/>
      <c r="P4" s="401"/>
      <c r="Q4" s="401"/>
      <c r="R4" s="401"/>
      <c r="S4" s="401"/>
      <c r="T4" s="401"/>
      <c r="U4" s="401"/>
      <c r="V4" s="401"/>
      <c r="W4" s="402"/>
      <c r="X4" s="173"/>
      <c r="Y4" s="173"/>
      <c r="Z4" s="173"/>
      <c r="AA4" s="173"/>
      <c r="AB4" s="173"/>
      <c r="AC4" s="173"/>
      <c r="AD4" s="201"/>
      <c r="AE4" s="201"/>
      <c r="AF4" s="201"/>
      <c r="AG4" s="201"/>
      <c r="AH4" s="201"/>
      <c r="AI4" s="201"/>
      <c r="AJ4" s="201"/>
      <c r="AK4" s="201"/>
      <c r="AL4" s="201"/>
      <c r="AM4" s="201"/>
      <c r="AN4" s="201"/>
      <c r="AO4" s="201"/>
      <c r="AP4" s="201"/>
      <c r="AQ4" s="201"/>
      <c r="AR4" s="201"/>
      <c r="AS4" s="201"/>
      <c r="AT4" s="201"/>
      <c r="AU4" s="201"/>
      <c r="AV4" s="201"/>
      <c r="AW4" s="201"/>
      <c r="AX4" s="201"/>
      <c r="AY4" s="201"/>
      <c r="AZ4" s="201"/>
      <c r="BA4" s="201"/>
      <c r="BB4" s="201"/>
      <c r="BC4" s="201"/>
      <c r="BD4" s="201"/>
      <c r="BE4" s="201"/>
      <c r="BF4" s="201"/>
      <c r="BG4" s="201"/>
      <c r="BH4" s="201"/>
      <c r="BI4" s="201"/>
      <c r="BJ4" s="201"/>
      <c r="BK4" s="201"/>
      <c r="BL4" s="201"/>
      <c r="BM4" s="201"/>
      <c r="BN4" s="201"/>
      <c r="BO4" s="201"/>
      <c r="BP4" s="201"/>
      <c r="BQ4" s="201"/>
      <c r="BR4" s="201"/>
      <c r="BS4" s="201"/>
      <c r="BT4" s="201"/>
      <c r="BU4" s="201"/>
      <c r="BV4" s="201"/>
      <c r="BW4" s="201"/>
      <c r="BX4" s="201"/>
      <c r="BY4" s="201"/>
      <c r="BZ4" s="201"/>
      <c r="CA4" s="201"/>
      <c r="CB4" s="201"/>
      <c r="CC4" s="201"/>
      <c r="CD4" s="201"/>
      <c r="CE4" s="201"/>
      <c r="CF4" s="201"/>
      <c r="CG4" s="201"/>
      <c r="CH4" s="201"/>
      <c r="CI4" s="201"/>
      <c r="CJ4" s="201"/>
      <c r="CK4" s="201"/>
      <c r="CL4" s="201"/>
      <c r="CM4" s="201"/>
      <c r="CN4" s="201"/>
      <c r="CO4" s="201"/>
      <c r="CP4" s="201"/>
      <c r="CQ4" s="201"/>
      <c r="CR4" s="201"/>
      <c r="CS4" s="201"/>
      <c r="CT4" s="201"/>
      <c r="CU4" s="201"/>
      <c r="CV4" s="201"/>
      <c r="CW4" s="201"/>
      <c r="CX4" s="201"/>
      <c r="CY4" s="201"/>
      <c r="CZ4" s="201"/>
      <c r="DA4" s="201"/>
      <c r="DB4" s="201"/>
      <c r="DC4" s="201"/>
      <c r="DD4" s="201"/>
      <c r="DE4" s="201"/>
      <c r="DF4" s="201"/>
      <c r="DG4" s="201"/>
      <c r="DH4" s="201"/>
      <c r="DI4" s="201"/>
      <c r="DJ4" s="201"/>
      <c r="DK4" s="201"/>
      <c r="DL4" s="201"/>
      <c r="DM4" s="201"/>
      <c r="DN4" s="201"/>
      <c r="DO4" s="201"/>
      <c r="DP4" s="201"/>
      <c r="DQ4" s="201"/>
      <c r="DR4" s="201"/>
      <c r="DS4" s="201"/>
      <c r="DT4" s="201"/>
      <c r="DU4" s="201"/>
      <c r="DV4" s="201"/>
      <c r="DW4" s="201"/>
      <c r="DX4" s="201"/>
      <c r="DY4" s="201"/>
      <c r="DZ4" s="201"/>
      <c r="EA4" s="201"/>
      <c r="EB4" s="201"/>
      <c r="EC4" s="201"/>
      <c r="ED4" s="201"/>
      <c r="EE4" s="201"/>
      <c r="EF4" s="201"/>
      <c r="EG4" s="201"/>
      <c r="EH4" s="201"/>
      <c r="EI4" s="201"/>
      <c r="EJ4" s="201"/>
      <c r="EK4" s="201"/>
      <c r="EL4" s="201"/>
      <c r="EM4" s="201"/>
      <c r="EN4" s="201"/>
      <c r="EO4" s="201"/>
      <c r="EP4" s="201"/>
      <c r="EQ4" s="201"/>
      <c r="ER4" s="201"/>
      <c r="ES4" s="201"/>
      <c r="ET4" s="201"/>
      <c r="EU4" s="201"/>
      <c r="EV4" s="201"/>
      <c r="EW4" s="201"/>
      <c r="EX4" s="201"/>
      <c r="EY4" s="201"/>
      <c r="EZ4" s="201"/>
      <c r="FA4" s="201"/>
      <c r="FB4" s="201"/>
      <c r="FC4" s="201"/>
      <c r="FD4" s="201"/>
      <c r="FE4" s="201"/>
      <c r="FF4" s="201"/>
      <c r="FG4" s="201"/>
      <c r="FH4" s="201"/>
      <c r="FI4" s="201"/>
      <c r="FJ4" s="201"/>
      <c r="FK4" s="201"/>
      <c r="FL4" s="201"/>
      <c r="FM4" s="201"/>
      <c r="FN4" s="201"/>
      <c r="FO4" s="201"/>
      <c r="FP4" s="201"/>
      <c r="FQ4" s="201"/>
      <c r="FR4" s="201"/>
      <c r="FS4" s="201"/>
      <c r="FT4" s="201"/>
      <c r="FU4" s="201"/>
      <c r="FV4" s="201"/>
      <c r="FW4" s="201"/>
      <c r="FX4" s="201"/>
      <c r="FY4" s="201"/>
      <c r="FZ4" s="201"/>
      <c r="GA4" s="201"/>
      <c r="GB4" s="201"/>
      <c r="GC4" s="201"/>
      <c r="GD4" s="201"/>
      <c r="GE4" s="201"/>
      <c r="GF4" s="201"/>
      <c r="GG4" s="201"/>
      <c r="GH4" s="201"/>
      <c r="GI4" s="201"/>
      <c r="GJ4" s="201"/>
      <c r="GK4" s="201"/>
      <c r="GL4" s="201"/>
      <c r="GM4" s="201"/>
      <c r="GN4" s="201"/>
      <c r="GO4" s="201"/>
      <c r="GP4" s="201"/>
      <c r="GQ4" s="201"/>
      <c r="GR4" s="201"/>
      <c r="GS4" s="201"/>
      <c r="GT4" s="201"/>
      <c r="GU4" s="201"/>
      <c r="GV4" s="173"/>
      <c r="GW4" s="173"/>
      <c r="GX4" s="173"/>
    </row>
    <row r="5" spans="1:206" ht="13" thickBot="1">
      <c r="A5" s="173"/>
      <c r="B5" s="177"/>
      <c r="C5" s="177"/>
      <c r="D5" s="175"/>
      <c r="E5" s="175"/>
      <c r="F5" s="173"/>
      <c r="G5" s="173"/>
      <c r="H5" s="173"/>
      <c r="I5" s="173"/>
      <c r="J5" s="173"/>
      <c r="K5" s="173"/>
      <c r="L5" s="173"/>
      <c r="M5" s="173"/>
      <c r="N5" s="173"/>
      <c r="O5" s="175"/>
      <c r="P5" s="175"/>
      <c r="Q5" s="175"/>
      <c r="R5" s="175"/>
      <c r="S5" s="175"/>
      <c r="T5" s="175"/>
      <c r="U5" s="175"/>
      <c r="V5" s="175"/>
      <c r="W5" s="175"/>
      <c r="X5" s="175"/>
      <c r="Y5" s="175"/>
      <c r="Z5" s="173"/>
      <c r="AA5" s="175"/>
      <c r="AB5" s="173"/>
      <c r="AC5" s="173"/>
      <c r="AD5" s="201"/>
      <c r="AE5" s="201"/>
      <c r="AF5" s="201"/>
      <c r="AG5" s="201"/>
      <c r="AH5" s="201"/>
      <c r="AI5" s="201"/>
      <c r="AJ5" s="201"/>
      <c r="AK5" s="201"/>
      <c r="AL5" s="201"/>
      <c r="AM5" s="201"/>
      <c r="AN5" s="201"/>
      <c r="AO5" s="201"/>
      <c r="AP5" s="201"/>
      <c r="AQ5" s="201"/>
      <c r="AR5" s="201"/>
      <c r="AS5" s="201"/>
      <c r="AT5" s="201"/>
      <c r="AU5" s="201"/>
      <c r="AV5" s="201"/>
      <c r="AW5" s="201"/>
      <c r="AX5" s="201"/>
      <c r="AY5" s="201"/>
      <c r="AZ5" s="201"/>
      <c r="BA5" s="201"/>
      <c r="BB5" s="201"/>
      <c r="BC5" s="201"/>
      <c r="BD5" s="201"/>
      <c r="BE5" s="201"/>
      <c r="BF5" s="201"/>
      <c r="BG5" s="201"/>
      <c r="BH5" s="201"/>
      <c r="BI5" s="201"/>
      <c r="BJ5" s="201"/>
      <c r="BK5" s="201"/>
      <c r="BL5" s="201"/>
      <c r="BM5" s="201"/>
      <c r="BN5" s="201"/>
      <c r="BO5" s="201"/>
      <c r="BP5" s="201"/>
      <c r="BQ5" s="201"/>
      <c r="BR5" s="201"/>
      <c r="BS5" s="201"/>
      <c r="BT5" s="201"/>
      <c r="BU5" s="201"/>
      <c r="BV5" s="201"/>
      <c r="BW5" s="201"/>
      <c r="BX5" s="201"/>
      <c r="BY5" s="201"/>
      <c r="BZ5" s="201"/>
      <c r="CA5" s="201"/>
      <c r="CB5" s="201"/>
      <c r="CC5" s="201"/>
      <c r="CD5" s="201"/>
      <c r="CE5" s="201"/>
      <c r="CF5" s="201"/>
      <c r="CG5" s="201"/>
      <c r="CH5" s="201"/>
      <c r="CI5" s="201"/>
      <c r="CJ5" s="201"/>
      <c r="CK5" s="201"/>
      <c r="CL5" s="201"/>
      <c r="CM5" s="201"/>
      <c r="CN5" s="201"/>
      <c r="CO5" s="201"/>
      <c r="CP5" s="201"/>
      <c r="CQ5" s="201"/>
      <c r="CR5" s="201"/>
      <c r="CS5" s="201"/>
      <c r="CT5" s="201"/>
      <c r="CU5" s="201"/>
      <c r="CV5" s="201"/>
      <c r="CW5" s="201"/>
      <c r="CX5" s="201"/>
      <c r="CY5" s="201"/>
      <c r="CZ5" s="201"/>
      <c r="DA5" s="201"/>
      <c r="DB5" s="201"/>
      <c r="DC5" s="201"/>
      <c r="DD5" s="201"/>
      <c r="DE5" s="201"/>
      <c r="DF5" s="201"/>
      <c r="DG5" s="201"/>
      <c r="DH5" s="201"/>
      <c r="DI5" s="201"/>
      <c r="DJ5" s="201"/>
      <c r="DK5" s="201"/>
      <c r="DL5" s="201"/>
      <c r="DM5" s="201"/>
      <c r="DN5" s="201"/>
      <c r="DO5" s="201"/>
      <c r="DP5" s="201"/>
      <c r="DQ5" s="201"/>
      <c r="DR5" s="201"/>
      <c r="DS5" s="201"/>
      <c r="DT5" s="201"/>
      <c r="DU5" s="201"/>
      <c r="DV5" s="201"/>
      <c r="DW5" s="201"/>
      <c r="DX5" s="201"/>
      <c r="DY5" s="201"/>
      <c r="DZ5" s="201"/>
      <c r="EA5" s="201"/>
      <c r="EB5" s="201"/>
      <c r="EC5" s="201"/>
      <c r="ED5" s="201"/>
      <c r="EE5" s="201"/>
      <c r="EF5" s="201"/>
      <c r="EG5" s="201"/>
      <c r="EH5" s="201"/>
      <c r="EI5" s="201"/>
      <c r="EJ5" s="201"/>
      <c r="EK5" s="201"/>
      <c r="EL5" s="201"/>
      <c r="EM5" s="201"/>
      <c r="EN5" s="201"/>
      <c r="EO5" s="201"/>
      <c r="EP5" s="201"/>
      <c r="EQ5" s="201"/>
      <c r="ER5" s="201"/>
      <c r="ES5" s="201"/>
      <c r="ET5" s="201"/>
      <c r="EU5" s="201"/>
      <c r="EV5" s="201"/>
      <c r="EW5" s="201"/>
      <c r="EX5" s="201"/>
      <c r="EY5" s="201"/>
      <c r="EZ5" s="201"/>
      <c r="FA5" s="201"/>
      <c r="FB5" s="201"/>
      <c r="FC5" s="201"/>
      <c r="FD5" s="201"/>
      <c r="FE5" s="201"/>
      <c r="FF5" s="201"/>
      <c r="FG5" s="201"/>
      <c r="FH5" s="201"/>
      <c r="FI5" s="201"/>
      <c r="FJ5" s="201"/>
      <c r="FK5" s="201"/>
      <c r="FL5" s="201"/>
      <c r="FM5" s="201"/>
      <c r="FN5" s="201"/>
      <c r="FO5" s="201"/>
      <c r="FP5" s="201"/>
      <c r="FQ5" s="201"/>
      <c r="FR5" s="201"/>
      <c r="FS5" s="201"/>
      <c r="FT5" s="201"/>
      <c r="FU5" s="201"/>
      <c r="FV5" s="201"/>
      <c r="FW5" s="201"/>
      <c r="FX5" s="201"/>
      <c r="FY5" s="201"/>
      <c r="FZ5" s="201"/>
      <c r="GA5" s="201"/>
      <c r="GB5" s="201"/>
      <c r="GC5" s="201"/>
      <c r="GD5" s="201"/>
      <c r="GE5" s="201"/>
      <c r="GF5" s="201"/>
      <c r="GG5" s="201"/>
      <c r="GH5" s="201"/>
      <c r="GI5" s="201"/>
      <c r="GJ5" s="201"/>
      <c r="GK5" s="201"/>
      <c r="GL5" s="201"/>
      <c r="GM5" s="201"/>
      <c r="GN5" s="201"/>
      <c r="GO5" s="201"/>
      <c r="GP5" s="201"/>
      <c r="GQ5" s="201"/>
      <c r="GR5" s="201"/>
      <c r="GS5" s="201"/>
      <c r="GT5" s="201"/>
      <c r="GU5" s="201"/>
      <c r="GV5" s="173"/>
      <c r="GW5" s="173"/>
      <c r="GX5" s="173"/>
    </row>
    <row r="6" spans="1:206" ht="13">
      <c r="A6" s="173"/>
      <c r="B6" s="403" t="s">
        <v>15</v>
      </c>
      <c r="C6" s="404"/>
      <c r="D6" s="404"/>
      <c r="E6" s="404"/>
      <c r="F6" s="404"/>
      <c r="G6" s="404"/>
      <c r="H6" s="404"/>
      <c r="I6" s="404"/>
      <c r="J6" s="404"/>
      <c r="K6" s="404"/>
      <c r="L6" s="404"/>
      <c r="M6" s="404"/>
      <c r="N6" s="404"/>
      <c r="O6" s="405"/>
      <c r="P6" s="406" t="s">
        <v>16</v>
      </c>
      <c r="Q6" s="407"/>
      <c r="R6" s="407"/>
      <c r="S6" s="407"/>
      <c r="T6" s="407"/>
      <c r="U6" s="407"/>
      <c r="V6" s="407"/>
      <c r="W6" s="408" t="s">
        <v>17</v>
      </c>
      <c r="X6" s="409"/>
      <c r="Y6" s="409"/>
      <c r="Z6" s="409"/>
      <c r="AA6" s="409"/>
      <c r="AB6" s="409"/>
      <c r="AC6" s="410"/>
      <c r="AD6" s="423" t="s">
        <v>627</v>
      </c>
      <c r="AE6" s="424"/>
      <c r="AF6" s="424"/>
      <c r="AG6" s="425"/>
      <c r="AH6" s="423" t="s">
        <v>628</v>
      </c>
      <c r="AI6" s="424"/>
      <c r="AJ6" s="424"/>
      <c r="AK6" s="425"/>
      <c r="AL6" s="423" t="s">
        <v>629</v>
      </c>
      <c r="AM6" s="424"/>
      <c r="AN6" s="424"/>
      <c r="AO6" s="425"/>
      <c r="AP6" s="423" t="s">
        <v>630</v>
      </c>
      <c r="AQ6" s="424"/>
      <c r="AR6" s="424"/>
      <c r="AS6" s="425"/>
      <c r="AT6" s="423" t="s">
        <v>631</v>
      </c>
      <c r="AU6" s="424"/>
      <c r="AV6" s="424"/>
      <c r="AW6" s="425"/>
      <c r="AX6" s="423" t="s">
        <v>632</v>
      </c>
      <c r="AY6" s="424"/>
      <c r="AZ6" s="424"/>
      <c r="BA6" s="425"/>
      <c r="BB6" s="423" t="s">
        <v>633</v>
      </c>
      <c r="BC6" s="424"/>
      <c r="BD6" s="424"/>
      <c r="BE6" s="425"/>
      <c r="BF6" s="423" t="s">
        <v>634</v>
      </c>
      <c r="BG6" s="424"/>
      <c r="BH6" s="424"/>
      <c r="BI6" s="425"/>
      <c r="BJ6" s="423" t="s">
        <v>635</v>
      </c>
      <c r="BK6" s="424"/>
      <c r="BL6" s="424"/>
      <c r="BM6" s="425"/>
      <c r="BN6" s="423" t="s">
        <v>636</v>
      </c>
      <c r="BO6" s="424"/>
      <c r="BP6" s="424"/>
      <c r="BQ6" s="425"/>
      <c r="BR6" s="423" t="s">
        <v>637</v>
      </c>
      <c r="BS6" s="424"/>
      <c r="BT6" s="424"/>
      <c r="BU6" s="425"/>
      <c r="BV6" s="423" t="s">
        <v>638</v>
      </c>
      <c r="BW6" s="424"/>
      <c r="BX6" s="424"/>
      <c r="BY6" s="425"/>
      <c r="BZ6" s="423" t="s">
        <v>639</v>
      </c>
      <c r="CA6" s="424"/>
      <c r="CB6" s="424"/>
      <c r="CC6" s="425"/>
      <c r="CD6" s="423" t="s">
        <v>640</v>
      </c>
      <c r="CE6" s="424"/>
      <c r="CF6" s="424"/>
      <c r="CG6" s="425"/>
      <c r="CH6" s="423" t="s">
        <v>641</v>
      </c>
      <c r="CI6" s="424"/>
      <c r="CJ6" s="424"/>
      <c r="CK6" s="425"/>
      <c r="CL6" s="423" t="s">
        <v>642</v>
      </c>
      <c r="CM6" s="424"/>
      <c r="CN6" s="424"/>
      <c r="CO6" s="425"/>
      <c r="CP6" s="423" t="s">
        <v>643</v>
      </c>
      <c r="CQ6" s="424"/>
      <c r="CR6" s="424"/>
      <c r="CS6" s="425"/>
      <c r="CT6" s="423" t="s">
        <v>644</v>
      </c>
      <c r="CU6" s="424"/>
      <c r="CV6" s="424"/>
      <c r="CW6" s="425"/>
      <c r="CX6" s="423" t="s">
        <v>645</v>
      </c>
      <c r="CY6" s="424"/>
      <c r="CZ6" s="424"/>
      <c r="DA6" s="425"/>
      <c r="DB6" s="423" t="s">
        <v>646</v>
      </c>
      <c r="DC6" s="424"/>
      <c r="DD6" s="424"/>
      <c r="DE6" s="425"/>
      <c r="DF6" s="423" t="s">
        <v>647</v>
      </c>
      <c r="DG6" s="424"/>
      <c r="DH6" s="424"/>
      <c r="DI6" s="425"/>
      <c r="DJ6" s="423" t="s">
        <v>648</v>
      </c>
      <c r="DK6" s="424"/>
      <c r="DL6" s="424"/>
      <c r="DM6" s="425"/>
      <c r="DN6" s="423" t="s">
        <v>649</v>
      </c>
      <c r="DO6" s="424"/>
      <c r="DP6" s="424"/>
      <c r="DQ6" s="425"/>
      <c r="DR6" s="423" t="s">
        <v>650</v>
      </c>
      <c r="DS6" s="424"/>
      <c r="DT6" s="424"/>
      <c r="DU6" s="425"/>
      <c r="DV6" s="423" t="s">
        <v>651</v>
      </c>
      <c r="DW6" s="424"/>
      <c r="DX6" s="424"/>
      <c r="DY6" s="425"/>
      <c r="DZ6" s="423" t="s">
        <v>652</v>
      </c>
      <c r="EA6" s="424"/>
      <c r="EB6" s="424"/>
      <c r="EC6" s="425"/>
      <c r="ED6" s="423" t="s">
        <v>653</v>
      </c>
      <c r="EE6" s="424"/>
      <c r="EF6" s="424"/>
      <c r="EG6" s="425"/>
      <c r="EH6" s="423" t="s">
        <v>654</v>
      </c>
      <c r="EI6" s="424"/>
      <c r="EJ6" s="424"/>
      <c r="EK6" s="425"/>
      <c r="EL6" s="423" t="s">
        <v>655</v>
      </c>
      <c r="EM6" s="424"/>
      <c r="EN6" s="424"/>
      <c r="EO6" s="425"/>
      <c r="EP6" s="423" t="s">
        <v>656</v>
      </c>
      <c r="EQ6" s="424"/>
      <c r="ER6" s="424"/>
      <c r="ES6" s="425"/>
      <c r="ET6" s="423" t="s">
        <v>657</v>
      </c>
      <c r="EU6" s="424"/>
      <c r="EV6" s="424"/>
      <c r="EW6" s="425"/>
      <c r="EX6" s="423" t="s">
        <v>658</v>
      </c>
      <c r="EY6" s="424"/>
      <c r="EZ6" s="424"/>
      <c r="FA6" s="425"/>
      <c r="FB6" s="423" t="s">
        <v>659</v>
      </c>
      <c r="FC6" s="424"/>
      <c r="FD6" s="424"/>
      <c r="FE6" s="425"/>
      <c r="FF6" s="423" t="s">
        <v>660</v>
      </c>
      <c r="FG6" s="424"/>
      <c r="FH6" s="424"/>
      <c r="FI6" s="425"/>
      <c r="FJ6" s="423" t="s">
        <v>661</v>
      </c>
      <c r="FK6" s="424"/>
      <c r="FL6" s="424"/>
      <c r="FM6" s="425"/>
      <c r="FN6" s="423" t="s">
        <v>662</v>
      </c>
      <c r="FO6" s="424"/>
      <c r="FP6" s="424"/>
      <c r="FQ6" s="425"/>
      <c r="FR6" s="423" t="s">
        <v>663</v>
      </c>
      <c r="FS6" s="424"/>
      <c r="FT6" s="424"/>
      <c r="FU6" s="425"/>
      <c r="FV6" s="423" t="s">
        <v>664</v>
      </c>
      <c r="FW6" s="424"/>
      <c r="FX6" s="424"/>
      <c r="FY6" s="425"/>
      <c r="FZ6" s="423" t="s">
        <v>665</v>
      </c>
      <c r="GA6" s="424"/>
      <c r="GB6" s="424"/>
      <c r="GC6" s="425"/>
      <c r="GD6" s="423" t="s">
        <v>666</v>
      </c>
      <c r="GE6" s="424"/>
      <c r="GF6" s="424"/>
      <c r="GG6" s="425"/>
      <c r="GH6" s="423" t="s">
        <v>667</v>
      </c>
      <c r="GI6" s="424"/>
      <c r="GJ6" s="424"/>
      <c r="GK6" s="425"/>
      <c r="GL6" s="423" t="s">
        <v>668</v>
      </c>
      <c r="GM6" s="424"/>
      <c r="GN6" s="424"/>
      <c r="GO6" s="425"/>
      <c r="GP6" s="423" t="s">
        <v>669</v>
      </c>
      <c r="GQ6" s="424"/>
      <c r="GR6" s="424"/>
      <c r="GS6" s="425"/>
      <c r="GT6" s="367"/>
      <c r="GU6" s="367"/>
      <c r="GV6" s="173"/>
      <c r="GW6" s="173"/>
      <c r="GX6" s="173"/>
    </row>
    <row r="7" spans="1:206" ht="79.5" thickBot="1">
      <c r="A7" s="173"/>
      <c r="B7" s="366" t="s">
        <v>7</v>
      </c>
      <c r="C7" s="394" t="s">
        <v>1</v>
      </c>
      <c r="D7" s="395"/>
      <c r="E7" s="395"/>
      <c r="F7" s="395"/>
      <c r="G7" s="395"/>
      <c r="H7" s="396"/>
      <c r="I7" s="365" t="s">
        <v>9</v>
      </c>
      <c r="J7" s="365" t="s">
        <v>10</v>
      </c>
      <c r="K7" s="363" t="s">
        <v>4</v>
      </c>
      <c r="L7" s="363" t="s">
        <v>18</v>
      </c>
      <c r="M7" s="364" t="s">
        <v>12</v>
      </c>
      <c r="N7" s="363" t="s">
        <v>488</v>
      </c>
      <c r="O7" s="363" t="s">
        <v>0</v>
      </c>
      <c r="P7" s="362" t="s">
        <v>19</v>
      </c>
      <c r="Q7" s="361" t="s">
        <v>487</v>
      </c>
      <c r="R7" s="360" t="s">
        <v>486</v>
      </c>
      <c r="S7" s="359" t="s">
        <v>20</v>
      </c>
      <c r="T7" s="359" t="s">
        <v>21</v>
      </c>
      <c r="U7" s="358" t="s">
        <v>485</v>
      </c>
      <c r="V7" s="357" t="s">
        <v>13</v>
      </c>
      <c r="W7" s="356" t="s">
        <v>8</v>
      </c>
      <c r="X7" s="354" t="s">
        <v>11</v>
      </c>
      <c r="Y7" s="355" t="s">
        <v>2</v>
      </c>
      <c r="Z7" s="355" t="s">
        <v>3</v>
      </c>
      <c r="AA7" s="354" t="s">
        <v>486</v>
      </c>
      <c r="AB7" s="353" t="s">
        <v>485</v>
      </c>
      <c r="AC7" s="352" t="s">
        <v>13</v>
      </c>
      <c r="AD7" s="351" t="str">
        <f>MID(AD6,5,4)&amp;"_in"</f>
        <v>1_in</v>
      </c>
      <c r="AE7" s="350" t="str">
        <f>MID(AD6,5,4)&amp;"_out"</f>
        <v>1_out</v>
      </c>
      <c r="AF7" s="349" t="s">
        <v>484</v>
      </c>
      <c r="AG7" s="348" t="s">
        <v>483</v>
      </c>
      <c r="AH7" s="351" t="str">
        <f>MID(AH6,5,4)&amp;"_in"</f>
        <v>2_in</v>
      </c>
      <c r="AI7" s="350" t="str">
        <f>MID(AH6,5,4)&amp;"_out"</f>
        <v>2_out</v>
      </c>
      <c r="AJ7" s="349" t="s">
        <v>484</v>
      </c>
      <c r="AK7" s="348" t="s">
        <v>483</v>
      </c>
      <c r="AL7" s="351" t="str">
        <f>MID(AL6,5,4)&amp;"_in"</f>
        <v>3_in</v>
      </c>
      <c r="AM7" s="350" t="str">
        <f>MID(AL6,5,4)&amp;"_out"</f>
        <v>3_out</v>
      </c>
      <c r="AN7" s="349" t="s">
        <v>484</v>
      </c>
      <c r="AO7" s="348" t="s">
        <v>483</v>
      </c>
      <c r="AP7" s="351" t="str">
        <f>MID(AP6,5,4)&amp;"_in"</f>
        <v>4_in</v>
      </c>
      <c r="AQ7" s="350" t="str">
        <f>MID(AP6,5,4)&amp;"_out"</f>
        <v>4_out</v>
      </c>
      <c r="AR7" s="349" t="s">
        <v>484</v>
      </c>
      <c r="AS7" s="348" t="s">
        <v>483</v>
      </c>
      <c r="AT7" s="351" t="str">
        <f>MID(AT6,5,4)&amp;"_in"</f>
        <v>5_in</v>
      </c>
      <c r="AU7" s="350" t="str">
        <f>MID(AT6,5,4)&amp;"_out"</f>
        <v>5_out</v>
      </c>
      <c r="AV7" s="349" t="s">
        <v>484</v>
      </c>
      <c r="AW7" s="348" t="s">
        <v>483</v>
      </c>
      <c r="AX7" s="351" t="str">
        <f>MID(AX6,5,4)&amp;"_in"</f>
        <v>6_in</v>
      </c>
      <c r="AY7" s="350" t="str">
        <f>MID(AX6,5,4)&amp;"_out"</f>
        <v>6_out</v>
      </c>
      <c r="AZ7" s="349" t="s">
        <v>484</v>
      </c>
      <c r="BA7" s="348" t="s">
        <v>483</v>
      </c>
      <c r="BB7" s="351" t="str">
        <f>MID(BB6,5,4)&amp;"_in"</f>
        <v>7_in</v>
      </c>
      <c r="BC7" s="350" t="str">
        <f>MID(BB6,5,4)&amp;"_out"</f>
        <v>7_out</v>
      </c>
      <c r="BD7" s="349" t="s">
        <v>484</v>
      </c>
      <c r="BE7" s="348" t="s">
        <v>483</v>
      </c>
      <c r="BF7" s="351" t="str">
        <f>MID(BF6,5,4)&amp;"_in"</f>
        <v>8_in</v>
      </c>
      <c r="BG7" s="350" t="str">
        <f>MID(BF6,5,4)&amp;"_out"</f>
        <v>8_out</v>
      </c>
      <c r="BH7" s="349" t="s">
        <v>484</v>
      </c>
      <c r="BI7" s="348" t="s">
        <v>483</v>
      </c>
      <c r="BJ7" s="351" t="str">
        <f>MID(BJ6,5,4)&amp;"_in"</f>
        <v>9_in</v>
      </c>
      <c r="BK7" s="350" t="str">
        <f>MID(BJ6,5,4)&amp;"_out"</f>
        <v>9_out</v>
      </c>
      <c r="BL7" s="349" t="s">
        <v>484</v>
      </c>
      <c r="BM7" s="348" t="s">
        <v>483</v>
      </c>
      <c r="BN7" s="351" t="str">
        <f>MID(BN6,5,4)&amp;"_in"</f>
        <v>10_in</v>
      </c>
      <c r="BO7" s="350" t="str">
        <f>MID(BN6,5,4)&amp;"_out"</f>
        <v>10_out</v>
      </c>
      <c r="BP7" s="349" t="s">
        <v>484</v>
      </c>
      <c r="BQ7" s="348" t="s">
        <v>483</v>
      </c>
      <c r="BR7" s="351" t="str">
        <f>MID(BR6,5,4)&amp;"_in"</f>
        <v>11_in</v>
      </c>
      <c r="BS7" s="350" t="str">
        <f>MID(BR6,5,4)&amp;"_out"</f>
        <v>11_out</v>
      </c>
      <c r="BT7" s="349" t="s">
        <v>484</v>
      </c>
      <c r="BU7" s="348" t="s">
        <v>483</v>
      </c>
      <c r="BV7" s="351" t="str">
        <f>MID(BV6,5,4)&amp;"_in"</f>
        <v>12_in</v>
      </c>
      <c r="BW7" s="350" t="str">
        <f>MID(BV6,5,4)&amp;"_out"</f>
        <v>12_out</v>
      </c>
      <c r="BX7" s="349" t="s">
        <v>484</v>
      </c>
      <c r="BY7" s="348" t="s">
        <v>483</v>
      </c>
      <c r="BZ7" s="351" t="str">
        <f>MID(BZ6,5,4)&amp;"_in"</f>
        <v>13_in</v>
      </c>
      <c r="CA7" s="350" t="str">
        <f>MID(BZ6,5,4)&amp;"_out"</f>
        <v>13_out</v>
      </c>
      <c r="CB7" s="349" t="s">
        <v>484</v>
      </c>
      <c r="CC7" s="348" t="s">
        <v>483</v>
      </c>
      <c r="CD7" s="351" t="str">
        <f>MID(CD6,5,4)&amp;"_in"</f>
        <v>14_in</v>
      </c>
      <c r="CE7" s="350" t="str">
        <f>MID(CD6,5,4)&amp;"_out"</f>
        <v>14_out</v>
      </c>
      <c r="CF7" s="349" t="s">
        <v>484</v>
      </c>
      <c r="CG7" s="348" t="s">
        <v>483</v>
      </c>
      <c r="CH7" s="351" t="str">
        <f>MID(CH6,5,4)&amp;"_in"</f>
        <v>15_in</v>
      </c>
      <c r="CI7" s="350" t="str">
        <f>MID(CH6,5,4)&amp;"_out"</f>
        <v>15_out</v>
      </c>
      <c r="CJ7" s="349" t="s">
        <v>484</v>
      </c>
      <c r="CK7" s="348" t="s">
        <v>483</v>
      </c>
      <c r="CL7" s="351" t="str">
        <f>MID(CL6,5,4)&amp;"_in"</f>
        <v>16_in</v>
      </c>
      <c r="CM7" s="350" t="str">
        <f>MID(CL6,5,4)&amp;"_out"</f>
        <v>16_out</v>
      </c>
      <c r="CN7" s="349" t="s">
        <v>484</v>
      </c>
      <c r="CO7" s="348" t="s">
        <v>483</v>
      </c>
      <c r="CP7" s="351" t="str">
        <f>MID(CP6,5,4)&amp;"_in"</f>
        <v>17_in</v>
      </c>
      <c r="CQ7" s="350" t="str">
        <f>MID(CP6,5,4)&amp;"_out"</f>
        <v>17_out</v>
      </c>
      <c r="CR7" s="349" t="s">
        <v>484</v>
      </c>
      <c r="CS7" s="348" t="s">
        <v>483</v>
      </c>
      <c r="CT7" s="351" t="str">
        <f>MID(CT6,5,4)&amp;"_in"</f>
        <v>18_in</v>
      </c>
      <c r="CU7" s="350" t="str">
        <f>MID(CT6,5,4)&amp;"_out"</f>
        <v>18_out</v>
      </c>
      <c r="CV7" s="349" t="s">
        <v>484</v>
      </c>
      <c r="CW7" s="348" t="s">
        <v>483</v>
      </c>
      <c r="CX7" s="351" t="str">
        <f>MID(CX6,5,4)&amp;"_in"</f>
        <v>19_in</v>
      </c>
      <c r="CY7" s="350" t="str">
        <f>MID(CX6,5,4)&amp;"_out"</f>
        <v>19_out</v>
      </c>
      <c r="CZ7" s="349" t="s">
        <v>484</v>
      </c>
      <c r="DA7" s="348" t="s">
        <v>483</v>
      </c>
      <c r="DB7" s="351" t="str">
        <f>MID(DB6,5,4)&amp;"_in"</f>
        <v>20_in</v>
      </c>
      <c r="DC7" s="350" t="str">
        <f>MID(DB6,5,4)&amp;"_out"</f>
        <v>20_out</v>
      </c>
      <c r="DD7" s="349" t="s">
        <v>484</v>
      </c>
      <c r="DE7" s="348" t="s">
        <v>483</v>
      </c>
      <c r="DF7" s="351" t="str">
        <f>MID(DF6,5,4)&amp;"_in"</f>
        <v>21_in</v>
      </c>
      <c r="DG7" s="350" t="str">
        <f>MID(DF6,5,4)&amp;"_out"</f>
        <v>21_out</v>
      </c>
      <c r="DH7" s="349" t="s">
        <v>484</v>
      </c>
      <c r="DI7" s="348" t="s">
        <v>483</v>
      </c>
      <c r="DJ7" s="351" t="str">
        <f>MID(DJ6,5,4)&amp;"_in"</f>
        <v>22_in</v>
      </c>
      <c r="DK7" s="350" t="str">
        <f>MID(DJ6,5,4)&amp;"_out"</f>
        <v>22_out</v>
      </c>
      <c r="DL7" s="349" t="s">
        <v>484</v>
      </c>
      <c r="DM7" s="348" t="s">
        <v>483</v>
      </c>
      <c r="DN7" s="351" t="str">
        <f>MID(DN6,5,4)&amp;"_in"</f>
        <v>23_in</v>
      </c>
      <c r="DO7" s="350" t="str">
        <f>MID(DN6,5,4)&amp;"_out"</f>
        <v>23_out</v>
      </c>
      <c r="DP7" s="349" t="s">
        <v>484</v>
      </c>
      <c r="DQ7" s="348" t="s">
        <v>483</v>
      </c>
      <c r="DR7" s="351" t="str">
        <f>MID(DR6,5,4)&amp;"_in"</f>
        <v>24_in</v>
      </c>
      <c r="DS7" s="350" t="str">
        <f>MID(DR6,5,4)&amp;"_out"</f>
        <v>24_out</v>
      </c>
      <c r="DT7" s="349" t="s">
        <v>484</v>
      </c>
      <c r="DU7" s="348" t="s">
        <v>483</v>
      </c>
      <c r="DV7" s="351" t="str">
        <f>MID(DV6,5,4)&amp;"_in"</f>
        <v>25_in</v>
      </c>
      <c r="DW7" s="350" t="str">
        <f>MID(DV6,5,4)&amp;"_out"</f>
        <v>25_out</v>
      </c>
      <c r="DX7" s="349" t="s">
        <v>484</v>
      </c>
      <c r="DY7" s="348" t="s">
        <v>483</v>
      </c>
      <c r="DZ7" s="351" t="str">
        <f>MID(DZ6,5,4)&amp;"_in"</f>
        <v>26_in</v>
      </c>
      <c r="EA7" s="350" t="str">
        <f>MID(DZ6,5,4)&amp;"_out"</f>
        <v>26_out</v>
      </c>
      <c r="EB7" s="349" t="s">
        <v>484</v>
      </c>
      <c r="EC7" s="348" t="s">
        <v>483</v>
      </c>
      <c r="ED7" s="351" t="str">
        <f>MID(ED6,5,4)&amp;"_in"</f>
        <v>27_in</v>
      </c>
      <c r="EE7" s="350" t="str">
        <f>MID(ED6,5,4)&amp;"_out"</f>
        <v>27_out</v>
      </c>
      <c r="EF7" s="349" t="s">
        <v>484</v>
      </c>
      <c r="EG7" s="348" t="s">
        <v>483</v>
      </c>
      <c r="EH7" s="351" t="str">
        <f>MID(EH6,5,4)&amp;"_in"</f>
        <v>28_in</v>
      </c>
      <c r="EI7" s="350" t="str">
        <f>MID(EH6,5,4)&amp;"_out"</f>
        <v>28_out</v>
      </c>
      <c r="EJ7" s="349" t="s">
        <v>484</v>
      </c>
      <c r="EK7" s="348" t="s">
        <v>483</v>
      </c>
      <c r="EL7" s="351" t="str">
        <f>MID(EL6,5,4)&amp;"_in"</f>
        <v>29_in</v>
      </c>
      <c r="EM7" s="350" t="str">
        <f>MID(EL6,5,4)&amp;"_out"</f>
        <v>29_out</v>
      </c>
      <c r="EN7" s="349" t="s">
        <v>484</v>
      </c>
      <c r="EO7" s="348" t="s">
        <v>483</v>
      </c>
      <c r="EP7" s="351" t="str">
        <f>MID(EP6,5,4)&amp;"_in"</f>
        <v>30_in</v>
      </c>
      <c r="EQ7" s="350" t="str">
        <f>MID(EP6,5,4)&amp;"_out"</f>
        <v>30_out</v>
      </c>
      <c r="ER7" s="349" t="s">
        <v>484</v>
      </c>
      <c r="ES7" s="348" t="s">
        <v>483</v>
      </c>
      <c r="ET7" s="351" t="str">
        <f>MID(ET6,5,4)&amp;"_in"</f>
        <v>31_in</v>
      </c>
      <c r="EU7" s="350" t="str">
        <f>MID(ET6,5,4)&amp;"_out"</f>
        <v>31_out</v>
      </c>
      <c r="EV7" s="349" t="s">
        <v>484</v>
      </c>
      <c r="EW7" s="348" t="s">
        <v>483</v>
      </c>
      <c r="EX7" s="351" t="str">
        <f>MID(EX6,5,4)&amp;"_in"</f>
        <v>32_in</v>
      </c>
      <c r="EY7" s="350" t="str">
        <f>MID(EX6,5,4)&amp;"_out"</f>
        <v>32_out</v>
      </c>
      <c r="EZ7" s="349" t="s">
        <v>484</v>
      </c>
      <c r="FA7" s="348" t="s">
        <v>483</v>
      </c>
      <c r="FB7" s="351" t="str">
        <f>MID(FB6,5,4)&amp;"_in"</f>
        <v>33_in</v>
      </c>
      <c r="FC7" s="350" t="str">
        <f>MID(FB6,5,4)&amp;"_out"</f>
        <v>33_out</v>
      </c>
      <c r="FD7" s="349" t="s">
        <v>484</v>
      </c>
      <c r="FE7" s="348" t="s">
        <v>483</v>
      </c>
      <c r="FF7" s="351" t="str">
        <f>MID(FF6,5,4)&amp;"_in"</f>
        <v>34_in</v>
      </c>
      <c r="FG7" s="350" t="str">
        <f>MID(FF6,5,4)&amp;"_out"</f>
        <v>34_out</v>
      </c>
      <c r="FH7" s="349" t="s">
        <v>484</v>
      </c>
      <c r="FI7" s="348" t="s">
        <v>483</v>
      </c>
      <c r="FJ7" s="351" t="str">
        <f>MID(FJ6,5,4)&amp;"_in"</f>
        <v>35_in</v>
      </c>
      <c r="FK7" s="350" t="str">
        <f>MID(FJ6,5,4)&amp;"_out"</f>
        <v>35_out</v>
      </c>
      <c r="FL7" s="349" t="s">
        <v>484</v>
      </c>
      <c r="FM7" s="348" t="s">
        <v>483</v>
      </c>
      <c r="FN7" s="351" t="str">
        <f>MID(FN6,5,4)&amp;"_in"</f>
        <v>36_in</v>
      </c>
      <c r="FO7" s="350" t="str">
        <f>MID(FN6,5,4)&amp;"_out"</f>
        <v>36_out</v>
      </c>
      <c r="FP7" s="349" t="s">
        <v>484</v>
      </c>
      <c r="FQ7" s="348" t="s">
        <v>483</v>
      </c>
      <c r="FR7" s="351" t="str">
        <f>MID(FR6,5,4)&amp;"_in"</f>
        <v>37_in</v>
      </c>
      <c r="FS7" s="350" t="str">
        <f>MID(FR6,5,4)&amp;"_out"</f>
        <v>37_out</v>
      </c>
      <c r="FT7" s="349" t="s">
        <v>484</v>
      </c>
      <c r="FU7" s="348" t="s">
        <v>483</v>
      </c>
      <c r="FV7" s="351" t="str">
        <f>MID(FV6,5,4)&amp;"_in"</f>
        <v>38_in</v>
      </c>
      <c r="FW7" s="350" t="str">
        <f>MID(FV6,5,4)&amp;"_out"</f>
        <v>38_out</v>
      </c>
      <c r="FX7" s="349" t="s">
        <v>484</v>
      </c>
      <c r="FY7" s="348" t="s">
        <v>483</v>
      </c>
      <c r="FZ7" s="351" t="str">
        <f>MID(FZ6,5,4)&amp;"_in"</f>
        <v>39_in</v>
      </c>
      <c r="GA7" s="350" t="str">
        <f>MID(FZ6,5,4)&amp;"_out"</f>
        <v>39_out</v>
      </c>
      <c r="GB7" s="349" t="s">
        <v>484</v>
      </c>
      <c r="GC7" s="348" t="s">
        <v>483</v>
      </c>
      <c r="GD7" s="351" t="str">
        <f>MID(GD6,5,4)&amp;"_in"</f>
        <v>40_in</v>
      </c>
      <c r="GE7" s="350" t="str">
        <f>MID(GD6,5,4)&amp;"_out"</f>
        <v>40_out</v>
      </c>
      <c r="GF7" s="349" t="s">
        <v>484</v>
      </c>
      <c r="GG7" s="348" t="s">
        <v>483</v>
      </c>
      <c r="GH7" s="351" t="str">
        <f>MID(GH6,5,4)&amp;"_in"</f>
        <v>41_in</v>
      </c>
      <c r="GI7" s="350" t="str">
        <f>MID(GH6,5,4)&amp;"_out"</f>
        <v>41_out</v>
      </c>
      <c r="GJ7" s="349" t="s">
        <v>484</v>
      </c>
      <c r="GK7" s="348" t="s">
        <v>483</v>
      </c>
      <c r="GL7" s="351" t="str">
        <f>MID(GL6,5,4)&amp;"_in"</f>
        <v>42_in</v>
      </c>
      <c r="GM7" s="350" t="str">
        <f>MID(GL6,5,4)&amp;"_out"</f>
        <v>42_out</v>
      </c>
      <c r="GN7" s="349" t="s">
        <v>484</v>
      </c>
      <c r="GO7" s="348" t="s">
        <v>483</v>
      </c>
      <c r="GP7" s="351" t="str">
        <f>MID(GP6,5,4)&amp;"_in"</f>
        <v>43_in</v>
      </c>
      <c r="GQ7" s="350" t="str">
        <f>MID(GP6,5,4)&amp;"_out"</f>
        <v>43_out</v>
      </c>
      <c r="GR7" s="349" t="s">
        <v>484</v>
      </c>
      <c r="GS7" s="348" t="s">
        <v>483</v>
      </c>
      <c r="GT7" s="347" t="s">
        <v>482</v>
      </c>
      <c r="GU7" s="347" t="s">
        <v>482</v>
      </c>
      <c r="GV7" s="173"/>
      <c r="GW7" s="173"/>
      <c r="GX7" s="173"/>
    </row>
    <row r="8" spans="1:206" ht="13.5" thickTop="1">
      <c r="A8" s="200" t="s">
        <v>336</v>
      </c>
      <c r="B8" s="346">
        <v>1</v>
      </c>
      <c r="C8" s="345" t="s">
        <v>30</v>
      </c>
      <c r="D8" s="344"/>
      <c r="E8" s="344"/>
      <c r="F8" s="344"/>
      <c r="G8" s="344"/>
      <c r="H8" s="343"/>
      <c r="I8" s="341"/>
      <c r="J8" s="341" t="s">
        <v>336</v>
      </c>
      <c r="K8" s="274"/>
      <c r="L8" s="274"/>
      <c r="M8" s="339" t="s">
        <v>481</v>
      </c>
      <c r="N8" s="274"/>
      <c r="O8" s="340"/>
      <c r="P8" s="342"/>
      <c r="Q8" s="339"/>
      <c r="R8" s="341"/>
      <c r="S8" s="339"/>
      <c r="T8" s="339"/>
      <c r="U8" s="341"/>
      <c r="V8" s="340"/>
      <c r="W8" s="292" t="str">
        <f t="shared" ref="W8:W18" si="0">IF(C8&lt;&gt;"","0",IF(D8&lt;&gt;"","1",IF(E8&lt;&gt;"","2",IF(F8&lt;&gt;"","3",IF(G8&lt;&gt;"","4",IF(H8&lt;&gt;"","5"))))))</f>
        <v>0</v>
      </c>
      <c r="X8" s="275" t="s">
        <v>480</v>
      </c>
      <c r="Y8" s="275"/>
      <c r="Z8" s="275"/>
      <c r="AA8" s="274"/>
      <c r="AB8" s="274" t="s">
        <v>479</v>
      </c>
      <c r="AC8" s="339"/>
      <c r="AD8" s="338"/>
      <c r="AE8" s="337"/>
      <c r="AF8" s="336" t="str">
        <f t="shared" ref="AF8:AF13" si="1">IF($AA8="","",IF(AD8="","",AD8))</f>
        <v/>
      </c>
      <c r="AG8" s="335" t="str">
        <f t="shared" ref="AG8:AG39" si="2">IF(OR(AE$8="判定対象外",AF8="-"),"-",IF(AE8=AF8,"OK","NG"))</f>
        <v>OK</v>
      </c>
      <c r="AH8" s="338"/>
      <c r="AI8" s="337"/>
      <c r="AJ8" s="336" t="str">
        <f t="shared" ref="AJ8:AJ13" si="3">IF($AA8="","",IF(AH8="","",AH8))</f>
        <v/>
      </c>
      <c r="AK8" s="335" t="str">
        <f t="shared" ref="AK8:AK39" si="4">IF(OR(AI$8="判定対象外",AJ8="-"),"-",IF(AI8=AJ8,"OK","NG"))</f>
        <v>OK</v>
      </c>
      <c r="AL8" s="338"/>
      <c r="AM8" s="337"/>
      <c r="AN8" s="336" t="str">
        <f t="shared" ref="AN8:AN13" si="5">IF($AA8="","",IF(AL8="","",AL8))</f>
        <v/>
      </c>
      <c r="AO8" s="335" t="str">
        <f t="shared" ref="AO8:AO39" si="6">IF(OR(AM$8="判定対象外",AN8="-"),"-",IF(AM8=AN8,"OK","NG"))</f>
        <v>OK</v>
      </c>
      <c r="AP8" s="338"/>
      <c r="AQ8" s="337"/>
      <c r="AR8" s="336" t="str">
        <f t="shared" ref="AR8:AR13" si="7">IF($AA8="","",IF(AP8="","",AP8))</f>
        <v/>
      </c>
      <c r="AS8" s="335" t="str">
        <f t="shared" ref="AS8:AS71" si="8">IF(OR(AQ$8="判定対象外",AR8="-"),"-",IF(AQ8=AR8,"OK","NG"))</f>
        <v>OK</v>
      </c>
      <c r="AT8" s="338"/>
      <c r="AU8" s="337"/>
      <c r="AV8" s="336" t="str">
        <f t="shared" ref="AV8:AV13" si="9">IF($AA8="","",IF(AT8="","",AT8))</f>
        <v/>
      </c>
      <c r="AW8" s="335" t="str">
        <f t="shared" ref="AW8:AW71" si="10">IF(OR(AU$8="判定対象外",AV8="-"),"-",IF(AU8=AV8,"OK","NG"))</f>
        <v>OK</v>
      </c>
      <c r="AX8" s="338"/>
      <c r="AY8" s="337"/>
      <c r="AZ8" s="336" t="str">
        <f t="shared" ref="AZ8:AZ13" si="11">IF($AA8="","",IF(AX8="","",AX8))</f>
        <v/>
      </c>
      <c r="BA8" s="335" t="str">
        <f t="shared" ref="BA8:BA71" si="12">IF(OR(AY$8="判定対象外",AZ8="-"),"-",IF(AY8=AZ8,"OK","NG"))</f>
        <v>OK</v>
      </c>
      <c r="BB8" s="338"/>
      <c r="BC8" s="337"/>
      <c r="BD8" s="336" t="str">
        <f t="shared" ref="BD8:BD13" si="13">IF($AA8="","",IF(BB8="","",BB8))</f>
        <v/>
      </c>
      <c r="BE8" s="335" t="str">
        <f t="shared" ref="BE8:BE71" si="14">IF(OR(BC$8="判定対象外",BD8="-"),"-",IF(BC8=BD8,"OK","NG"))</f>
        <v>OK</v>
      </c>
      <c r="BF8" s="338"/>
      <c r="BG8" s="337"/>
      <c r="BH8" s="336" t="str">
        <f t="shared" ref="BH8:BH13" si="15">IF($AA8="","",IF(BF8="","",BF8))</f>
        <v/>
      </c>
      <c r="BI8" s="335" t="str">
        <f t="shared" ref="BI8:BI71" si="16">IF(OR(BG$8="判定対象外",BH8="-"),"-",IF(BG8=BH8,"OK","NG"))</f>
        <v>OK</v>
      </c>
      <c r="BJ8" s="338"/>
      <c r="BK8" s="337"/>
      <c r="BL8" s="336" t="str">
        <f t="shared" ref="BL8:BL13" si="17">IF($AA8="","",IF(BJ8="","",BJ8))</f>
        <v/>
      </c>
      <c r="BM8" s="335" t="str">
        <f t="shared" ref="BM8:BM71" si="18">IF(OR(BK$8="判定対象外",BL8="-"),"-",IF(BK8=BL8,"OK","NG"))</f>
        <v>OK</v>
      </c>
      <c r="BN8" s="338"/>
      <c r="BO8" s="337"/>
      <c r="BP8" s="336" t="str">
        <f t="shared" ref="BP8:BP13" si="19">IF($AA8="","",IF(BN8="","",BN8))</f>
        <v/>
      </c>
      <c r="BQ8" s="335" t="str">
        <f t="shared" ref="BQ8:BQ71" si="20">IF(OR(BO$8="判定対象外",BP8="-"),"-",IF(BO8=BP8,"OK","NG"))</f>
        <v>OK</v>
      </c>
      <c r="BR8" s="338"/>
      <c r="BS8" s="337"/>
      <c r="BT8" s="336" t="str">
        <f t="shared" ref="BT8:BT13" si="21">IF($AA8="","",IF(BR8="","",BR8))</f>
        <v/>
      </c>
      <c r="BU8" s="335" t="str">
        <f t="shared" ref="BU8:BU71" si="22">IF(OR(BS$8="判定対象外",BT8="-"),"-",IF(BS8=BT8,"OK","NG"))</f>
        <v>OK</v>
      </c>
      <c r="BV8" s="338"/>
      <c r="BW8" s="337"/>
      <c r="BX8" s="336" t="str">
        <f t="shared" ref="BX8:BX13" si="23">IF($AA8="","",IF(BV8="","",BV8))</f>
        <v/>
      </c>
      <c r="BY8" s="335" t="str">
        <f t="shared" ref="BY8:BY71" si="24">IF(OR(BW$8="判定対象外",BX8="-"),"-",IF(BW8=BX8,"OK","NG"))</f>
        <v>OK</v>
      </c>
      <c r="BZ8" s="338"/>
      <c r="CA8" s="337"/>
      <c r="CB8" s="336" t="str">
        <f t="shared" ref="CB8:CB13" si="25">IF($AA8="","",IF(BZ8="","",BZ8))</f>
        <v/>
      </c>
      <c r="CC8" s="335" t="str">
        <f t="shared" ref="CC8:CC59" si="26">IF(OR(CA$8="判定対象外",CB8="-"),"-",IF(CA8=CB8,"OK","NG"))</f>
        <v>OK</v>
      </c>
      <c r="CD8" s="338"/>
      <c r="CE8" s="337"/>
      <c r="CF8" s="336" t="str">
        <f t="shared" ref="CF8:CF13" si="27">IF($AA8="","",IF(CD8="","",CD8))</f>
        <v/>
      </c>
      <c r="CG8" s="335" t="str">
        <f t="shared" ref="CG8:CG59" si="28">IF(OR(CE$8="判定対象外",CF8="-"),"-",IF(CE8=CF8,"OK","NG"))</f>
        <v>OK</v>
      </c>
      <c r="CH8" s="338"/>
      <c r="CI8" s="337"/>
      <c r="CJ8" s="336" t="str">
        <f t="shared" ref="CJ8:CJ13" si="29">IF($AA8="","",IF(CH8="","",CH8))</f>
        <v/>
      </c>
      <c r="CK8" s="335" t="str">
        <f t="shared" ref="CK8:CK71" si="30">IF(OR(CI$8="判定対象外",CJ8="-"),"-",IF(CI8=CJ8,"OK","NG"))</f>
        <v>OK</v>
      </c>
      <c r="CL8" s="338"/>
      <c r="CM8" s="337"/>
      <c r="CN8" s="336" t="str">
        <f t="shared" ref="CN8:CN13" si="31">IF($AA8="","",IF(CL8="","",CL8))</f>
        <v/>
      </c>
      <c r="CO8" s="335" t="str">
        <f t="shared" ref="CO8:CO59" si="32">IF(OR(CM$8="判定対象外",CN8="-"),"-",IF(CM8=CN8,"OK","NG"))</f>
        <v>OK</v>
      </c>
      <c r="CP8" s="338"/>
      <c r="CQ8" s="337"/>
      <c r="CR8" s="336" t="str">
        <f t="shared" ref="CR8:CR13" si="33">IF($AA8="","",IF(CP8="","",CP8))</f>
        <v/>
      </c>
      <c r="CS8" s="335" t="str">
        <f t="shared" ref="CS8:CS59" si="34">IF(OR(CQ$8="判定対象外",CR8="-"),"-",IF(CQ8=CR8,"OK","NG"))</f>
        <v>OK</v>
      </c>
      <c r="CT8" s="338"/>
      <c r="CU8" s="337"/>
      <c r="CV8" s="336" t="str">
        <f t="shared" ref="CV8:CV13" si="35">IF($AA8="","",IF(CT8="","",CT8))</f>
        <v/>
      </c>
      <c r="CW8" s="335" t="str">
        <f t="shared" ref="CW8:CW71" si="36">IF(OR(CU$8="判定対象外",CV8="-"),"-",IF(CU8=CV8,"OK","NG"))</f>
        <v>OK</v>
      </c>
      <c r="CX8" s="338"/>
      <c r="CY8" s="337"/>
      <c r="CZ8" s="336" t="str">
        <f t="shared" ref="CZ8:CZ13" si="37">IF($AA8="","",IF(CX8="","",CX8))</f>
        <v/>
      </c>
      <c r="DA8" s="335" t="str">
        <f t="shared" ref="DA8:DA59" si="38">IF(OR(CY$8="判定対象外",CZ8="-"),"-",IF(CY8=CZ8,"OK","NG"))</f>
        <v>OK</v>
      </c>
      <c r="DB8" s="338"/>
      <c r="DC8" s="337"/>
      <c r="DD8" s="336" t="str">
        <f t="shared" ref="DD8:DD13" si="39">IF($AA8="","",IF(DB8="","",DB8))</f>
        <v/>
      </c>
      <c r="DE8" s="335" t="str">
        <f t="shared" ref="DE8:DE59" si="40">IF(OR(DC$8="判定対象外",DD8="-"),"-",IF(DC8=DD8,"OK","NG"))</f>
        <v>OK</v>
      </c>
      <c r="DF8" s="338"/>
      <c r="DG8" s="337"/>
      <c r="DH8" s="336" t="str">
        <f t="shared" ref="DH8:DH13" si="41">IF($AA8="","",IF(DF8="","",DF8))</f>
        <v/>
      </c>
      <c r="DI8" s="335" t="str">
        <f t="shared" ref="DI8:DI71" si="42">IF(OR(DG$8="判定対象外",DH8="-"),"-",IF(DG8=DH8,"OK","NG"))</f>
        <v>OK</v>
      </c>
      <c r="DJ8" s="338"/>
      <c r="DK8" s="337"/>
      <c r="DL8" s="336" t="str">
        <f t="shared" ref="DL8:DL13" si="43">IF($AA8="","",IF(DJ8="","",DJ8))</f>
        <v/>
      </c>
      <c r="DM8" s="335" t="str">
        <f t="shared" ref="DM8:DM59" si="44">IF(OR(DK$8="判定対象外",DL8="-"),"-",IF(DK8=DL8,"OK","NG"))</f>
        <v>OK</v>
      </c>
      <c r="DN8" s="338"/>
      <c r="DO8" s="337"/>
      <c r="DP8" s="336" t="str">
        <f t="shared" ref="DP8:DP13" si="45">IF($AA8="","",IF(DN8="","",DN8))</f>
        <v/>
      </c>
      <c r="DQ8" s="335" t="str">
        <f t="shared" ref="DQ8:DQ59" si="46">IF(OR(DO$8="判定対象外",DP8="-"),"-",IF(DO8=DP8,"OK","NG"))</f>
        <v>OK</v>
      </c>
      <c r="DR8" s="338"/>
      <c r="DS8" s="337"/>
      <c r="DT8" s="336" t="str">
        <f t="shared" ref="DT8:DT13" si="47">IF($AA8="","",IF(DR8="","",DR8))</f>
        <v/>
      </c>
      <c r="DU8" s="335" t="str">
        <f t="shared" ref="DU8:DU71" si="48">IF(OR(DS$8="判定対象外",DT8="-"),"-",IF(DS8=DT8,"OK","NG"))</f>
        <v>OK</v>
      </c>
      <c r="DV8" s="338"/>
      <c r="DW8" s="337"/>
      <c r="DX8" s="336" t="str">
        <f t="shared" ref="DX8:DX13" si="49">IF($AA8="","",IF(DV8="","",DV8))</f>
        <v/>
      </c>
      <c r="DY8" s="335" t="str">
        <f t="shared" ref="DY8:DY59" si="50">IF(OR(DW$8="判定対象外",DX8="-"),"-",IF(DW8=DX8,"OK","NG"))</f>
        <v>OK</v>
      </c>
      <c r="DZ8" s="338"/>
      <c r="EA8" s="337"/>
      <c r="EB8" s="336" t="str">
        <f t="shared" ref="EB8:EB13" si="51">IF($AA8="","",IF(DZ8="","",DZ8))</f>
        <v/>
      </c>
      <c r="EC8" s="335" t="str">
        <f t="shared" ref="EC8:EC59" si="52">IF(OR(EA$8="判定対象外",EB8="-"),"-",IF(EA8=EB8,"OK","NG"))</f>
        <v>OK</v>
      </c>
      <c r="ED8" s="338"/>
      <c r="EE8" s="337"/>
      <c r="EF8" s="336" t="str">
        <f t="shared" ref="EF8:EF13" si="53">IF($AA8="","",IF(ED8="","",ED8))</f>
        <v/>
      </c>
      <c r="EG8" s="335" t="str">
        <f t="shared" ref="EG8:EG71" si="54">IF(OR(EE$8="判定対象外",EF8="-"),"-",IF(EE8=EF8,"OK","NG"))</f>
        <v>OK</v>
      </c>
      <c r="EH8" s="338"/>
      <c r="EI8" s="337"/>
      <c r="EJ8" s="336" t="str">
        <f t="shared" ref="EJ8:EJ13" si="55">IF($AA8="","",IF(EH8="","",EH8))</f>
        <v/>
      </c>
      <c r="EK8" s="335" t="str">
        <f t="shared" ref="EK8:EK59" si="56">IF(OR(EI$8="判定対象外",EJ8="-"),"-",IF(EI8=EJ8,"OK","NG"))</f>
        <v>OK</v>
      </c>
      <c r="EL8" s="338"/>
      <c r="EM8" s="337"/>
      <c r="EN8" s="336" t="str">
        <f t="shared" ref="EN8:EN13" si="57">IF($AA8="","",IF(EL8="","",EL8))</f>
        <v/>
      </c>
      <c r="EO8" s="335" t="str">
        <f t="shared" ref="EO8:EO59" si="58">IF(OR(EM$8="判定対象外",EN8="-"),"-",IF(EM8=EN8,"OK","NG"))</f>
        <v>OK</v>
      </c>
      <c r="EP8" s="338"/>
      <c r="EQ8" s="337"/>
      <c r="ER8" s="336" t="str">
        <f t="shared" ref="ER8:ER13" si="59">IF($AA8="","",IF(EP8="","",EP8))</f>
        <v/>
      </c>
      <c r="ES8" s="335" t="str">
        <f t="shared" ref="ES8:ES71" si="60">IF(OR(EQ$8="判定対象外",ER8="-"),"-",IF(EQ8=ER8,"OK","NG"))</f>
        <v>OK</v>
      </c>
      <c r="ET8" s="338"/>
      <c r="EU8" s="337"/>
      <c r="EV8" s="336" t="str">
        <f t="shared" ref="EV8:EV13" si="61">IF($AA8="","",IF(ET8="","",ET8))</f>
        <v/>
      </c>
      <c r="EW8" s="335" t="str">
        <f t="shared" ref="EW8:EW59" si="62">IF(OR(EU$8="判定対象外",EV8="-"),"-",IF(EU8=EV8,"OK","NG"))</f>
        <v>OK</v>
      </c>
      <c r="EX8" s="338"/>
      <c r="EY8" s="337"/>
      <c r="EZ8" s="336" t="str">
        <f t="shared" ref="EZ8:EZ13" si="63">IF($AA8="","",IF(EX8="","",EX8))</f>
        <v/>
      </c>
      <c r="FA8" s="335" t="str">
        <f t="shared" ref="FA8:FA59" si="64">IF(OR(EY$8="判定対象外",EZ8="-"),"-",IF(EY8=EZ8,"OK","NG"))</f>
        <v>OK</v>
      </c>
      <c r="FB8" s="338"/>
      <c r="FC8" s="337"/>
      <c r="FD8" s="336" t="str">
        <f t="shared" ref="FD8:FD13" si="65">IF($AA8="","",IF(FB8="","",FB8))</f>
        <v/>
      </c>
      <c r="FE8" s="335" t="str">
        <f t="shared" ref="FE8:FE71" si="66">IF(OR(FC$8="判定対象外",FD8="-"),"-",IF(FC8=FD8,"OK","NG"))</f>
        <v>OK</v>
      </c>
      <c r="FF8" s="338"/>
      <c r="FG8" s="337"/>
      <c r="FH8" s="336" t="str">
        <f t="shared" ref="FH8:FH13" si="67">IF($AA8="","",IF(FF8="","",FF8))</f>
        <v/>
      </c>
      <c r="FI8" s="335" t="str">
        <f t="shared" ref="FI8:FI59" si="68">IF(OR(FG$8="判定対象外",FH8="-"),"-",IF(FG8=FH8,"OK","NG"))</f>
        <v>OK</v>
      </c>
      <c r="FJ8" s="338"/>
      <c r="FK8" s="337"/>
      <c r="FL8" s="336" t="str">
        <f t="shared" ref="FL8:FL13" si="69">IF($AA8="","",IF(FJ8="","",FJ8))</f>
        <v/>
      </c>
      <c r="FM8" s="335" t="str">
        <f t="shared" ref="FM8:FM59" si="70">IF(OR(FK$8="判定対象外",FL8="-"),"-",IF(FK8=FL8,"OK","NG"))</f>
        <v>OK</v>
      </c>
      <c r="FN8" s="338"/>
      <c r="FO8" s="337"/>
      <c r="FP8" s="336" t="str">
        <f t="shared" ref="FP8:FP13" si="71">IF($AA8="","",IF(FN8="","",FN8))</f>
        <v/>
      </c>
      <c r="FQ8" s="335" t="str">
        <f t="shared" ref="FQ8:FQ71" si="72">IF(OR(FO$8="判定対象外",FP8="-"),"-",IF(FO8=FP8,"OK","NG"))</f>
        <v>OK</v>
      </c>
      <c r="FR8" s="338"/>
      <c r="FS8" s="337"/>
      <c r="FT8" s="336" t="str">
        <f t="shared" ref="FT8:FT13" si="73">IF($AA8="","",IF(FR8="","",FR8))</f>
        <v/>
      </c>
      <c r="FU8" s="335" t="str">
        <f t="shared" ref="FU8:FU59" si="74">IF(OR(FS$8="判定対象外",FT8="-"),"-",IF(FS8=FT8,"OK","NG"))</f>
        <v>OK</v>
      </c>
      <c r="FV8" s="338"/>
      <c r="FW8" s="337"/>
      <c r="FX8" s="336" t="str">
        <f t="shared" ref="FX8:FX13" si="75">IF($AA8="","",IF(FV8="","",FV8))</f>
        <v/>
      </c>
      <c r="FY8" s="335" t="str">
        <f t="shared" ref="FY8:FY59" si="76">IF(OR(FW$8="判定対象外",FX8="-"),"-",IF(FW8=FX8,"OK","NG"))</f>
        <v>OK</v>
      </c>
      <c r="FZ8" s="338"/>
      <c r="GA8" s="337"/>
      <c r="GB8" s="336" t="str">
        <f t="shared" ref="GB8:GB13" si="77">IF($AA8="","",IF(FZ8="","",FZ8))</f>
        <v/>
      </c>
      <c r="GC8" s="335" t="str">
        <f t="shared" ref="GC8:GC71" si="78">IF(OR(GA$8="判定対象外",GB8="-"),"-",IF(GA8=GB8,"OK","NG"))</f>
        <v>OK</v>
      </c>
      <c r="GD8" s="338"/>
      <c r="GE8" s="337"/>
      <c r="GF8" s="336" t="str">
        <f t="shared" ref="GF8:GF13" si="79">IF($AA8="","",IF(GD8="","",GD8))</f>
        <v/>
      </c>
      <c r="GG8" s="335" t="str">
        <f t="shared" ref="GG8:GG59" si="80">IF(OR(GE$8="判定対象外",GF8="-"),"-",IF(GE8=GF8,"OK","NG"))</f>
        <v>OK</v>
      </c>
      <c r="GH8" s="338"/>
      <c r="GI8" s="337"/>
      <c r="GJ8" s="336" t="str">
        <f t="shared" ref="GJ8:GJ13" si="81">IF($AA8="","",IF(GH8="","",GH8))</f>
        <v/>
      </c>
      <c r="GK8" s="335" t="str">
        <f t="shared" ref="GK8:GK59" si="82">IF(OR(GI$8="判定対象外",GJ8="-"),"-",IF(GI8=GJ8,"OK","NG"))</f>
        <v>OK</v>
      </c>
      <c r="GL8" s="338"/>
      <c r="GM8" s="337"/>
      <c r="GN8" s="336" t="str">
        <f t="shared" ref="GN8:GN13" si="83">IF($AA8="","",IF(GL8="","",GL8))</f>
        <v/>
      </c>
      <c r="GO8" s="335" t="str">
        <f t="shared" ref="GO8:GO71" si="84">IF(OR(GM$8="判定対象外",GN8="-"),"-",IF(GM8=GN8,"OK","NG"))</f>
        <v>OK</v>
      </c>
      <c r="GP8" s="338"/>
      <c r="GQ8" s="337"/>
      <c r="GR8" s="336" t="str">
        <f t="shared" ref="GR8:GR13" si="85">IF($AA8="","",IF(GP8="","",GP8))</f>
        <v/>
      </c>
      <c r="GS8" s="335" t="str">
        <f t="shared" ref="GS8:GS59" si="86">IF(OR(GQ$8="判定対象外",GR8="-"),"-",IF(GQ8=GR8,"OK","NG"))</f>
        <v>OK</v>
      </c>
      <c r="GT8" s="334"/>
      <c r="GU8" s="334"/>
      <c r="GV8" s="173"/>
      <c r="GW8" s="173"/>
      <c r="GX8" s="173"/>
    </row>
    <row r="9" spans="1:206">
      <c r="A9" s="200" t="s">
        <v>444</v>
      </c>
      <c r="B9" s="333">
        <v>1</v>
      </c>
      <c r="C9" s="228" t="s">
        <v>31</v>
      </c>
      <c r="D9" s="332"/>
      <c r="E9" s="258"/>
      <c r="F9" s="258"/>
      <c r="G9" s="258"/>
      <c r="H9" s="331"/>
      <c r="I9" s="329"/>
      <c r="J9" s="329" t="s">
        <v>23</v>
      </c>
      <c r="K9" s="208"/>
      <c r="L9" s="208"/>
      <c r="M9" s="327" t="s">
        <v>32</v>
      </c>
      <c r="N9" s="208"/>
      <c r="O9" s="328"/>
      <c r="P9" s="330"/>
      <c r="Q9" s="327"/>
      <c r="R9" s="329"/>
      <c r="S9" s="327"/>
      <c r="T9" s="327"/>
      <c r="U9" s="329"/>
      <c r="V9" s="328"/>
      <c r="W9" s="292" t="str">
        <f t="shared" si="0"/>
        <v>0</v>
      </c>
      <c r="X9" s="224" t="s">
        <v>25</v>
      </c>
      <c r="Y9" s="224"/>
      <c r="Z9" s="224"/>
      <c r="AA9" s="208"/>
      <c r="AB9" s="208" t="s">
        <v>446</v>
      </c>
      <c r="AC9" s="327"/>
      <c r="AD9" s="325"/>
      <c r="AE9" s="324"/>
      <c r="AF9" s="183" t="str">
        <f t="shared" si="1"/>
        <v/>
      </c>
      <c r="AG9" s="269" t="str">
        <f t="shared" si="2"/>
        <v>OK</v>
      </c>
      <c r="AH9" s="325"/>
      <c r="AI9" s="324"/>
      <c r="AJ9" s="183" t="str">
        <f t="shared" si="3"/>
        <v/>
      </c>
      <c r="AK9" s="269" t="str">
        <f t="shared" si="4"/>
        <v>OK</v>
      </c>
      <c r="AL9" s="325"/>
      <c r="AM9" s="324"/>
      <c r="AN9" s="183" t="str">
        <f t="shared" si="5"/>
        <v/>
      </c>
      <c r="AO9" s="269" t="str">
        <f t="shared" si="6"/>
        <v>OK</v>
      </c>
      <c r="AP9" s="325"/>
      <c r="AQ9" s="324"/>
      <c r="AR9" s="183" t="str">
        <f t="shared" si="7"/>
        <v/>
      </c>
      <c r="AS9" s="269" t="str">
        <f t="shared" si="8"/>
        <v>OK</v>
      </c>
      <c r="AT9" s="325"/>
      <c r="AU9" s="324"/>
      <c r="AV9" s="183" t="str">
        <f t="shared" si="9"/>
        <v/>
      </c>
      <c r="AW9" s="269" t="str">
        <f t="shared" si="10"/>
        <v>OK</v>
      </c>
      <c r="AX9" s="325"/>
      <c r="AY9" s="324"/>
      <c r="AZ9" s="183" t="str">
        <f t="shared" si="11"/>
        <v/>
      </c>
      <c r="BA9" s="269" t="str">
        <f t="shared" si="12"/>
        <v>OK</v>
      </c>
      <c r="BB9" s="325"/>
      <c r="BC9" s="324"/>
      <c r="BD9" s="183" t="str">
        <f t="shared" si="13"/>
        <v/>
      </c>
      <c r="BE9" s="269" t="str">
        <f t="shared" si="14"/>
        <v>OK</v>
      </c>
      <c r="BF9" s="325"/>
      <c r="BG9" s="324"/>
      <c r="BH9" s="183" t="str">
        <f t="shared" si="15"/>
        <v/>
      </c>
      <c r="BI9" s="269" t="str">
        <f t="shared" si="16"/>
        <v>OK</v>
      </c>
      <c r="BJ9" s="325"/>
      <c r="BK9" s="324"/>
      <c r="BL9" s="183" t="str">
        <f t="shared" si="17"/>
        <v/>
      </c>
      <c r="BM9" s="269" t="str">
        <f t="shared" si="18"/>
        <v>OK</v>
      </c>
      <c r="BN9" s="325"/>
      <c r="BO9" s="324"/>
      <c r="BP9" s="183" t="str">
        <f t="shared" si="19"/>
        <v/>
      </c>
      <c r="BQ9" s="269" t="str">
        <f t="shared" si="20"/>
        <v>OK</v>
      </c>
      <c r="BR9" s="325"/>
      <c r="BS9" s="324"/>
      <c r="BT9" s="183" t="str">
        <f t="shared" si="21"/>
        <v/>
      </c>
      <c r="BU9" s="269" t="str">
        <f t="shared" si="22"/>
        <v>OK</v>
      </c>
      <c r="BV9" s="325"/>
      <c r="BW9" s="324"/>
      <c r="BX9" s="183" t="str">
        <f t="shared" si="23"/>
        <v/>
      </c>
      <c r="BY9" s="269" t="str">
        <f t="shared" si="24"/>
        <v>OK</v>
      </c>
      <c r="BZ9" s="325"/>
      <c r="CA9" s="324"/>
      <c r="CB9" s="183" t="str">
        <f t="shared" si="25"/>
        <v/>
      </c>
      <c r="CC9" s="269" t="str">
        <f t="shared" si="26"/>
        <v>OK</v>
      </c>
      <c r="CD9" s="325"/>
      <c r="CE9" s="324"/>
      <c r="CF9" s="183" t="str">
        <f t="shared" si="27"/>
        <v/>
      </c>
      <c r="CG9" s="269" t="str">
        <f t="shared" si="28"/>
        <v>OK</v>
      </c>
      <c r="CH9" s="325"/>
      <c r="CI9" s="324"/>
      <c r="CJ9" s="183" t="str">
        <f t="shared" si="29"/>
        <v/>
      </c>
      <c r="CK9" s="269" t="str">
        <f t="shared" si="30"/>
        <v>OK</v>
      </c>
      <c r="CL9" s="325"/>
      <c r="CM9" s="324"/>
      <c r="CN9" s="183" t="str">
        <f t="shared" si="31"/>
        <v/>
      </c>
      <c r="CO9" s="269" t="str">
        <f t="shared" si="32"/>
        <v>OK</v>
      </c>
      <c r="CP9" s="325"/>
      <c r="CQ9" s="324"/>
      <c r="CR9" s="183" t="str">
        <f t="shared" si="33"/>
        <v/>
      </c>
      <c r="CS9" s="269" t="str">
        <f t="shared" si="34"/>
        <v>OK</v>
      </c>
      <c r="CT9" s="325"/>
      <c r="CU9" s="324"/>
      <c r="CV9" s="183" t="str">
        <f t="shared" si="35"/>
        <v/>
      </c>
      <c r="CW9" s="269" t="str">
        <f t="shared" si="36"/>
        <v>OK</v>
      </c>
      <c r="CX9" s="325"/>
      <c r="CY9" s="324"/>
      <c r="CZ9" s="183" t="str">
        <f t="shared" si="37"/>
        <v/>
      </c>
      <c r="DA9" s="269" t="str">
        <f t="shared" si="38"/>
        <v>OK</v>
      </c>
      <c r="DB9" s="325"/>
      <c r="DC9" s="324"/>
      <c r="DD9" s="183" t="str">
        <f t="shared" si="39"/>
        <v/>
      </c>
      <c r="DE9" s="269" t="str">
        <f t="shared" si="40"/>
        <v>OK</v>
      </c>
      <c r="DF9" s="325"/>
      <c r="DG9" s="324"/>
      <c r="DH9" s="183" t="str">
        <f t="shared" si="41"/>
        <v/>
      </c>
      <c r="DI9" s="269" t="str">
        <f t="shared" si="42"/>
        <v>OK</v>
      </c>
      <c r="DJ9" s="325"/>
      <c r="DK9" s="324"/>
      <c r="DL9" s="183" t="str">
        <f t="shared" si="43"/>
        <v/>
      </c>
      <c r="DM9" s="269" t="str">
        <f t="shared" si="44"/>
        <v>OK</v>
      </c>
      <c r="DN9" s="325"/>
      <c r="DO9" s="324"/>
      <c r="DP9" s="183" t="str">
        <f t="shared" si="45"/>
        <v/>
      </c>
      <c r="DQ9" s="269" t="str">
        <f t="shared" si="46"/>
        <v>OK</v>
      </c>
      <c r="DR9" s="325"/>
      <c r="DS9" s="324"/>
      <c r="DT9" s="183" t="str">
        <f t="shared" si="47"/>
        <v/>
      </c>
      <c r="DU9" s="269" t="str">
        <f t="shared" si="48"/>
        <v>OK</v>
      </c>
      <c r="DV9" s="325"/>
      <c r="DW9" s="324"/>
      <c r="DX9" s="183" t="str">
        <f t="shared" si="49"/>
        <v/>
      </c>
      <c r="DY9" s="269" t="str">
        <f t="shared" si="50"/>
        <v>OK</v>
      </c>
      <c r="DZ9" s="325"/>
      <c r="EA9" s="324"/>
      <c r="EB9" s="183" t="str">
        <f t="shared" si="51"/>
        <v/>
      </c>
      <c r="EC9" s="269" t="str">
        <f t="shared" si="52"/>
        <v>OK</v>
      </c>
      <c r="ED9" s="325"/>
      <c r="EE9" s="324"/>
      <c r="EF9" s="183" t="str">
        <f t="shared" si="53"/>
        <v/>
      </c>
      <c r="EG9" s="269" t="str">
        <f t="shared" si="54"/>
        <v>OK</v>
      </c>
      <c r="EH9" s="325"/>
      <c r="EI9" s="324"/>
      <c r="EJ9" s="183" t="str">
        <f t="shared" si="55"/>
        <v/>
      </c>
      <c r="EK9" s="269" t="str">
        <f t="shared" si="56"/>
        <v>OK</v>
      </c>
      <c r="EL9" s="325"/>
      <c r="EM9" s="324"/>
      <c r="EN9" s="183" t="str">
        <f t="shared" si="57"/>
        <v/>
      </c>
      <c r="EO9" s="269" t="str">
        <f t="shared" si="58"/>
        <v>OK</v>
      </c>
      <c r="EP9" s="325"/>
      <c r="EQ9" s="324"/>
      <c r="ER9" s="183" t="str">
        <f t="shared" si="59"/>
        <v/>
      </c>
      <c r="ES9" s="269" t="str">
        <f t="shared" si="60"/>
        <v>OK</v>
      </c>
      <c r="ET9" s="325"/>
      <c r="EU9" s="324"/>
      <c r="EV9" s="183" t="str">
        <f t="shared" si="61"/>
        <v/>
      </c>
      <c r="EW9" s="269" t="str">
        <f t="shared" si="62"/>
        <v>OK</v>
      </c>
      <c r="EX9" s="325"/>
      <c r="EY9" s="324"/>
      <c r="EZ9" s="183" t="str">
        <f t="shared" si="63"/>
        <v/>
      </c>
      <c r="FA9" s="269" t="str">
        <f t="shared" si="64"/>
        <v>OK</v>
      </c>
      <c r="FB9" s="325"/>
      <c r="FC9" s="324"/>
      <c r="FD9" s="183" t="str">
        <f t="shared" si="65"/>
        <v/>
      </c>
      <c r="FE9" s="269" t="str">
        <f t="shared" si="66"/>
        <v>OK</v>
      </c>
      <c r="FF9" s="325"/>
      <c r="FG9" s="324"/>
      <c r="FH9" s="183" t="str">
        <f t="shared" si="67"/>
        <v/>
      </c>
      <c r="FI9" s="269" t="str">
        <f t="shared" si="68"/>
        <v>OK</v>
      </c>
      <c r="FJ9" s="325"/>
      <c r="FK9" s="324"/>
      <c r="FL9" s="183" t="str">
        <f t="shared" si="69"/>
        <v/>
      </c>
      <c r="FM9" s="269" t="str">
        <f t="shared" si="70"/>
        <v>OK</v>
      </c>
      <c r="FN9" s="325"/>
      <c r="FO9" s="324"/>
      <c r="FP9" s="183" t="str">
        <f t="shared" si="71"/>
        <v/>
      </c>
      <c r="FQ9" s="269" t="str">
        <f t="shared" si="72"/>
        <v>OK</v>
      </c>
      <c r="FR9" s="325"/>
      <c r="FS9" s="324"/>
      <c r="FT9" s="183" t="str">
        <f t="shared" si="73"/>
        <v/>
      </c>
      <c r="FU9" s="269" t="str">
        <f t="shared" si="74"/>
        <v>OK</v>
      </c>
      <c r="FV9" s="325"/>
      <c r="FW9" s="324"/>
      <c r="FX9" s="183" t="str">
        <f t="shared" si="75"/>
        <v/>
      </c>
      <c r="FY9" s="269" t="str">
        <f t="shared" si="76"/>
        <v>OK</v>
      </c>
      <c r="FZ9" s="325"/>
      <c r="GA9" s="324"/>
      <c r="GB9" s="183" t="str">
        <f t="shared" si="77"/>
        <v/>
      </c>
      <c r="GC9" s="269" t="str">
        <f t="shared" si="78"/>
        <v>OK</v>
      </c>
      <c r="GD9" s="325"/>
      <c r="GE9" s="324"/>
      <c r="GF9" s="183" t="str">
        <f t="shared" si="79"/>
        <v/>
      </c>
      <c r="GG9" s="269" t="str">
        <f t="shared" si="80"/>
        <v>OK</v>
      </c>
      <c r="GH9" s="325"/>
      <c r="GI9" s="324"/>
      <c r="GJ9" s="183" t="str">
        <f t="shared" si="81"/>
        <v/>
      </c>
      <c r="GK9" s="269" t="str">
        <f t="shared" si="82"/>
        <v>OK</v>
      </c>
      <c r="GL9" s="325"/>
      <c r="GM9" s="324"/>
      <c r="GN9" s="183" t="str">
        <f t="shared" si="83"/>
        <v/>
      </c>
      <c r="GO9" s="269" t="str">
        <f t="shared" si="84"/>
        <v>OK</v>
      </c>
      <c r="GP9" s="325"/>
      <c r="GQ9" s="324"/>
      <c r="GR9" s="183" t="str">
        <f t="shared" si="85"/>
        <v/>
      </c>
      <c r="GS9" s="269" t="str">
        <f t="shared" si="86"/>
        <v>OK</v>
      </c>
      <c r="GT9" s="268"/>
      <c r="GU9" s="268"/>
      <c r="GV9" s="173"/>
      <c r="GW9" s="173"/>
      <c r="GX9" s="173"/>
    </row>
    <row r="10" spans="1:206">
      <c r="A10" s="200" t="s">
        <v>444</v>
      </c>
      <c r="B10" s="326">
        <v>2</v>
      </c>
      <c r="C10" s="229"/>
      <c r="D10" s="234" t="s">
        <v>33</v>
      </c>
      <c r="E10" s="221"/>
      <c r="F10" s="221"/>
      <c r="G10" s="221"/>
      <c r="H10" s="220"/>
      <c r="I10" s="309"/>
      <c r="J10" s="309" t="s">
        <v>444</v>
      </c>
      <c r="K10" s="209"/>
      <c r="L10" s="209"/>
      <c r="M10" s="296"/>
      <c r="N10" s="209"/>
      <c r="O10" s="315"/>
      <c r="P10" s="310"/>
      <c r="Q10" s="296"/>
      <c r="R10" s="309"/>
      <c r="S10" s="296"/>
      <c r="T10" s="296"/>
      <c r="U10" s="309"/>
      <c r="V10" s="315"/>
      <c r="W10" s="292" t="str">
        <f t="shared" si="0"/>
        <v>1</v>
      </c>
      <c r="X10" s="210" t="s">
        <v>478</v>
      </c>
      <c r="Y10" s="210"/>
      <c r="Z10" s="210"/>
      <c r="AA10" s="209"/>
      <c r="AB10" s="209" t="s">
        <v>450</v>
      </c>
      <c r="AC10" s="296"/>
      <c r="AD10" s="325"/>
      <c r="AE10" s="324"/>
      <c r="AF10" s="183" t="str">
        <f t="shared" si="1"/>
        <v/>
      </c>
      <c r="AG10" s="203" t="str">
        <f t="shared" si="2"/>
        <v>OK</v>
      </c>
      <c r="AH10" s="325"/>
      <c r="AI10" s="324"/>
      <c r="AJ10" s="183" t="str">
        <f t="shared" si="3"/>
        <v/>
      </c>
      <c r="AK10" s="203" t="str">
        <f t="shared" si="4"/>
        <v>OK</v>
      </c>
      <c r="AL10" s="325"/>
      <c r="AM10" s="324"/>
      <c r="AN10" s="183" t="str">
        <f t="shared" si="5"/>
        <v/>
      </c>
      <c r="AO10" s="203" t="str">
        <f t="shared" si="6"/>
        <v>OK</v>
      </c>
      <c r="AP10" s="325"/>
      <c r="AQ10" s="324"/>
      <c r="AR10" s="183" t="str">
        <f t="shared" si="7"/>
        <v/>
      </c>
      <c r="AS10" s="203" t="str">
        <f t="shared" si="8"/>
        <v>OK</v>
      </c>
      <c r="AT10" s="325"/>
      <c r="AU10" s="324"/>
      <c r="AV10" s="183" t="str">
        <f t="shared" si="9"/>
        <v/>
      </c>
      <c r="AW10" s="203" t="str">
        <f t="shared" si="10"/>
        <v>OK</v>
      </c>
      <c r="AX10" s="325"/>
      <c r="AY10" s="324"/>
      <c r="AZ10" s="183" t="str">
        <f t="shared" si="11"/>
        <v/>
      </c>
      <c r="BA10" s="203" t="str">
        <f t="shared" si="12"/>
        <v>OK</v>
      </c>
      <c r="BB10" s="325"/>
      <c r="BC10" s="324"/>
      <c r="BD10" s="183" t="str">
        <f t="shared" si="13"/>
        <v/>
      </c>
      <c r="BE10" s="203" t="str">
        <f t="shared" si="14"/>
        <v>OK</v>
      </c>
      <c r="BF10" s="325"/>
      <c r="BG10" s="324"/>
      <c r="BH10" s="183" t="str">
        <f t="shared" si="15"/>
        <v/>
      </c>
      <c r="BI10" s="203" t="str">
        <f t="shared" si="16"/>
        <v>OK</v>
      </c>
      <c r="BJ10" s="325"/>
      <c r="BK10" s="324"/>
      <c r="BL10" s="183" t="str">
        <f t="shared" si="17"/>
        <v/>
      </c>
      <c r="BM10" s="203" t="str">
        <f t="shared" si="18"/>
        <v>OK</v>
      </c>
      <c r="BN10" s="325"/>
      <c r="BO10" s="324"/>
      <c r="BP10" s="183" t="str">
        <f t="shared" si="19"/>
        <v/>
      </c>
      <c r="BQ10" s="203" t="str">
        <f t="shared" si="20"/>
        <v>OK</v>
      </c>
      <c r="BR10" s="325"/>
      <c r="BS10" s="324"/>
      <c r="BT10" s="183" t="str">
        <f t="shared" si="21"/>
        <v/>
      </c>
      <c r="BU10" s="203" t="str">
        <f t="shared" si="22"/>
        <v>OK</v>
      </c>
      <c r="BV10" s="325"/>
      <c r="BW10" s="324"/>
      <c r="BX10" s="183" t="str">
        <f t="shared" si="23"/>
        <v/>
      </c>
      <c r="BY10" s="203" t="str">
        <f t="shared" si="24"/>
        <v>OK</v>
      </c>
      <c r="BZ10" s="325"/>
      <c r="CA10" s="324"/>
      <c r="CB10" s="183" t="str">
        <f t="shared" si="25"/>
        <v/>
      </c>
      <c r="CC10" s="203" t="str">
        <f t="shared" si="26"/>
        <v>OK</v>
      </c>
      <c r="CD10" s="325"/>
      <c r="CE10" s="324"/>
      <c r="CF10" s="183" t="str">
        <f t="shared" si="27"/>
        <v/>
      </c>
      <c r="CG10" s="203" t="str">
        <f t="shared" si="28"/>
        <v>OK</v>
      </c>
      <c r="CH10" s="325"/>
      <c r="CI10" s="324"/>
      <c r="CJ10" s="183" t="str">
        <f t="shared" si="29"/>
        <v/>
      </c>
      <c r="CK10" s="203" t="str">
        <f t="shared" si="30"/>
        <v>OK</v>
      </c>
      <c r="CL10" s="325"/>
      <c r="CM10" s="324"/>
      <c r="CN10" s="183" t="str">
        <f t="shared" si="31"/>
        <v/>
      </c>
      <c r="CO10" s="203" t="str">
        <f t="shared" si="32"/>
        <v>OK</v>
      </c>
      <c r="CP10" s="325"/>
      <c r="CQ10" s="324"/>
      <c r="CR10" s="183" t="str">
        <f t="shared" si="33"/>
        <v/>
      </c>
      <c r="CS10" s="203" t="str">
        <f t="shared" si="34"/>
        <v>OK</v>
      </c>
      <c r="CT10" s="325"/>
      <c r="CU10" s="324"/>
      <c r="CV10" s="183" t="str">
        <f t="shared" si="35"/>
        <v/>
      </c>
      <c r="CW10" s="203" t="str">
        <f t="shared" si="36"/>
        <v>OK</v>
      </c>
      <c r="CX10" s="325"/>
      <c r="CY10" s="324"/>
      <c r="CZ10" s="183" t="str">
        <f t="shared" si="37"/>
        <v/>
      </c>
      <c r="DA10" s="203" t="str">
        <f t="shared" si="38"/>
        <v>OK</v>
      </c>
      <c r="DB10" s="325"/>
      <c r="DC10" s="324"/>
      <c r="DD10" s="183" t="str">
        <f t="shared" si="39"/>
        <v/>
      </c>
      <c r="DE10" s="203" t="str">
        <f t="shared" si="40"/>
        <v>OK</v>
      </c>
      <c r="DF10" s="325"/>
      <c r="DG10" s="324"/>
      <c r="DH10" s="183" t="str">
        <f t="shared" si="41"/>
        <v/>
      </c>
      <c r="DI10" s="203" t="str">
        <f t="shared" si="42"/>
        <v>OK</v>
      </c>
      <c r="DJ10" s="325"/>
      <c r="DK10" s="324"/>
      <c r="DL10" s="183" t="str">
        <f t="shared" si="43"/>
        <v/>
      </c>
      <c r="DM10" s="203" t="str">
        <f t="shared" si="44"/>
        <v>OK</v>
      </c>
      <c r="DN10" s="325"/>
      <c r="DO10" s="324"/>
      <c r="DP10" s="183" t="str">
        <f t="shared" si="45"/>
        <v/>
      </c>
      <c r="DQ10" s="203" t="str">
        <f t="shared" si="46"/>
        <v>OK</v>
      </c>
      <c r="DR10" s="325"/>
      <c r="DS10" s="324"/>
      <c r="DT10" s="183" t="str">
        <f t="shared" si="47"/>
        <v/>
      </c>
      <c r="DU10" s="203" t="str">
        <f t="shared" si="48"/>
        <v>OK</v>
      </c>
      <c r="DV10" s="325"/>
      <c r="DW10" s="324"/>
      <c r="DX10" s="183" t="str">
        <f t="shared" si="49"/>
        <v/>
      </c>
      <c r="DY10" s="203" t="str">
        <f t="shared" si="50"/>
        <v>OK</v>
      </c>
      <c r="DZ10" s="325"/>
      <c r="EA10" s="324"/>
      <c r="EB10" s="183" t="str">
        <f t="shared" si="51"/>
        <v/>
      </c>
      <c r="EC10" s="203" t="str">
        <f t="shared" si="52"/>
        <v>OK</v>
      </c>
      <c r="ED10" s="325"/>
      <c r="EE10" s="324"/>
      <c r="EF10" s="183" t="str">
        <f t="shared" si="53"/>
        <v/>
      </c>
      <c r="EG10" s="203" t="str">
        <f t="shared" si="54"/>
        <v>OK</v>
      </c>
      <c r="EH10" s="325"/>
      <c r="EI10" s="324"/>
      <c r="EJ10" s="183" t="str">
        <f t="shared" si="55"/>
        <v/>
      </c>
      <c r="EK10" s="203" t="str">
        <f t="shared" si="56"/>
        <v>OK</v>
      </c>
      <c r="EL10" s="325"/>
      <c r="EM10" s="324"/>
      <c r="EN10" s="183" t="str">
        <f t="shared" si="57"/>
        <v/>
      </c>
      <c r="EO10" s="203" t="str">
        <f t="shared" si="58"/>
        <v>OK</v>
      </c>
      <c r="EP10" s="325"/>
      <c r="EQ10" s="324"/>
      <c r="ER10" s="183" t="str">
        <f t="shared" si="59"/>
        <v/>
      </c>
      <c r="ES10" s="203" t="str">
        <f t="shared" si="60"/>
        <v>OK</v>
      </c>
      <c r="ET10" s="325"/>
      <c r="EU10" s="324"/>
      <c r="EV10" s="183" t="str">
        <f t="shared" si="61"/>
        <v/>
      </c>
      <c r="EW10" s="203" t="str">
        <f t="shared" si="62"/>
        <v>OK</v>
      </c>
      <c r="EX10" s="325"/>
      <c r="EY10" s="324"/>
      <c r="EZ10" s="183" t="str">
        <f t="shared" si="63"/>
        <v/>
      </c>
      <c r="FA10" s="203" t="str">
        <f t="shared" si="64"/>
        <v>OK</v>
      </c>
      <c r="FB10" s="325"/>
      <c r="FC10" s="324"/>
      <c r="FD10" s="183" t="str">
        <f t="shared" si="65"/>
        <v/>
      </c>
      <c r="FE10" s="203" t="str">
        <f t="shared" si="66"/>
        <v>OK</v>
      </c>
      <c r="FF10" s="325"/>
      <c r="FG10" s="324"/>
      <c r="FH10" s="183" t="str">
        <f t="shared" si="67"/>
        <v/>
      </c>
      <c r="FI10" s="203" t="str">
        <f t="shared" si="68"/>
        <v>OK</v>
      </c>
      <c r="FJ10" s="325"/>
      <c r="FK10" s="324"/>
      <c r="FL10" s="183" t="str">
        <f t="shared" si="69"/>
        <v/>
      </c>
      <c r="FM10" s="203" t="str">
        <f t="shared" si="70"/>
        <v>OK</v>
      </c>
      <c r="FN10" s="325"/>
      <c r="FO10" s="324"/>
      <c r="FP10" s="183" t="str">
        <f t="shared" si="71"/>
        <v/>
      </c>
      <c r="FQ10" s="203" t="str">
        <f t="shared" si="72"/>
        <v>OK</v>
      </c>
      <c r="FR10" s="325"/>
      <c r="FS10" s="324"/>
      <c r="FT10" s="183" t="str">
        <f t="shared" si="73"/>
        <v/>
      </c>
      <c r="FU10" s="203" t="str">
        <f t="shared" si="74"/>
        <v>OK</v>
      </c>
      <c r="FV10" s="325"/>
      <c r="FW10" s="324"/>
      <c r="FX10" s="183" t="str">
        <f t="shared" si="75"/>
        <v/>
      </c>
      <c r="FY10" s="203" t="str">
        <f t="shared" si="76"/>
        <v>OK</v>
      </c>
      <c r="FZ10" s="325"/>
      <c r="GA10" s="324"/>
      <c r="GB10" s="183" t="str">
        <f t="shared" si="77"/>
        <v/>
      </c>
      <c r="GC10" s="203" t="str">
        <f t="shared" si="78"/>
        <v>OK</v>
      </c>
      <c r="GD10" s="325"/>
      <c r="GE10" s="324"/>
      <c r="GF10" s="183" t="str">
        <f t="shared" si="79"/>
        <v/>
      </c>
      <c r="GG10" s="203" t="str">
        <f t="shared" si="80"/>
        <v>OK</v>
      </c>
      <c r="GH10" s="325"/>
      <c r="GI10" s="324"/>
      <c r="GJ10" s="183" t="str">
        <f t="shared" si="81"/>
        <v/>
      </c>
      <c r="GK10" s="203" t="str">
        <f t="shared" si="82"/>
        <v>OK</v>
      </c>
      <c r="GL10" s="325"/>
      <c r="GM10" s="324"/>
      <c r="GN10" s="183" t="str">
        <f t="shared" si="83"/>
        <v/>
      </c>
      <c r="GO10" s="203" t="str">
        <f t="shared" si="84"/>
        <v>OK</v>
      </c>
      <c r="GP10" s="325"/>
      <c r="GQ10" s="324"/>
      <c r="GR10" s="183" t="str">
        <f t="shared" si="85"/>
        <v/>
      </c>
      <c r="GS10" s="203" t="str">
        <f t="shared" si="86"/>
        <v>OK</v>
      </c>
      <c r="GT10" s="202"/>
      <c r="GU10" s="202"/>
      <c r="GV10" s="173"/>
      <c r="GW10" s="173"/>
      <c r="GX10" s="173"/>
    </row>
    <row r="11" spans="1:206" ht="26.5">
      <c r="A11" s="200" t="s">
        <v>444</v>
      </c>
      <c r="B11" s="225">
        <v>3</v>
      </c>
      <c r="C11" s="229"/>
      <c r="D11" s="229"/>
      <c r="E11" s="222" t="s">
        <v>477</v>
      </c>
      <c r="F11" s="221"/>
      <c r="G11" s="221"/>
      <c r="H11" s="220"/>
      <c r="I11" s="209"/>
      <c r="J11" s="209" t="s">
        <v>444</v>
      </c>
      <c r="K11" s="209"/>
      <c r="L11" s="209"/>
      <c r="M11" s="291" t="s">
        <v>476</v>
      </c>
      <c r="N11" s="209"/>
      <c r="O11" s="315"/>
      <c r="P11" s="310">
        <v>1</v>
      </c>
      <c r="Q11" s="296">
        <v>5</v>
      </c>
      <c r="R11" s="309" t="s">
        <v>447</v>
      </c>
      <c r="S11" s="296"/>
      <c r="T11" s="296"/>
      <c r="U11" s="309" t="s">
        <v>450</v>
      </c>
      <c r="V11" s="315" t="s">
        <v>34</v>
      </c>
      <c r="W11" s="292" t="str">
        <f t="shared" si="0"/>
        <v>2</v>
      </c>
      <c r="X11" s="210" t="s">
        <v>475</v>
      </c>
      <c r="Y11" s="210">
        <v>4</v>
      </c>
      <c r="Z11" s="210">
        <v>4</v>
      </c>
      <c r="AA11" s="209" t="s">
        <v>447</v>
      </c>
      <c r="AB11" s="209" t="s">
        <v>450</v>
      </c>
      <c r="AC11" s="296"/>
      <c r="AD11" s="231" t="s">
        <v>474</v>
      </c>
      <c r="AE11" s="307"/>
      <c r="AF11" s="183" t="str">
        <f t="shared" si="1"/>
        <v>M001</v>
      </c>
      <c r="AG11" s="203" t="str">
        <f t="shared" si="2"/>
        <v>NG</v>
      </c>
      <c r="AH11" s="231" t="s">
        <v>474</v>
      </c>
      <c r="AI11" s="307"/>
      <c r="AJ11" s="183" t="str">
        <f t="shared" si="3"/>
        <v>M001</v>
      </c>
      <c r="AK11" s="203" t="str">
        <f t="shared" si="4"/>
        <v>NG</v>
      </c>
      <c r="AL11" s="231" t="s">
        <v>474</v>
      </c>
      <c r="AM11" s="307"/>
      <c r="AN11" s="183" t="str">
        <f t="shared" si="5"/>
        <v>M001</v>
      </c>
      <c r="AO11" s="203" t="str">
        <f t="shared" si="6"/>
        <v>NG</v>
      </c>
      <c r="AP11" s="231" t="s">
        <v>474</v>
      </c>
      <c r="AQ11" s="307"/>
      <c r="AR11" s="183" t="str">
        <f t="shared" si="7"/>
        <v>M001</v>
      </c>
      <c r="AS11" s="203" t="str">
        <f t="shared" si="8"/>
        <v>NG</v>
      </c>
      <c r="AT11" s="231" t="s">
        <v>474</v>
      </c>
      <c r="AU11" s="307"/>
      <c r="AV11" s="183" t="str">
        <f t="shared" si="9"/>
        <v>M001</v>
      </c>
      <c r="AW11" s="203" t="str">
        <f t="shared" si="10"/>
        <v>NG</v>
      </c>
      <c r="AX11" s="231" t="s">
        <v>474</v>
      </c>
      <c r="AY11" s="307"/>
      <c r="AZ11" s="183" t="str">
        <f t="shared" si="11"/>
        <v>M001</v>
      </c>
      <c r="BA11" s="203" t="str">
        <f t="shared" si="12"/>
        <v>NG</v>
      </c>
      <c r="BB11" s="231" t="s">
        <v>474</v>
      </c>
      <c r="BC11" s="307"/>
      <c r="BD11" s="183" t="str">
        <f t="shared" si="13"/>
        <v>M001</v>
      </c>
      <c r="BE11" s="203" t="str">
        <f t="shared" si="14"/>
        <v>NG</v>
      </c>
      <c r="BF11" s="231" t="s">
        <v>474</v>
      </c>
      <c r="BG11" s="307"/>
      <c r="BH11" s="183" t="str">
        <f t="shared" si="15"/>
        <v>M001</v>
      </c>
      <c r="BI11" s="203" t="str">
        <f t="shared" si="16"/>
        <v>NG</v>
      </c>
      <c r="BJ11" s="231" t="s">
        <v>474</v>
      </c>
      <c r="BK11" s="307"/>
      <c r="BL11" s="183" t="str">
        <f t="shared" si="17"/>
        <v>M001</v>
      </c>
      <c r="BM11" s="203" t="str">
        <f t="shared" si="18"/>
        <v>NG</v>
      </c>
      <c r="BN11" s="231" t="s">
        <v>474</v>
      </c>
      <c r="BO11" s="307"/>
      <c r="BP11" s="183" t="str">
        <f t="shared" si="19"/>
        <v>M001</v>
      </c>
      <c r="BQ11" s="203" t="str">
        <f t="shared" si="20"/>
        <v>NG</v>
      </c>
      <c r="BR11" s="231" t="s">
        <v>474</v>
      </c>
      <c r="BS11" s="307"/>
      <c r="BT11" s="183" t="str">
        <f t="shared" si="21"/>
        <v>M001</v>
      </c>
      <c r="BU11" s="203" t="str">
        <f t="shared" si="22"/>
        <v>NG</v>
      </c>
      <c r="BV11" s="231" t="s">
        <v>474</v>
      </c>
      <c r="BW11" s="307"/>
      <c r="BX11" s="183" t="str">
        <f t="shared" si="23"/>
        <v>M001</v>
      </c>
      <c r="BY11" s="203" t="str">
        <f t="shared" si="24"/>
        <v>NG</v>
      </c>
      <c r="BZ11" s="231" t="s">
        <v>474</v>
      </c>
      <c r="CA11" s="307"/>
      <c r="CB11" s="183" t="str">
        <f t="shared" si="25"/>
        <v>M001</v>
      </c>
      <c r="CC11" s="203" t="str">
        <f t="shared" si="26"/>
        <v>NG</v>
      </c>
      <c r="CD11" s="231" t="s">
        <v>474</v>
      </c>
      <c r="CE11" s="307"/>
      <c r="CF11" s="183" t="str">
        <f t="shared" si="27"/>
        <v>M001</v>
      </c>
      <c r="CG11" s="203" t="str">
        <f t="shared" si="28"/>
        <v>NG</v>
      </c>
      <c r="CH11" s="231" t="s">
        <v>474</v>
      </c>
      <c r="CI11" s="307"/>
      <c r="CJ11" s="183" t="str">
        <f t="shared" si="29"/>
        <v>M001</v>
      </c>
      <c r="CK11" s="203" t="str">
        <f t="shared" si="30"/>
        <v>NG</v>
      </c>
      <c r="CL11" s="231" t="s">
        <v>474</v>
      </c>
      <c r="CM11" s="307"/>
      <c r="CN11" s="183" t="str">
        <f t="shared" si="31"/>
        <v>M001</v>
      </c>
      <c r="CO11" s="203" t="str">
        <f t="shared" si="32"/>
        <v>NG</v>
      </c>
      <c r="CP11" s="231" t="s">
        <v>474</v>
      </c>
      <c r="CQ11" s="307"/>
      <c r="CR11" s="183" t="str">
        <f t="shared" si="33"/>
        <v>M001</v>
      </c>
      <c r="CS11" s="203" t="str">
        <f t="shared" si="34"/>
        <v>NG</v>
      </c>
      <c r="CT11" s="231" t="s">
        <v>474</v>
      </c>
      <c r="CU11" s="307"/>
      <c r="CV11" s="183" t="str">
        <f t="shared" si="35"/>
        <v>M001</v>
      </c>
      <c r="CW11" s="203" t="str">
        <f t="shared" si="36"/>
        <v>NG</v>
      </c>
      <c r="CX11" s="231" t="s">
        <v>474</v>
      </c>
      <c r="CY11" s="307"/>
      <c r="CZ11" s="183" t="str">
        <f t="shared" si="37"/>
        <v>M001</v>
      </c>
      <c r="DA11" s="203" t="str">
        <f t="shared" si="38"/>
        <v>NG</v>
      </c>
      <c r="DB11" s="231" t="s">
        <v>474</v>
      </c>
      <c r="DC11" s="307"/>
      <c r="DD11" s="183" t="str">
        <f t="shared" si="39"/>
        <v>M001</v>
      </c>
      <c r="DE11" s="203" t="str">
        <f t="shared" si="40"/>
        <v>NG</v>
      </c>
      <c r="DF11" s="231" t="s">
        <v>474</v>
      </c>
      <c r="DG11" s="307"/>
      <c r="DH11" s="183" t="str">
        <f t="shared" si="41"/>
        <v>M001</v>
      </c>
      <c r="DI11" s="203" t="str">
        <f t="shared" si="42"/>
        <v>NG</v>
      </c>
      <c r="DJ11" s="231" t="s">
        <v>474</v>
      </c>
      <c r="DK11" s="307"/>
      <c r="DL11" s="183" t="str">
        <f t="shared" si="43"/>
        <v>M001</v>
      </c>
      <c r="DM11" s="203" t="str">
        <f t="shared" si="44"/>
        <v>NG</v>
      </c>
      <c r="DN11" s="231" t="s">
        <v>474</v>
      </c>
      <c r="DO11" s="307"/>
      <c r="DP11" s="183" t="str">
        <f t="shared" si="45"/>
        <v>M001</v>
      </c>
      <c r="DQ11" s="203" t="str">
        <f t="shared" si="46"/>
        <v>NG</v>
      </c>
      <c r="DR11" s="231" t="s">
        <v>474</v>
      </c>
      <c r="DS11" s="307"/>
      <c r="DT11" s="183" t="str">
        <f t="shared" si="47"/>
        <v>M001</v>
      </c>
      <c r="DU11" s="203" t="str">
        <f t="shared" si="48"/>
        <v>NG</v>
      </c>
      <c r="DV11" s="231" t="s">
        <v>474</v>
      </c>
      <c r="DW11" s="307"/>
      <c r="DX11" s="183" t="str">
        <f t="shared" si="49"/>
        <v>M001</v>
      </c>
      <c r="DY11" s="203" t="str">
        <f t="shared" si="50"/>
        <v>NG</v>
      </c>
      <c r="DZ11" s="231" t="s">
        <v>474</v>
      </c>
      <c r="EA11" s="307"/>
      <c r="EB11" s="183" t="str">
        <f t="shared" si="51"/>
        <v>M001</v>
      </c>
      <c r="EC11" s="203" t="str">
        <f t="shared" si="52"/>
        <v>NG</v>
      </c>
      <c r="ED11" s="231" t="s">
        <v>474</v>
      </c>
      <c r="EE11" s="307"/>
      <c r="EF11" s="183" t="str">
        <f t="shared" si="53"/>
        <v>M001</v>
      </c>
      <c r="EG11" s="203" t="str">
        <f t="shared" si="54"/>
        <v>NG</v>
      </c>
      <c r="EH11" s="231" t="s">
        <v>474</v>
      </c>
      <c r="EI11" s="307"/>
      <c r="EJ11" s="183" t="str">
        <f t="shared" si="55"/>
        <v>M001</v>
      </c>
      <c r="EK11" s="203" t="str">
        <f t="shared" si="56"/>
        <v>NG</v>
      </c>
      <c r="EL11" s="231" t="s">
        <v>474</v>
      </c>
      <c r="EM11" s="307"/>
      <c r="EN11" s="183" t="str">
        <f t="shared" si="57"/>
        <v>M001</v>
      </c>
      <c r="EO11" s="203" t="str">
        <f t="shared" si="58"/>
        <v>NG</v>
      </c>
      <c r="EP11" s="231" t="s">
        <v>474</v>
      </c>
      <c r="EQ11" s="307"/>
      <c r="ER11" s="183" t="str">
        <f t="shared" si="59"/>
        <v>M001</v>
      </c>
      <c r="ES11" s="203" t="str">
        <f t="shared" si="60"/>
        <v>NG</v>
      </c>
      <c r="ET11" s="231" t="s">
        <v>474</v>
      </c>
      <c r="EU11" s="307"/>
      <c r="EV11" s="183" t="str">
        <f t="shared" si="61"/>
        <v>M001</v>
      </c>
      <c r="EW11" s="203" t="str">
        <f t="shared" si="62"/>
        <v>NG</v>
      </c>
      <c r="EX11" s="231" t="s">
        <v>474</v>
      </c>
      <c r="EY11" s="307"/>
      <c r="EZ11" s="183" t="str">
        <f t="shared" si="63"/>
        <v>M001</v>
      </c>
      <c r="FA11" s="203" t="str">
        <f t="shared" si="64"/>
        <v>NG</v>
      </c>
      <c r="FB11" s="231" t="s">
        <v>474</v>
      </c>
      <c r="FC11" s="307"/>
      <c r="FD11" s="183" t="str">
        <f t="shared" si="65"/>
        <v>M001</v>
      </c>
      <c r="FE11" s="203" t="str">
        <f t="shared" si="66"/>
        <v>NG</v>
      </c>
      <c r="FF11" s="231" t="s">
        <v>474</v>
      </c>
      <c r="FG11" s="307"/>
      <c r="FH11" s="183" t="str">
        <f t="shared" si="67"/>
        <v>M001</v>
      </c>
      <c r="FI11" s="203" t="str">
        <f t="shared" si="68"/>
        <v>NG</v>
      </c>
      <c r="FJ11" s="231" t="s">
        <v>474</v>
      </c>
      <c r="FK11" s="307"/>
      <c r="FL11" s="183" t="str">
        <f t="shared" si="69"/>
        <v>M001</v>
      </c>
      <c r="FM11" s="203" t="str">
        <f t="shared" si="70"/>
        <v>NG</v>
      </c>
      <c r="FN11" s="231" t="s">
        <v>474</v>
      </c>
      <c r="FO11" s="307"/>
      <c r="FP11" s="183" t="str">
        <f t="shared" si="71"/>
        <v>M001</v>
      </c>
      <c r="FQ11" s="203" t="str">
        <f t="shared" si="72"/>
        <v>NG</v>
      </c>
      <c r="FR11" s="231" t="s">
        <v>474</v>
      </c>
      <c r="FS11" s="307"/>
      <c r="FT11" s="183" t="str">
        <f t="shared" si="73"/>
        <v>M001</v>
      </c>
      <c r="FU11" s="203" t="str">
        <f t="shared" si="74"/>
        <v>NG</v>
      </c>
      <c r="FV11" s="231" t="s">
        <v>474</v>
      </c>
      <c r="FW11" s="307"/>
      <c r="FX11" s="183" t="str">
        <f t="shared" si="75"/>
        <v>M001</v>
      </c>
      <c r="FY11" s="203" t="str">
        <f t="shared" si="76"/>
        <v>NG</v>
      </c>
      <c r="FZ11" s="231" t="s">
        <v>474</v>
      </c>
      <c r="GA11" s="307"/>
      <c r="GB11" s="183" t="str">
        <f t="shared" si="77"/>
        <v>M001</v>
      </c>
      <c r="GC11" s="203" t="str">
        <f t="shared" si="78"/>
        <v>NG</v>
      </c>
      <c r="GD11" s="231" t="s">
        <v>474</v>
      </c>
      <c r="GE11" s="307"/>
      <c r="GF11" s="183" t="str">
        <f t="shared" si="79"/>
        <v>M001</v>
      </c>
      <c r="GG11" s="203" t="str">
        <f t="shared" si="80"/>
        <v>NG</v>
      </c>
      <c r="GH11" s="231" t="s">
        <v>474</v>
      </c>
      <c r="GI11" s="307"/>
      <c r="GJ11" s="183" t="str">
        <f t="shared" si="81"/>
        <v>M001</v>
      </c>
      <c r="GK11" s="203" t="str">
        <f t="shared" si="82"/>
        <v>NG</v>
      </c>
      <c r="GL11" s="231" t="s">
        <v>474</v>
      </c>
      <c r="GM11" s="307"/>
      <c r="GN11" s="183" t="str">
        <f t="shared" si="83"/>
        <v>M001</v>
      </c>
      <c r="GO11" s="203" t="str">
        <f t="shared" si="84"/>
        <v>NG</v>
      </c>
      <c r="GP11" s="231" t="s">
        <v>474</v>
      </c>
      <c r="GQ11" s="307"/>
      <c r="GR11" s="183" t="str">
        <f t="shared" si="85"/>
        <v>M001</v>
      </c>
      <c r="GS11" s="203" t="str">
        <f t="shared" si="86"/>
        <v>NG</v>
      </c>
      <c r="GT11" s="202"/>
      <c r="GU11" s="202"/>
      <c r="GV11" s="173"/>
      <c r="GW11" s="173"/>
      <c r="GX11" s="173"/>
    </row>
    <row r="12" spans="1:206" ht="25.5">
      <c r="A12" s="200" t="s">
        <v>444</v>
      </c>
      <c r="B12" s="225">
        <v>4</v>
      </c>
      <c r="C12" s="229"/>
      <c r="D12" s="229"/>
      <c r="E12" s="222" t="s">
        <v>473</v>
      </c>
      <c r="F12" s="221"/>
      <c r="G12" s="221"/>
      <c r="H12" s="220"/>
      <c r="I12" s="209"/>
      <c r="J12" s="209" t="s">
        <v>444</v>
      </c>
      <c r="K12" s="209"/>
      <c r="L12" s="209"/>
      <c r="M12" s="291" t="s">
        <v>472</v>
      </c>
      <c r="N12" s="209"/>
      <c r="O12" s="315"/>
      <c r="P12" s="310">
        <v>2</v>
      </c>
      <c r="Q12" s="296">
        <v>2</v>
      </c>
      <c r="R12" s="309" t="s">
        <v>447</v>
      </c>
      <c r="S12" s="296"/>
      <c r="T12" s="296"/>
      <c r="U12" s="309" t="s">
        <v>450</v>
      </c>
      <c r="V12" s="315"/>
      <c r="W12" s="292" t="str">
        <f t="shared" si="0"/>
        <v>2</v>
      </c>
      <c r="X12" s="210" t="s">
        <v>471</v>
      </c>
      <c r="Y12" s="210">
        <v>2</v>
      </c>
      <c r="Z12" s="210">
        <v>2</v>
      </c>
      <c r="AA12" s="209">
        <v>9</v>
      </c>
      <c r="AB12" s="209" t="s">
        <v>450</v>
      </c>
      <c r="AC12" s="296"/>
      <c r="AD12" s="231" t="s">
        <v>48</v>
      </c>
      <c r="AE12" s="307"/>
      <c r="AF12" s="183" t="str">
        <f t="shared" si="1"/>
        <v>10</v>
      </c>
      <c r="AG12" s="203" t="str">
        <f t="shared" si="2"/>
        <v>NG</v>
      </c>
      <c r="AH12" s="231" t="s">
        <v>48</v>
      </c>
      <c r="AI12" s="307"/>
      <c r="AJ12" s="183" t="str">
        <f t="shared" si="3"/>
        <v>10</v>
      </c>
      <c r="AK12" s="203" t="str">
        <f t="shared" si="4"/>
        <v>NG</v>
      </c>
      <c r="AL12" s="231" t="s">
        <v>48</v>
      </c>
      <c r="AM12" s="307"/>
      <c r="AN12" s="183" t="str">
        <f t="shared" si="5"/>
        <v>10</v>
      </c>
      <c r="AO12" s="203" t="str">
        <f t="shared" si="6"/>
        <v>NG</v>
      </c>
      <c r="AP12" s="231" t="s">
        <v>48</v>
      </c>
      <c r="AQ12" s="307"/>
      <c r="AR12" s="183" t="str">
        <f t="shared" si="7"/>
        <v>10</v>
      </c>
      <c r="AS12" s="203" t="str">
        <f t="shared" si="8"/>
        <v>NG</v>
      </c>
      <c r="AT12" s="231" t="s">
        <v>48</v>
      </c>
      <c r="AU12" s="307"/>
      <c r="AV12" s="183" t="str">
        <f t="shared" si="9"/>
        <v>10</v>
      </c>
      <c r="AW12" s="203" t="str">
        <f t="shared" si="10"/>
        <v>NG</v>
      </c>
      <c r="AX12" s="231" t="s">
        <v>48</v>
      </c>
      <c r="AY12" s="307"/>
      <c r="AZ12" s="183" t="str">
        <f t="shared" si="11"/>
        <v>10</v>
      </c>
      <c r="BA12" s="203" t="str">
        <f t="shared" si="12"/>
        <v>NG</v>
      </c>
      <c r="BB12" s="231" t="s">
        <v>48</v>
      </c>
      <c r="BC12" s="307"/>
      <c r="BD12" s="183" t="str">
        <f t="shared" si="13"/>
        <v>10</v>
      </c>
      <c r="BE12" s="203" t="str">
        <f t="shared" si="14"/>
        <v>NG</v>
      </c>
      <c r="BF12" s="231" t="s">
        <v>48</v>
      </c>
      <c r="BG12" s="307"/>
      <c r="BH12" s="183" t="str">
        <f t="shared" si="15"/>
        <v>10</v>
      </c>
      <c r="BI12" s="203" t="str">
        <f t="shared" si="16"/>
        <v>NG</v>
      </c>
      <c r="BJ12" s="231" t="s">
        <v>48</v>
      </c>
      <c r="BK12" s="307"/>
      <c r="BL12" s="183" t="str">
        <f t="shared" si="17"/>
        <v>10</v>
      </c>
      <c r="BM12" s="203" t="str">
        <f t="shared" si="18"/>
        <v>NG</v>
      </c>
      <c r="BN12" s="231" t="s">
        <v>48</v>
      </c>
      <c r="BO12" s="307"/>
      <c r="BP12" s="183" t="str">
        <f t="shared" si="19"/>
        <v>10</v>
      </c>
      <c r="BQ12" s="203" t="str">
        <f t="shared" si="20"/>
        <v>NG</v>
      </c>
      <c r="BR12" s="231" t="s">
        <v>48</v>
      </c>
      <c r="BS12" s="307"/>
      <c r="BT12" s="183" t="str">
        <f t="shared" si="21"/>
        <v>10</v>
      </c>
      <c r="BU12" s="203" t="str">
        <f t="shared" si="22"/>
        <v>NG</v>
      </c>
      <c r="BV12" s="231" t="s">
        <v>48</v>
      </c>
      <c r="BW12" s="307"/>
      <c r="BX12" s="183" t="str">
        <f t="shared" si="23"/>
        <v>10</v>
      </c>
      <c r="BY12" s="203" t="str">
        <f t="shared" si="24"/>
        <v>NG</v>
      </c>
      <c r="BZ12" s="231" t="s">
        <v>48</v>
      </c>
      <c r="CA12" s="307"/>
      <c r="CB12" s="183" t="str">
        <f t="shared" si="25"/>
        <v>10</v>
      </c>
      <c r="CC12" s="203" t="str">
        <f t="shared" si="26"/>
        <v>NG</v>
      </c>
      <c r="CD12" s="231" t="s">
        <v>48</v>
      </c>
      <c r="CE12" s="307"/>
      <c r="CF12" s="183" t="str">
        <f t="shared" si="27"/>
        <v>10</v>
      </c>
      <c r="CG12" s="203" t="str">
        <f t="shared" si="28"/>
        <v>NG</v>
      </c>
      <c r="CH12" s="231" t="s">
        <v>48</v>
      </c>
      <c r="CI12" s="307"/>
      <c r="CJ12" s="183" t="str">
        <f t="shared" si="29"/>
        <v>10</v>
      </c>
      <c r="CK12" s="203" t="str">
        <f t="shared" si="30"/>
        <v>NG</v>
      </c>
      <c r="CL12" s="231" t="s">
        <v>48</v>
      </c>
      <c r="CM12" s="307"/>
      <c r="CN12" s="183" t="str">
        <f t="shared" si="31"/>
        <v>10</v>
      </c>
      <c r="CO12" s="203" t="str">
        <f t="shared" si="32"/>
        <v>NG</v>
      </c>
      <c r="CP12" s="231" t="s">
        <v>48</v>
      </c>
      <c r="CQ12" s="307"/>
      <c r="CR12" s="183" t="str">
        <f t="shared" si="33"/>
        <v>10</v>
      </c>
      <c r="CS12" s="203" t="str">
        <f t="shared" si="34"/>
        <v>NG</v>
      </c>
      <c r="CT12" s="231" t="s">
        <v>48</v>
      </c>
      <c r="CU12" s="307"/>
      <c r="CV12" s="183" t="str">
        <f t="shared" si="35"/>
        <v>10</v>
      </c>
      <c r="CW12" s="203" t="str">
        <f t="shared" si="36"/>
        <v>NG</v>
      </c>
      <c r="CX12" s="231" t="s">
        <v>48</v>
      </c>
      <c r="CY12" s="307"/>
      <c r="CZ12" s="183" t="str">
        <f t="shared" si="37"/>
        <v>10</v>
      </c>
      <c r="DA12" s="203" t="str">
        <f t="shared" si="38"/>
        <v>NG</v>
      </c>
      <c r="DB12" s="231" t="s">
        <v>48</v>
      </c>
      <c r="DC12" s="307"/>
      <c r="DD12" s="183" t="str">
        <f t="shared" si="39"/>
        <v>10</v>
      </c>
      <c r="DE12" s="203" t="str">
        <f t="shared" si="40"/>
        <v>NG</v>
      </c>
      <c r="DF12" s="231" t="s">
        <v>48</v>
      </c>
      <c r="DG12" s="307"/>
      <c r="DH12" s="183" t="str">
        <f t="shared" si="41"/>
        <v>10</v>
      </c>
      <c r="DI12" s="203" t="str">
        <f t="shared" si="42"/>
        <v>NG</v>
      </c>
      <c r="DJ12" s="231" t="s">
        <v>48</v>
      </c>
      <c r="DK12" s="307"/>
      <c r="DL12" s="183" t="str">
        <f t="shared" si="43"/>
        <v>10</v>
      </c>
      <c r="DM12" s="203" t="str">
        <f t="shared" si="44"/>
        <v>NG</v>
      </c>
      <c r="DN12" s="231" t="s">
        <v>48</v>
      </c>
      <c r="DO12" s="307"/>
      <c r="DP12" s="183" t="str">
        <f t="shared" si="45"/>
        <v>10</v>
      </c>
      <c r="DQ12" s="203" t="str">
        <f t="shared" si="46"/>
        <v>NG</v>
      </c>
      <c r="DR12" s="231" t="s">
        <v>48</v>
      </c>
      <c r="DS12" s="307"/>
      <c r="DT12" s="183" t="str">
        <f t="shared" si="47"/>
        <v>10</v>
      </c>
      <c r="DU12" s="203" t="str">
        <f t="shared" si="48"/>
        <v>NG</v>
      </c>
      <c r="DV12" s="231" t="s">
        <v>48</v>
      </c>
      <c r="DW12" s="307"/>
      <c r="DX12" s="183" t="str">
        <f t="shared" si="49"/>
        <v>10</v>
      </c>
      <c r="DY12" s="203" t="str">
        <f t="shared" si="50"/>
        <v>NG</v>
      </c>
      <c r="DZ12" s="231" t="s">
        <v>48</v>
      </c>
      <c r="EA12" s="307"/>
      <c r="EB12" s="183" t="str">
        <f t="shared" si="51"/>
        <v>10</v>
      </c>
      <c r="EC12" s="203" t="str">
        <f t="shared" si="52"/>
        <v>NG</v>
      </c>
      <c r="ED12" s="231" t="s">
        <v>48</v>
      </c>
      <c r="EE12" s="307"/>
      <c r="EF12" s="183" t="str">
        <f t="shared" si="53"/>
        <v>10</v>
      </c>
      <c r="EG12" s="203" t="str">
        <f t="shared" si="54"/>
        <v>NG</v>
      </c>
      <c r="EH12" s="231" t="s">
        <v>48</v>
      </c>
      <c r="EI12" s="307"/>
      <c r="EJ12" s="183" t="str">
        <f t="shared" si="55"/>
        <v>10</v>
      </c>
      <c r="EK12" s="203" t="str">
        <f t="shared" si="56"/>
        <v>NG</v>
      </c>
      <c r="EL12" s="231" t="s">
        <v>48</v>
      </c>
      <c r="EM12" s="307"/>
      <c r="EN12" s="183" t="str">
        <f t="shared" si="57"/>
        <v>10</v>
      </c>
      <c r="EO12" s="203" t="str">
        <f t="shared" si="58"/>
        <v>NG</v>
      </c>
      <c r="EP12" s="231" t="s">
        <v>48</v>
      </c>
      <c r="EQ12" s="307"/>
      <c r="ER12" s="183" t="str">
        <f t="shared" si="59"/>
        <v>10</v>
      </c>
      <c r="ES12" s="203" t="str">
        <f t="shared" si="60"/>
        <v>NG</v>
      </c>
      <c r="ET12" s="231" t="s">
        <v>48</v>
      </c>
      <c r="EU12" s="307"/>
      <c r="EV12" s="183" t="str">
        <f t="shared" si="61"/>
        <v>10</v>
      </c>
      <c r="EW12" s="203" t="str">
        <f t="shared" si="62"/>
        <v>NG</v>
      </c>
      <c r="EX12" s="231" t="s">
        <v>48</v>
      </c>
      <c r="EY12" s="307"/>
      <c r="EZ12" s="183" t="str">
        <f t="shared" si="63"/>
        <v>10</v>
      </c>
      <c r="FA12" s="203" t="str">
        <f t="shared" si="64"/>
        <v>NG</v>
      </c>
      <c r="FB12" s="231" t="s">
        <v>48</v>
      </c>
      <c r="FC12" s="307"/>
      <c r="FD12" s="183" t="str">
        <f t="shared" si="65"/>
        <v>10</v>
      </c>
      <c r="FE12" s="203" t="str">
        <f t="shared" si="66"/>
        <v>NG</v>
      </c>
      <c r="FF12" s="231" t="s">
        <v>48</v>
      </c>
      <c r="FG12" s="307"/>
      <c r="FH12" s="183" t="str">
        <f t="shared" si="67"/>
        <v>10</v>
      </c>
      <c r="FI12" s="203" t="str">
        <f t="shared" si="68"/>
        <v>NG</v>
      </c>
      <c r="FJ12" s="231" t="s">
        <v>48</v>
      </c>
      <c r="FK12" s="307"/>
      <c r="FL12" s="183" t="str">
        <f t="shared" si="69"/>
        <v>10</v>
      </c>
      <c r="FM12" s="203" t="str">
        <f t="shared" si="70"/>
        <v>NG</v>
      </c>
      <c r="FN12" s="231" t="s">
        <v>48</v>
      </c>
      <c r="FO12" s="307"/>
      <c r="FP12" s="183" t="str">
        <f t="shared" si="71"/>
        <v>10</v>
      </c>
      <c r="FQ12" s="203" t="str">
        <f t="shared" si="72"/>
        <v>NG</v>
      </c>
      <c r="FR12" s="231" t="s">
        <v>48</v>
      </c>
      <c r="FS12" s="307"/>
      <c r="FT12" s="183" t="str">
        <f t="shared" si="73"/>
        <v>10</v>
      </c>
      <c r="FU12" s="203" t="str">
        <f t="shared" si="74"/>
        <v>NG</v>
      </c>
      <c r="FV12" s="231" t="s">
        <v>48</v>
      </c>
      <c r="FW12" s="307"/>
      <c r="FX12" s="183" t="str">
        <f t="shared" si="75"/>
        <v>10</v>
      </c>
      <c r="FY12" s="203" t="str">
        <f t="shared" si="76"/>
        <v>NG</v>
      </c>
      <c r="FZ12" s="231" t="s">
        <v>48</v>
      </c>
      <c r="GA12" s="307"/>
      <c r="GB12" s="183" t="str">
        <f t="shared" si="77"/>
        <v>10</v>
      </c>
      <c r="GC12" s="203" t="str">
        <f t="shared" si="78"/>
        <v>NG</v>
      </c>
      <c r="GD12" s="231" t="s">
        <v>48</v>
      </c>
      <c r="GE12" s="307"/>
      <c r="GF12" s="183" t="str">
        <f t="shared" si="79"/>
        <v>10</v>
      </c>
      <c r="GG12" s="203" t="str">
        <f t="shared" si="80"/>
        <v>NG</v>
      </c>
      <c r="GH12" s="231" t="s">
        <v>48</v>
      </c>
      <c r="GI12" s="307"/>
      <c r="GJ12" s="183" t="str">
        <f t="shared" si="81"/>
        <v>10</v>
      </c>
      <c r="GK12" s="203" t="str">
        <f t="shared" si="82"/>
        <v>NG</v>
      </c>
      <c r="GL12" s="231" t="s">
        <v>48</v>
      </c>
      <c r="GM12" s="307"/>
      <c r="GN12" s="183" t="str">
        <f t="shared" si="83"/>
        <v>10</v>
      </c>
      <c r="GO12" s="203" t="str">
        <f t="shared" si="84"/>
        <v>NG</v>
      </c>
      <c r="GP12" s="231" t="s">
        <v>48</v>
      </c>
      <c r="GQ12" s="307"/>
      <c r="GR12" s="183" t="str">
        <f t="shared" si="85"/>
        <v>10</v>
      </c>
      <c r="GS12" s="203" t="str">
        <f t="shared" si="86"/>
        <v>NG</v>
      </c>
      <c r="GT12" s="202"/>
      <c r="GU12" s="202"/>
      <c r="GV12" s="173"/>
      <c r="GW12" s="173"/>
      <c r="GX12" s="173"/>
    </row>
    <row r="13" spans="1:206">
      <c r="A13" s="200" t="s">
        <v>444</v>
      </c>
      <c r="B13" s="225">
        <v>5</v>
      </c>
      <c r="C13" s="229"/>
      <c r="D13" s="229"/>
      <c r="E13" s="222" t="s">
        <v>35</v>
      </c>
      <c r="F13" s="221"/>
      <c r="G13" s="221"/>
      <c r="H13" s="220"/>
      <c r="I13" s="309"/>
      <c r="J13" s="309" t="s">
        <v>444</v>
      </c>
      <c r="K13" s="209"/>
      <c r="L13" s="209"/>
      <c r="M13" s="296" t="s">
        <v>470</v>
      </c>
      <c r="N13" s="209"/>
      <c r="O13" s="315"/>
      <c r="P13" s="310">
        <v>3</v>
      </c>
      <c r="Q13" s="296">
        <v>14</v>
      </c>
      <c r="R13" s="309" t="s">
        <v>447</v>
      </c>
      <c r="S13" s="296"/>
      <c r="T13" s="296"/>
      <c r="U13" s="309" t="s">
        <v>450</v>
      </c>
      <c r="V13" s="315"/>
      <c r="W13" s="292" t="str">
        <f t="shared" si="0"/>
        <v>2</v>
      </c>
      <c r="X13" s="210" t="s">
        <v>469</v>
      </c>
      <c r="Y13" s="210">
        <v>14</v>
      </c>
      <c r="Z13" s="210">
        <v>14</v>
      </c>
      <c r="AA13" s="209">
        <v>9</v>
      </c>
      <c r="AB13" s="209" t="s">
        <v>450</v>
      </c>
      <c r="AC13" s="296"/>
      <c r="AD13" s="231" t="s">
        <v>725</v>
      </c>
      <c r="AE13" s="323"/>
      <c r="AF13" s="322" t="str">
        <f t="shared" si="1"/>
        <v>20170920130000</v>
      </c>
      <c r="AG13" s="203" t="str">
        <f t="shared" si="2"/>
        <v>NG</v>
      </c>
      <c r="AH13" s="231" t="s">
        <v>725</v>
      </c>
      <c r="AI13" s="323"/>
      <c r="AJ13" s="322" t="str">
        <f t="shared" si="3"/>
        <v>20170920130000</v>
      </c>
      <c r="AK13" s="203" t="str">
        <f t="shared" si="4"/>
        <v>NG</v>
      </c>
      <c r="AL13" s="231" t="s">
        <v>725</v>
      </c>
      <c r="AM13" s="323"/>
      <c r="AN13" s="322" t="str">
        <f t="shared" si="5"/>
        <v>20170920130000</v>
      </c>
      <c r="AO13" s="203" t="str">
        <f t="shared" si="6"/>
        <v>NG</v>
      </c>
      <c r="AP13" s="231" t="s">
        <v>725</v>
      </c>
      <c r="AQ13" s="323"/>
      <c r="AR13" s="322" t="str">
        <f t="shared" si="7"/>
        <v>20170920130000</v>
      </c>
      <c r="AS13" s="203" t="str">
        <f t="shared" si="8"/>
        <v>NG</v>
      </c>
      <c r="AT13" s="231" t="s">
        <v>725</v>
      </c>
      <c r="AU13" s="323"/>
      <c r="AV13" s="322" t="str">
        <f t="shared" si="9"/>
        <v>20170920130000</v>
      </c>
      <c r="AW13" s="203" t="str">
        <f t="shared" si="10"/>
        <v>NG</v>
      </c>
      <c r="AX13" s="231" t="s">
        <v>725</v>
      </c>
      <c r="AY13" s="323"/>
      <c r="AZ13" s="322" t="str">
        <f t="shared" si="11"/>
        <v>20170920130000</v>
      </c>
      <c r="BA13" s="203" t="str">
        <f t="shared" si="12"/>
        <v>NG</v>
      </c>
      <c r="BB13" s="231" t="s">
        <v>725</v>
      </c>
      <c r="BC13" s="323"/>
      <c r="BD13" s="322" t="str">
        <f t="shared" si="13"/>
        <v>20170920130000</v>
      </c>
      <c r="BE13" s="203" t="str">
        <f t="shared" si="14"/>
        <v>NG</v>
      </c>
      <c r="BF13" s="231" t="s">
        <v>725</v>
      </c>
      <c r="BG13" s="323"/>
      <c r="BH13" s="322" t="str">
        <f t="shared" si="15"/>
        <v>20170920130000</v>
      </c>
      <c r="BI13" s="203" t="str">
        <f t="shared" si="16"/>
        <v>NG</v>
      </c>
      <c r="BJ13" s="231" t="s">
        <v>725</v>
      </c>
      <c r="BK13" s="323"/>
      <c r="BL13" s="322" t="str">
        <f t="shared" si="17"/>
        <v>20170920130000</v>
      </c>
      <c r="BM13" s="203" t="str">
        <f t="shared" si="18"/>
        <v>NG</v>
      </c>
      <c r="BN13" s="231" t="s">
        <v>725</v>
      </c>
      <c r="BO13" s="323"/>
      <c r="BP13" s="322" t="str">
        <f t="shared" si="19"/>
        <v>20170920130000</v>
      </c>
      <c r="BQ13" s="203" t="str">
        <f t="shared" si="20"/>
        <v>NG</v>
      </c>
      <c r="BR13" s="231" t="s">
        <v>725</v>
      </c>
      <c r="BS13" s="323"/>
      <c r="BT13" s="322" t="str">
        <f t="shared" si="21"/>
        <v>20170920130000</v>
      </c>
      <c r="BU13" s="203" t="str">
        <f t="shared" si="22"/>
        <v>NG</v>
      </c>
      <c r="BV13" s="231" t="s">
        <v>725</v>
      </c>
      <c r="BW13" s="323"/>
      <c r="BX13" s="322" t="str">
        <f t="shared" si="23"/>
        <v>20170920130000</v>
      </c>
      <c r="BY13" s="203" t="str">
        <f t="shared" si="24"/>
        <v>NG</v>
      </c>
      <c r="BZ13" s="231" t="s">
        <v>725</v>
      </c>
      <c r="CA13" s="323"/>
      <c r="CB13" s="322" t="str">
        <f t="shared" si="25"/>
        <v>20170920130000</v>
      </c>
      <c r="CC13" s="203" t="str">
        <f t="shared" si="26"/>
        <v>NG</v>
      </c>
      <c r="CD13" s="231" t="s">
        <v>725</v>
      </c>
      <c r="CE13" s="323"/>
      <c r="CF13" s="322" t="str">
        <f t="shared" si="27"/>
        <v>20170920130000</v>
      </c>
      <c r="CG13" s="203" t="str">
        <f t="shared" si="28"/>
        <v>NG</v>
      </c>
      <c r="CH13" s="231" t="s">
        <v>725</v>
      </c>
      <c r="CI13" s="323"/>
      <c r="CJ13" s="322" t="str">
        <f t="shared" si="29"/>
        <v>20170920130000</v>
      </c>
      <c r="CK13" s="203" t="str">
        <f t="shared" si="30"/>
        <v>NG</v>
      </c>
      <c r="CL13" s="231" t="s">
        <v>725</v>
      </c>
      <c r="CM13" s="323"/>
      <c r="CN13" s="322" t="str">
        <f t="shared" si="31"/>
        <v>20170920130000</v>
      </c>
      <c r="CO13" s="203" t="str">
        <f t="shared" si="32"/>
        <v>NG</v>
      </c>
      <c r="CP13" s="231" t="s">
        <v>725</v>
      </c>
      <c r="CQ13" s="323"/>
      <c r="CR13" s="322" t="str">
        <f t="shared" si="33"/>
        <v>20170920130000</v>
      </c>
      <c r="CS13" s="203" t="str">
        <f t="shared" si="34"/>
        <v>NG</v>
      </c>
      <c r="CT13" s="231" t="s">
        <v>725</v>
      </c>
      <c r="CU13" s="323"/>
      <c r="CV13" s="322" t="str">
        <f t="shared" si="35"/>
        <v>20170920130000</v>
      </c>
      <c r="CW13" s="203" t="str">
        <f t="shared" si="36"/>
        <v>NG</v>
      </c>
      <c r="CX13" s="231" t="s">
        <v>725</v>
      </c>
      <c r="CY13" s="323"/>
      <c r="CZ13" s="322" t="str">
        <f t="shared" si="37"/>
        <v>20170920130000</v>
      </c>
      <c r="DA13" s="203" t="str">
        <f t="shared" si="38"/>
        <v>NG</v>
      </c>
      <c r="DB13" s="231" t="s">
        <v>725</v>
      </c>
      <c r="DC13" s="323"/>
      <c r="DD13" s="322" t="str">
        <f t="shared" si="39"/>
        <v>20170920130000</v>
      </c>
      <c r="DE13" s="203" t="str">
        <f t="shared" si="40"/>
        <v>NG</v>
      </c>
      <c r="DF13" s="231" t="s">
        <v>725</v>
      </c>
      <c r="DG13" s="323"/>
      <c r="DH13" s="322" t="str">
        <f t="shared" si="41"/>
        <v>20170920130000</v>
      </c>
      <c r="DI13" s="203" t="str">
        <f t="shared" si="42"/>
        <v>NG</v>
      </c>
      <c r="DJ13" s="231" t="s">
        <v>725</v>
      </c>
      <c r="DK13" s="323"/>
      <c r="DL13" s="322" t="str">
        <f t="shared" si="43"/>
        <v>20170920130000</v>
      </c>
      <c r="DM13" s="203" t="str">
        <f t="shared" si="44"/>
        <v>NG</v>
      </c>
      <c r="DN13" s="231" t="s">
        <v>725</v>
      </c>
      <c r="DO13" s="323"/>
      <c r="DP13" s="322" t="str">
        <f t="shared" si="45"/>
        <v>20170920130000</v>
      </c>
      <c r="DQ13" s="203" t="str">
        <f t="shared" si="46"/>
        <v>NG</v>
      </c>
      <c r="DR13" s="231" t="s">
        <v>725</v>
      </c>
      <c r="DS13" s="323"/>
      <c r="DT13" s="322" t="str">
        <f t="shared" si="47"/>
        <v>20170920130000</v>
      </c>
      <c r="DU13" s="203" t="str">
        <f t="shared" si="48"/>
        <v>NG</v>
      </c>
      <c r="DV13" s="231" t="s">
        <v>725</v>
      </c>
      <c r="DW13" s="323"/>
      <c r="DX13" s="322" t="str">
        <f t="shared" si="49"/>
        <v>20170920130000</v>
      </c>
      <c r="DY13" s="203" t="str">
        <f t="shared" si="50"/>
        <v>NG</v>
      </c>
      <c r="DZ13" s="231" t="s">
        <v>725</v>
      </c>
      <c r="EA13" s="323"/>
      <c r="EB13" s="322" t="str">
        <f t="shared" si="51"/>
        <v>20170920130000</v>
      </c>
      <c r="EC13" s="203" t="str">
        <f t="shared" si="52"/>
        <v>NG</v>
      </c>
      <c r="ED13" s="231" t="s">
        <v>725</v>
      </c>
      <c r="EE13" s="323"/>
      <c r="EF13" s="322" t="str">
        <f t="shared" si="53"/>
        <v>20170920130000</v>
      </c>
      <c r="EG13" s="203" t="str">
        <f t="shared" si="54"/>
        <v>NG</v>
      </c>
      <c r="EH13" s="231" t="s">
        <v>725</v>
      </c>
      <c r="EI13" s="323"/>
      <c r="EJ13" s="322" t="str">
        <f t="shared" si="55"/>
        <v>20170920130000</v>
      </c>
      <c r="EK13" s="203" t="str">
        <f t="shared" si="56"/>
        <v>NG</v>
      </c>
      <c r="EL13" s="231" t="s">
        <v>725</v>
      </c>
      <c r="EM13" s="323"/>
      <c r="EN13" s="322" t="str">
        <f t="shared" si="57"/>
        <v>20170920130000</v>
      </c>
      <c r="EO13" s="203" t="str">
        <f t="shared" si="58"/>
        <v>NG</v>
      </c>
      <c r="EP13" s="231" t="s">
        <v>725</v>
      </c>
      <c r="EQ13" s="323"/>
      <c r="ER13" s="322" t="str">
        <f t="shared" si="59"/>
        <v>20170920130000</v>
      </c>
      <c r="ES13" s="203" t="str">
        <f t="shared" si="60"/>
        <v>NG</v>
      </c>
      <c r="ET13" s="231" t="s">
        <v>725</v>
      </c>
      <c r="EU13" s="323"/>
      <c r="EV13" s="322" t="str">
        <f t="shared" si="61"/>
        <v>20170920130000</v>
      </c>
      <c r="EW13" s="203" t="str">
        <f t="shared" si="62"/>
        <v>NG</v>
      </c>
      <c r="EX13" s="231" t="s">
        <v>725</v>
      </c>
      <c r="EY13" s="323"/>
      <c r="EZ13" s="322" t="str">
        <f t="shared" si="63"/>
        <v>20170920130000</v>
      </c>
      <c r="FA13" s="203" t="str">
        <f t="shared" si="64"/>
        <v>NG</v>
      </c>
      <c r="FB13" s="231" t="s">
        <v>725</v>
      </c>
      <c r="FC13" s="323"/>
      <c r="FD13" s="322" t="str">
        <f t="shared" si="65"/>
        <v>20170920130000</v>
      </c>
      <c r="FE13" s="203" t="str">
        <f t="shared" si="66"/>
        <v>NG</v>
      </c>
      <c r="FF13" s="231" t="s">
        <v>725</v>
      </c>
      <c r="FG13" s="323"/>
      <c r="FH13" s="322" t="str">
        <f t="shared" si="67"/>
        <v>20170920130000</v>
      </c>
      <c r="FI13" s="203" t="str">
        <f t="shared" si="68"/>
        <v>NG</v>
      </c>
      <c r="FJ13" s="231" t="s">
        <v>725</v>
      </c>
      <c r="FK13" s="323"/>
      <c r="FL13" s="322" t="str">
        <f t="shared" si="69"/>
        <v>20170920130000</v>
      </c>
      <c r="FM13" s="203" t="str">
        <f t="shared" si="70"/>
        <v>NG</v>
      </c>
      <c r="FN13" s="231" t="s">
        <v>725</v>
      </c>
      <c r="FO13" s="323"/>
      <c r="FP13" s="322" t="str">
        <f t="shared" si="71"/>
        <v>20170920130000</v>
      </c>
      <c r="FQ13" s="203" t="str">
        <f t="shared" si="72"/>
        <v>NG</v>
      </c>
      <c r="FR13" s="231" t="s">
        <v>725</v>
      </c>
      <c r="FS13" s="323"/>
      <c r="FT13" s="322" t="str">
        <f t="shared" si="73"/>
        <v>20170920130000</v>
      </c>
      <c r="FU13" s="203" t="str">
        <f t="shared" si="74"/>
        <v>NG</v>
      </c>
      <c r="FV13" s="231" t="s">
        <v>725</v>
      </c>
      <c r="FW13" s="323"/>
      <c r="FX13" s="322" t="str">
        <f t="shared" si="75"/>
        <v>20170920130000</v>
      </c>
      <c r="FY13" s="203" t="str">
        <f t="shared" si="76"/>
        <v>NG</v>
      </c>
      <c r="FZ13" s="231" t="s">
        <v>725</v>
      </c>
      <c r="GA13" s="323"/>
      <c r="GB13" s="322" t="str">
        <f t="shared" si="77"/>
        <v>20170920130000</v>
      </c>
      <c r="GC13" s="203" t="str">
        <f t="shared" si="78"/>
        <v>NG</v>
      </c>
      <c r="GD13" s="231" t="s">
        <v>725</v>
      </c>
      <c r="GE13" s="323"/>
      <c r="GF13" s="322" t="str">
        <f t="shared" si="79"/>
        <v>20170920130000</v>
      </c>
      <c r="GG13" s="203" t="str">
        <f t="shared" si="80"/>
        <v>NG</v>
      </c>
      <c r="GH13" s="231" t="s">
        <v>725</v>
      </c>
      <c r="GI13" s="323"/>
      <c r="GJ13" s="322" t="str">
        <f t="shared" si="81"/>
        <v>20170920130000</v>
      </c>
      <c r="GK13" s="203" t="str">
        <f t="shared" si="82"/>
        <v>NG</v>
      </c>
      <c r="GL13" s="231" t="s">
        <v>725</v>
      </c>
      <c r="GM13" s="323"/>
      <c r="GN13" s="322" t="str">
        <f t="shared" si="83"/>
        <v>20170920130000</v>
      </c>
      <c r="GO13" s="203" t="str">
        <f t="shared" si="84"/>
        <v>NG</v>
      </c>
      <c r="GP13" s="231" t="s">
        <v>724</v>
      </c>
      <c r="GQ13" s="323"/>
      <c r="GR13" s="322" t="str">
        <f t="shared" si="85"/>
        <v>20170920130000</v>
      </c>
      <c r="GS13" s="203" t="str">
        <f t="shared" si="86"/>
        <v>NG</v>
      </c>
      <c r="GT13" s="202"/>
      <c r="GU13" s="202"/>
      <c r="GV13" s="173"/>
      <c r="GW13" s="173"/>
      <c r="GX13" s="173"/>
    </row>
    <row r="14" spans="1:206">
      <c r="A14" s="200" t="s">
        <v>444</v>
      </c>
      <c r="B14" s="225">
        <v>6</v>
      </c>
      <c r="C14" s="229"/>
      <c r="D14" s="229"/>
      <c r="E14" s="234" t="s">
        <v>36</v>
      </c>
      <c r="F14" s="221"/>
      <c r="G14" s="221"/>
      <c r="H14" s="220"/>
      <c r="I14" s="309"/>
      <c r="J14" s="309" t="s">
        <v>444</v>
      </c>
      <c r="K14" s="209"/>
      <c r="L14" s="209"/>
      <c r="M14" s="296"/>
      <c r="N14" s="209"/>
      <c r="O14" s="315"/>
      <c r="P14" s="310"/>
      <c r="Q14" s="296"/>
      <c r="R14" s="309"/>
      <c r="S14" s="296"/>
      <c r="T14" s="296"/>
      <c r="U14" s="309"/>
      <c r="V14" s="315"/>
      <c r="W14" s="292" t="str">
        <f t="shared" si="0"/>
        <v>2</v>
      </c>
      <c r="X14" s="210" t="s">
        <v>468</v>
      </c>
      <c r="Y14" s="210"/>
      <c r="Z14" s="210"/>
      <c r="AA14" s="209"/>
      <c r="AB14" s="209" t="s">
        <v>450</v>
      </c>
      <c r="AC14" s="296"/>
      <c r="AD14" s="206"/>
      <c r="AE14" s="321"/>
      <c r="AF14" s="183"/>
      <c r="AG14" s="203" t="str">
        <f t="shared" si="2"/>
        <v>OK</v>
      </c>
      <c r="AH14" s="206"/>
      <c r="AI14" s="321"/>
      <c r="AJ14" s="183"/>
      <c r="AK14" s="203" t="str">
        <f t="shared" si="4"/>
        <v>OK</v>
      </c>
      <c r="AL14" s="206"/>
      <c r="AM14" s="321"/>
      <c r="AN14" s="183"/>
      <c r="AO14" s="203" t="str">
        <f t="shared" si="6"/>
        <v>OK</v>
      </c>
      <c r="AP14" s="206"/>
      <c r="AQ14" s="321"/>
      <c r="AR14" s="183"/>
      <c r="AS14" s="203" t="str">
        <f t="shared" si="8"/>
        <v>OK</v>
      </c>
      <c r="AT14" s="206"/>
      <c r="AU14" s="321"/>
      <c r="AV14" s="183"/>
      <c r="AW14" s="203" t="str">
        <f t="shared" si="10"/>
        <v>OK</v>
      </c>
      <c r="AX14" s="206"/>
      <c r="AY14" s="321"/>
      <c r="AZ14" s="183"/>
      <c r="BA14" s="203" t="str">
        <f t="shared" si="12"/>
        <v>OK</v>
      </c>
      <c r="BB14" s="206"/>
      <c r="BC14" s="321"/>
      <c r="BD14" s="183"/>
      <c r="BE14" s="203" t="str">
        <f t="shared" si="14"/>
        <v>OK</v>
      </c>
      <c r="BF14" s="206"/>
      <c r="BG14" s="321"/>
      <c r="BH14" s="183"/>
      <c r="BI14" s="203" t="str">
        <f t="shared" si="16"/>
        <v>OK</v>
      </c>
      <c r="BJ14" s="206"/>
      <c r="BK14" s="321"/>
      <c r="BL14" s="183"/>
      <c r="BM14" s="203" t="str">
        <f t="shared" si="18"/>
        <v>OK</v>
      </c>
      <c r="BN14" s="206"/>
      <c r="BO14" s="321"/>
      <c r="BP14" s="183"/>
      <c r="BQ14" s="203" t="str">
        <f t="shared" si="20"/>
        <v>OK</v>
      </c>
      <c r="BR14" s="206"/>
      <c r="BS14" s="321"/>
      <c r="BT14" s="183"/>
      <c r="BU14" s="203" t="str">
        <f t="shared" si="22"/>
        <v>OK</v>
      </c>
      <c r="BV14" s="206"/>
      <c r="BW14" s="321"/>
      <c r="BX14" s="183"/>
      <c r="BY14" s="203" t="str">
        <f t="shared" si="24"/>
        <v>OK</v>
      </c>
      <c r="BZ14" s="206"/>
      <c r="CA14" s="321"/>
      <c r="CB14" s="183"/>
      <c r="CC14" s="203" t="str">
        <f t="shared" si="26"/>
        <v>OK</v>
      </c>
      <c r="CD14" s="206"/>
      <c r="CE14" s="321"/>
      <c r="CF14" s="183"/>
      <c r="CG14" s="203" t="str">
        <f t="shared" si="28"/>
        <v>OK</v>
      </c>
      <c r="CH14" s="206"/>
      <c r="CI14" s="321"/>
      <c r="CJ14" s="183"/>
      <c r="CK14" s="203" t="str">
        <f t="shared" si="30"/>
        <v>OK</v>
      </c>
      <c r="CL14" s="206"/>
      <c r="CM14" s="321"/>
      <c r="CN14" s="183"/>
      <c r="CO14" s="203" t="str">
        <f t="shared" si="32"/>
        <v>OK</v>
      </c>
      <c r="CP14" s="206"/>
      <c r="CQ14" s="321"/>
      <c r="CR14" s="183"/>
      <c r="CS14" s="203" t="str">
        <f t="shared" si="34"/>
        <v>OK</v>
      </c>
      <c r="CT14" s="206"/>
      <c r="CU14" s="321"/>
      <c r="CV14" s="183"/>
      <c r="CW14" s="203" t="str">
        <f t="shared" si="36"/>
        <v>OK</v>
      </c>
      <c r="CX14" s="206"/>
      <c r="CY14" s="321"/>
      <c r="CZ14" s="183"/>
      <c r="DA14" s="203" t="str">
        <f t="shared" si="38"/>
        <v>OK</v>
      </c>
      <c r="DB14" s="206"/>
      <c r="DC14" s="321"/>
      <c r="DD14" s="183"/>
      <c r="DE14" s="203" t="str">
        <f t="shared" si="40"/>
        <v>OK</v>
      </c>
      <c r="DF14" s="206"/>
      <c r="DG14" s="321"/>
      <c r="DH14" s="183"/>
      <c r="DI14" s="203" t="str">
        <f t="shared" si="42"/>
        <v>OK</v>
      </c>
      <c r="DJ14" s="206"/>
      <c r="DK14" s="321"/>
      <c r="DL14" s="183"/>
      <c r="DM14" s="203" t="str">
        <f t="shared" si="44"/>
        <v>OK</v>
      </c>
      <c r="DN14" s="206"/>
      <c r="DO14" s="321"/>
      <c r="DP14" s="183"/>
      <c r="DQ14" s="203" t="str">
        <f t="shared" si="46"/>
        <v>OK</v>
      </c>
      <c r="DR14" s="206"/>
      <c r="DS14" s="321"/>
      <c r="DT14" s="183"/>
      <c r="DU14" s="203" t="str">
        <f t="shared" si="48"/>
        <v>OK</v>
      </c>
      <c r="DV14" s="206"/>
      <c r="DW14" s="321"/>
      <c r="DX14" s="183"/>
      <c r="DY14" s="203" t="str">
        <f t="shared" si="50"/>
        <v>OK</v>
      </c>
      <c r="DZ14" s="206"/>
      <c r="EA14" s="321"/>
      <c r="EB14" s="183"/>
      <c r="EC14" s="203" t="str">
        <f t="shared" si="52"/>
        <v>OK</v>
      </c>
      <c r="ED14" s="206"/>
      <c r="EE14" s="321"/>
      <c r="EF14" s="183"/>
      <c r="EG14" s="203" t="str">
        <f t="shared" si="54"/>
        <v>OK</v>
      </c>
      <c r="EH14" s="206"/>
      <c r="EI14" s="321"/>
      <c r="EJ14" s="183"/>
      <c r="EK14" s="203" t="str">
        <f t="shared" si="56"/>
        <v>OK</v>
      </c>
      <c r="EL14" s="206"/>
      <c r="EM14" s="321"/>
      <c r="EN14" s="183"/>
      <c r="EO14" s="203" t="str">
        <f t="shared" si="58"/>
        <v>OK</v>
      </c>
      <c r="EP14" s="206"/>
      <c r="EQ14" s="321"/>
      <c r="ER14" s="183"/>
      <c r="ES14" s="203" t="str">
        <f t="shared" si="60"/>
        <v>OK</v>
      </c>
      <c r="ET14" s="206"/>
      <c r="EU14" s="321"/>
      <c r="EV14" s="183"/>
      <c r="EW14" s="203" t="str">
        <f t="shared" si="62"/>
        <v>OK</v>
      </c>
      <c r="EX14" s="206"/>
      <c r="EY14" s="321"/>
      <c r="EZ14" s="183"/>
      <c r="FA14" s="203" t="str">
        <f t="shared" si="64"/>
        <v>OK</v>
      </c>
      <c r="FB14" s="206"/>
      <c r="FC14" s="321"/>
      <c r="FD14" s="183"/>
      <c r="FE14" s="203" t="str">
        <f t="shared" si="66"/>
        <v>OK</v>
      </c>
      <c r="FF14" s="206"/>
      <c r="FG14" s="321"/>
      <c r="FH14" s="183"/>
      <c r="FI14" s="203" t="str">
        <f t="shared" si="68"/>
        <v>OK</v>
      </c>
      <c r="FJ14" s="206"/>
      <c r="FK14" s="321"/>
      <c r="FL14" s="183"/>
      <c r="FM14" s="203" t="str">
        <f t="shared" si="70"/>
        <v>OK</v>
      </c>
      <c r="FN14" s="206"/>
      <c r="FO14" s="321"/>
      <c r="FP14" s="183"/>
      <c r="FQ14" s="203" t="str">
        <f t="shared" si="72"/>
        <v>OK</v>
      </c>
      <c r="FR14" s="206"/>
      <c r="FS14" s="321"/>
      <c r="FT14" s="183"/>
      <c r="FU14" s="203" t="str">
        <f t="shared" si="74"/>
        <v>OK</v>
      </c>
      <c r="FV14" s="206"/>
      <c r="FW14" s="321"/>
      <c r="FX14" s="183"/>
      <c r="FY14" s="203" t="str">
        <f t="shared" si="76"/>
        <v>OK</v>
      </c>
      <c r="FZ14" s="206"/>
      <c r="GA14" s="321"/>
      <c r="GB14" s="183"/>
      <c r="GC14" s="203" t="str">
        <f t="shared" si="78"/>
        <v>OK</v>
      </c>
      <c r="GD14" s="206"/>
      <c r="GE14" s="321"/>
      <c r="GF14" s="183"/>
      <c r="GG14" s="203" t="str">
        <f t="shared" si="80"/>
        <v>OK</v>
      </c>
      <c r="GH14" s="206"/>
      <c r="GI14" s="321"/>
      <c r="GJ14" s="183"/>
      <c r="GK14" s="203" t="str">
        <f t="shared" si="82"/>
        <v>OK</v>
      </c>
      <c r="GL14" s="206"/>
      <c r="GM14" s="321"/>
      <c r="GN14" s="183"/>
      <c r="GO14" s="203" t="str">
        <f t="shared" si="84"/>
        <v>OK</v>
      </c>
      <c r="GP14" s="206"/>
      <c r="GQ14" s="321"/>
      <c r="GR14" s="183"/>
      <c r="GS14" s="203" t="str">
        <f t="shared" si="86"/>
        <v>OK</v>
      </c>
      <c r="GT14" s="202"/>
      <c r="GU14" s="202"/>
      <c r="GV14" s="173"/>
      <c r="GW14" s="173"/>
      <c r="GX14" s="173"/>
    </row>
    <row r="15" spans="1:206">
      <c r="A15" s="200" t="s">
        <v>444</v>
      </c>
      <c r="B15" s="225">
        <v>7</v>
      </c>
      <c r="C15" s="229"/>
      <c r="D15" s="229"/>
      <c r="E15" s="229"/>
      <c r="F15" s="222" t="s">
        <v>37</v>
      </c>
      <c r="G15" s="222"/>
      <c r="H15" s="220"/>
      <c r="I15" s="309"/>
      <c r="J15" s="309" t="s">
        <v>444</v>
      </c>
      <c r="K15" s="209"/>
      <c r="L15" s="209"/>
      <c r="M15" s="320" t="s">
        <v>38</v>
      </c>
      <c r="N15" s="210"/>
      <c r="O15" s="315"/>
      <c r="P15" s="310">
        <v>4</v>
      </c>
      <c r="Q15" s="296">
        <v>4</v>
      </c>
      <c r="R15" s="309" t="s">
        <v>447</v>
      </c>
      <c r="S15" s="296"/>
      <c r="T15" s="296"/>
      <c r="U15" s="309" t="s">
        <v>450</v>
      </c>
      <c r="V15" s="315"/>
      <c r="W15" s="292" t="str">
        <f t="shared" si="0"/>
        <v>3</v>
      </c>
      <c r="X15" s="210" t="s">
        <v>467</v>
      </c>
      <c r="Y15" s="210">
        <v>1</v>
      </c>
      <c r="Z15" s="210">
        <v>4</v>
      </c>
      <c r="AA15" s="209" t="s">
        <v>447</v>
      </c>
      <c r="AB15" s="209" t="s">
        <v>450</v>
      </c>
      <c r="AC15" s="296"/>
      <c r="AD15" s="231" t="s">
        <v>72</v>
      </c>
      <c r="AE15" s="307"/>
      <c r="AF15" s="183" t="str">
        <f t="shared" ref="AF15:AF20" si="87">IF($AA15="","",IF(AD15="","",AD15))</f>
        <v>FMC</v>
      </c>
      <c r="AG15" s="203" t="str">
        <f t="shared" si="2"/>
        <v>NG</v>
      </c>
      <c r="AH15" s="231" t="s">
        <v>72</v>
      </c>
      <c r="AI15" s="307"/>
      <c r="AJ15" s="183" t="str">
        <f t="shared" ref="AJ15:AJ20" si="88">IF($AA15="","",IF(AH15="","",AH15))</f>
        <v>FMC</v>
      </c>
      <c r="AK15" s="203" t="str">
        <f t="shared" si="4"/>
        <v>NG</v>
      </c>
      <c r="AL15" s="231" t="s">
        <v>72</v>
      </c>
      <c r="AM15" s="307"/>
      <c r="AN15" s="183" t="str">
        <f t="shared" ref="AN15:AN20" si="89">IF($AA15="","",IF(AL15="","",AL15))</f>
        <v>FMC</v>
      </c>
      <c r="AO15" s="203" t="str">
        <f t="shared" si="6"/>
        <v>NG</v>
      </c>
      <c r="AP15" s="231" t="s">
        <v>72</v>
      </c>
      <c r="AQ15" s="307"/>
      <c r="AR15" s="183" t="str">
        <f t="shared" ref="AR15:AR20" si="90">IF($AA15="","",IF(AP15="","",AP15))</f>
        <v>FMC</v>
      </c>
      <c r="AS15" s="203" t="str">
        <f t="shared" si="8"/>
        <v>NG</v>
      </c>
      <c r="AT15" s="231" t="s">
        <v>72</v>
      </c>
      <c r="AU15" s="307"/>
      <c r="AV15" s="183" t="str">
        <f t="shared" ref="AV15:AV20" si="91">IF($AA15="","",IF(AT15="","",AT15))</f>
        <v>FMC</v>
      </c>
      <c r="AW15" s="203" t="str">
        <f t="shared" si="10"/>
        <v>NG</v>
      </c>
      <c r="AX15" s="231" t="s">
        <v>72</v>
      </c>
      <c r="AY15" s="307"/>
      <c r="AZ15" s="183" t="str">
        <f t="shared" ref="AZ15:AZ20" si="92">IF($AA15="","",IF(AX15="","",AX15))</f>
        <v>FMC</v>
      </c>
      <c r="BA15" s="203" t="str">
        <f t="shared" si="12"/>
        <v>NG</v>
      </c>
      <c r="BB15" s="231" t="s">
        <v>72</v>
      </c>
      <c r="BC15" s="307"/>
      <c r="BD15" s="183" t="str">
        <f t="shared" ref="BD15:BD20" si="93">IF($AA15="","",IF(BB15="","",BB15))</f>
        <v>FMC</v>
      </c>
      <c r="BE15" s="203" t="str">
        <f t="shared" si="14"/>
        <v>NG</v>
      </c>
      <c r="BF15" s="231" t="s">
        <v>72</v>
      </c>
      <c r="BG15" s="307"/>
      <c r="BH15" s="183" t="str">
        <f t="shared" ref="BH15:BH20" si="94">IF($AA15="","",IF(BF15="","",BF15))</f>
        <v>FMC</v>
      </c>
      <c r="BI15" s="203" t="str">
        <f t="shared" si="16"/>
        <v>NG</v>
      </c>
      <c r="BJ15" s="231" t="s">
        <v>72</v>
      </c>
      <c r="BK15" s="307"/>
      <c r="BL15" s="183" t="str">
        <f t="shared" ref="BL15:BL20" si="95">IF($AA15="","",IF(BJ15="","",BJ15))</f>
        <v>FMC</v>
      </c>
      <c r="BM15" s="203" t="str">
        <f t="shared" si="18"/>
        <v>NG</v>
      </c>
      <c r="BN15" s="231" t="s">
        <v>72</v>
      </c>
      <c r="BO15" s="307"/>
      <c r="BP15" s="183" t="str">
        <f t="shared" ref="BP15:BP20" si="96">IF($AA15="","",IF(BN15="","",BN15))</f>
        <v>FMC</v>
      </c>
      <c r="BQ15" s="203" t="str">
        <f t="shared" si="20"/>
        <v>NG</v>
      </c>
      <c r="BR15" s="231" t="s">
        <v>72</v>
      </c>
      <c r="BS15" s="307"/>
      <c r="BT15" s="183" t="str">
        <f t="shared" ref="BT15:BT20" si="97">IF($AA15="","",IF(BR15="","",BR15))</f>
        <v>FMC</v>
      </c>
      <c r="BU15" s="203" t="str">
        <f t="shared" si="22"/>
        <v>NG</v>
      </c>
      <c r="BV15" s="231" t="s">
        <v>72</v>
      </c>
      <c r="BW15" s="307"/>
      <c r="BX15" s="183" t="str">
        <f t="shared" ref="BX15:BX20" si="98">IF($AA15="","",IF(BV15="","",BV15))</f>
        <v>FMC</v>
      </c>
      <c r="BY15" s="203" t="str">
        <f t="shared" si="24"/>
        <v>NG</v>
      </c>
      <c r="BZ15" s="231" t="s">
        <v>72</v>
      </c>
      <c r="CA15" s="307"/>
      <c r="CB15" s="183" t="str">
        <f t="shared" ref="CB15:CB20" si="99">IF($AA15="","",IF(BZ15="","",BZ15))</f>
        <v>FMC</v>
      </c>
      <c r="CC15" s="203" t="str">
        <f t="shared" si="26"/>
        <v>NG</v>
      </c>
      <c r="CD15" s="231" t="s">
        <v>72</v>
      </c>
      <c r="CE15" s="307"/>
      <c r="CF15" s="183" t="str">
        <f t="shared" ref="CF15:CF20" si="100">IF($AA15="","",IF(CD15="","",CD15))</f>
        <v>FMC</v>
      </c>
      <c r="CG15" s="203" t="str">
        <f t="shared" si="28"/>
        <v>NG</v>
      </c>
      <c r="CH15" s="231" t="s">
        <v>72</v>
      </c>
      <c r="CI15" s="307"/>
      <c r="CJ15" s="183" t="str">
        <f t="shared" ref="CJ15:CJ20" si="101">IF($AA15="","",IF(CH15="","",CH15))</f>
        <v>FMC</v>
      </c>
      <c r="CK15" s="203" t="str">
        <f t="shared" si="30"/>
        <v>NG</v>
      </c>
      <c r="CL15" s="231" t="s">
        <v>72</v>
      </c>
      <c r="CM15" s="307"/>
      <c r="CN15" s="183" t="str">
        <f t="shared" ref="CN15:CN20" si="102">IF($AA15="","",IF(CL15="","",CL15))</f>
        <v>FMC</v>
      </c>
      <c r="CO15" s="203" t="str">
        <f t="shared" si="32"/>
        <v>NG</v>
      </c>
      <c r="CP15" s="231" t="s">
        <v>72</v>
      </c>
      <c r="CQ15" s="307"/>
      <c r="CR15" s="183" t="str">
        <f t="shared" ref="CR15:CR20" si="103">IF($AA15="","",IF(CP15="","",CP15))</f>
        <v>FMC</v>
      </c>
      <c r="CS15" s="203" t="str">
        <f t="shared" si="34"/>
        <v>NG</v>
      </c>
      <c r="CT15" s="231" t="s">
        <v>72</v>
      </c>
      <c r="CU15" s="307"/>
      <c r="CV15" s="183" t="str">
        <f t="shared" ref="CV15:CV20" si="104">IF($AA15="","",IF(CT15="","",CT15))</f>
        <v>FMC</v>
      </c>
      <c r="CW15" s="203" t="str">
        <f t="shared" si="36"/>
        <v>NG</v>
      </c>
      <c r="CX15" s="231" t="s">
        <v>72</v>
      </c>
      <c r="CY15" s="307"/>
      <c r="CZ15" s="183" t="str">
        <f t="shared" ref="CZ15:CZ20" si="105">IF($AA15="","",IF(CX15="","",CX15))</f>
        <v>FMC</v>
      </c>
      <c r="DA15" s="203" t="str">
        <f t="shared" si="38"/>
        <v>NG</v>
      </c>
      <c r="DB15" s="231" t="s">
        <v>72</v>
      </c>
      <c r="DC15" s="307"/>
      <c r="DD15" s="183" t="str">
        <f t="shared" ref="DD15:DD20" si="106">IF($AA15="","",IF(DB15="","",DB15))</f>
        <v>FMC</v>
      </c>
      <c r="DE15" s="203" t="str">
        <f t="shared" si="40"/>
        <v>NG</v>
      </c>
      <c r="DF15" s="231" t="s">
        <v>72</v>
      </c>
      <c r="DG15" s="307"/>
      <c r="DH15" s="183" t="str">
        <f t="shared" ref="DH15:DH20" si="107">IF($AA15="","",IF(DF15="","",DF15))</f>
        <v>FMC</v>
      </c>
      <c r="DI15" s="203" t="str">
        <f t="shared" si="42"/>
        <v>NG</v>
      </c>
      <c r="DJ15" s="231" t="s">
        <v>72</v>
      </c>
      <c r="DK15" s="307"/>
      <c r="DL15" s="183" t="str">
        <f t="shared" ref="DL15:DL20" si="108">IF($AA15="","",IF(DJ15="","",DJ15))</f>
        <v>FMC</v>
      </c>
      <c r="DM15" s="203" t="str">
        <f t="shared" si="44"/>
        <v>NG</v>
      </c>
      <c r="DN15" s="231" t="s">
        <v>72</v>
      </c>
      <c r="DO15" s="307"/>
      <c r="DP15" s="183" t="str">
        <f t="shared" ref="DP15:DP20" si="109">IF($AA15="","",IF(DN15="","",DN15))</f>
        <v>FMC</v>
      </c>
      <c r="DQ15" s="203" t="str">
        <f t="shared" si="46"/>
        <v>NG</v>
      </c>
      <c r="DR15" s="231" t="s">
        <v>72</v>
      </c>
      <c r="DS15" s="307"/>
      <c r="DT15" s="183" t="str">
        <f t="shared" ref="DT15:DT20" si="110">IF($AA15="","",IF(DR15="","",DR15))</f>
        <v>FMC</v>
      </c>
      <c r="DU15" s="203" t="str">
        <f t="shared" si="48"/>
        <v>NG</v>
      </c>
      <c r="DV15" s="231" t="s">
        <v>72</v>
      </c>
      <c r="DW15" s="307"/>
      <c r="DX15" s="183" t="str">
        <f t="shared" ref="DX15:DX20" si="111">IF($AA15="","",IF(DV15="","",DV15))</f>
        <v>FMC</v>
      </c>
      <c r="DY15" s="203" t="str">
        <f t="shared" si="50"/>
        <v>NG</v>
      </c>
      <c r="DZ15" s="231" t="s">
        <v>72</v>
      </c>
      <c r="EA15" s="307"/>
      <c r="EB15" s="183" t="str">
        <f t="shared" ref="EB15:EB20" si="112">IF($AA15="","",IF(DZ15="","",DZ15))</f>
        <v>FMC</v>
      </c>
      <c r="EC15" s="203" t="str">
        <f t="shared" si="52"/>
        <v>NG</v>
      </c>
      <c r="ED15" s="231" t="s">
        <v>72</v>
      </c>
      <c r="EE15" s="307"/>
      <c r="EF15" s="183" t="str">
        <f t="shared" ref="EF15:EF20" si="113">IF($AA15="","",IF(ED15="","",ED15))</f>
        <v>FMC</v>
      </c>
      <c r="EG15" s="203" t="str">
        <f t="shared" si="54"/>
        <v>NG</v>
      </c>
      <c r="EH15" s="231" t="s">
        <v>72</v>
      </c>
      <c r="EI15" s="307"/>
      <c r="EJ15" s="183" t="str">
        <f t="shared" ref="EJ15:EJ20" si="114">IF($AA15="","",IF(EH15="","",EH15))</f>
        <v>FMC</v>
      </c>
      <c r="EK15" s="203" t="str">
        <f t="shared" si="56"/>
        <v>NG</v>
      </c>
      <c r="EL15" s="231" t="s">
        <v>72</v>
      </c>
      <c r="EM15" s="307"/>
      <c r="EN15" s="183" t="str">
        <f t="shared" ref="EN15:EN20" si="115">IF($AA15="","",IF(EL15="","",EL15))</f>
        <v>FMC</v>
      </c>
      <c r="EO15" s="203" t="str">
        <f t="shared" si="58"/>
        <v>NG</v>
      </c>
      <c r="EP15" s="231" t="s">
        <v>72</v>
      </c>
      <c r="EQ15" s="307"/>
      <c r="ER15" s="183" t="str">
        <f t="shared" ref="ER15:ER20" si="116">IF($AA15="","",IF(EP15="","",EP15))</f>
        <v>FMC</v>
      </c>
      <c r="ES15" s="203" t="str">
        <f t="shared" si="60"/>
        <v>NG</v>
      </c>
      <c r="ET15" s="231" t="s">
        <v>72</v>
      </c>
      <c r="EU15" s="307"/>
      <c r="EV15" s="183" t="str">
        <f t="shared" ref="EV15:EV20" si="117">IF($AA15="","",IF(ET15="","",ET15))</f>
        <v>FMC</v>
      </c>
      <c r="EW15" s="203" t="str">
        <f t="shared" si="62"/>
        <v>NG</v>
      </c>
      <c r="EX15" s="231" t="s">
        <v>72</v>
      </c>
      <c r="EY15" s="307"/>
      <c r="EZ15" s="183" t="str">
        <f t="shared" ref="EZ15:EZ20" si="118">IF($AA15="","",IF(EX15="","",EX15))</f>
        <v>FMC</v>
      </c>
      <c r="FA15" s="203" t="str">
        <f t="shared" si="64"/>
        <v>NG</v>
      </c>
      <c r="FB15" s="231" t="s">
        <v>72</v>
      </c>
      <c r="FC15" s="307"/>
      <c r="FD15" s="183" t="str">
        <f t="shared" ref="FD15:FD20" si="119">IF($AA15="","",IF(FB15="","",FB15))</f>
        <v>FMC</v>
      </c>
      <c r="FE15" s="203" t="str">
        <f t="shared" si="66"/>
        <v>NG</v>
      </c>
      <c r="FF15" s="231" t="s">
        <v>72</v>
      </c>
      <c r="FG15" s="307"/>
      <c r="FH15" s="183" t="str">
        <f t="shared" ref="FH15:FH20" si="120">IF($AA15="","",IF(FF15="","",FF15))</f>
        <v>FMC</v>
      </c>
      <c r="FI15" s="203" t="str">
        <f t="shared" si="68"/>
        <v>NG</v>
      </c>
      <c r="FJ15" s="231" t="s">
        <v>72</v>
      </c>
      <c r="FK15" s="307"/>
      <c r="FL15" s="183" t="str">
        <f t="shared" ref="FL15:FL20" si="121">IF($AA15="","",IF(FJ15="","",FJ15))</f>
        <v>FMC</v>
      </c>
      <c r="FM15" s="203" t="str">
        <f t="shared" si="70"/>
        <v>NG</v>
      </c>
      <c r="FN15" s="231" t="s">
        <v>72</v>
      </c>
      <c r="FO15" s="307"/>
      <c r="FP15" s="183" t="str">
        <f t="shared" ref="FP15:FP20" si="122">IF($AA15="","",IF(FN15="","",FN15))</f>
        <v>FMC</v>
      </c>
      <c r="FQ15" s="203" t="str">
        <f t="shared" si="72"/>
        <v>NG</v>
      </c>
      <c r="FR15" s="231" t="s">
        <v>72</v>
      </c>
      <c r="FS15" s="307"/>
      <c r="FT15" s="183" t="str">
        <f t="shared" ref="FT15:FT20" si="123">IF($AA15="","",IF(FR15="","",FR15))</f>
        <v>FMC</v>
      </c>
      <c r="FU15" s="203" t="str">
        <f t="shared" si="74"/>
        <v>NG</v>
      </c>
      <c r="FV15" s="231" t="s">
        <v>72</v>
      </c>
      <c r="FW15" s="307"/>
      <c r="FX15" s="183" t="str">
        <f t="shared" ref="FX15:FX20" si="124">IF($AA15="","",IF(FV15="","",FV15))</f>
        <v>FMC</v>
      </c>
      <c r="FY15" s="203" t="str">
        <f t="shared" si="76"/>
        <v>NG</v>
      </c>
      <c r="FZ15" s="231" t="s">
        <v>72</v>
      </c>
      <c r="GA15" s="307"/>
      <c r="GB15" s="183" t="str">
        <f t="shared" ref="GB15:GB20" si="125">IF($AA15="","",IF(FZ15="","",FZ15))</f>
        <v>FMC</v>
      </c>
      <c r="GC15" s="203" t="str">
        <f t="shared" si="78"/>
        <v>NG</v>
      </c>
      <c r="GD15" s="231" t="s">
        <v>72</v>
      </c>
      <c r="GE15" s="307"/>
      <c r="GF15" s="183" t="str">
        <f t="shared" ref="GF15:GF20" si="126">IF($AA15="","",IF(GD15="","",GD15))</f>
        <v>FMC</v>
      </c>
      <c r="GG15" s="203" t="str">
        <f t="shared" si="80"/>
        <v>NG</v>
      </c>
      <c r="GH15" s="231" t="s">
        <v>72</v>
      </c>
      <c r="GI15" s="307"/>
      <c r="GJ15" s="183" t="str">
        <f t="shared" ref="GJ15:GJ20" si="127">IF($AA15="","",IF(GH15="","",GH15))</f>
        <v>FMC</v>
      </c>
      <c r="GK15" s="203" t="str">
        <f t="shared" si="82"/>
        <v>NG</v>
      </c>
      <c r="GL15" s="231" t="s">
        <v>72</v>
      </c>
      <c r="GM15" s="307"/>
      <c r="GN15" s="183" t="str">
        <f t="shared" ref="GN15:GN20" si="128">IF($AA15="","",IF(GL15="","",GL15))</f>
        <v>FMC</v>
      </c>
      <c r="GO15" s="203" t="str">
        <f t="shared" si="84"/>
        <v>NG</v>
      </c>
      <c r="GP15" s="231" t="s">
        <v>72</v>
      </c>
      <c r="GQ15" s="307"/>
      <c r="GR15" s="183" t="str">
        <f t="shared" ref="GR15:GR20" si="129">IF($AA15="","",IF(GP15="","",GP15))</f>
        <v>FMC</v>
      </c>
      <c r="GS15" s="203" t="str">
        <f t="shared" si="86"/>
        <v>NG</v>
      </c>
      <c r="GT15" s="202"/>
      <c r="GU15" s="202"/>
      <c r="GV15" s="173"/>
      <c r="GW15" s="173"/>
      <c r="GX15" s="173"/>
    </row>
    <row r="16" spans="1:206" ht="90">
      <c r="A16" s="200" t="s">
        <v>444</v>
      </c>
      <c r="B16" s="225">
        <v>8</v>
      </c>
      <c r="C16" s="229"/>
      <c r="D16" s="229"/>
      <c r="E16" s="229"/>
      <c r="F16" s="222" t="s">
        <v>39</v>
      </c>
      <c r="G16" s="222"/>
      <c r="H16" s="220"/>
      <c r="I16" s="309"/>
      <c r="J16" s="209" t="s">
        <v>442</v>
      </c>
      <c r="K16" s="209"/>
      <c r="L16" s="209"/>
      <c r="M16" s="291" t="s">
        <v>466</v>
      </c>
      <c r="N16" s="209"/>
      <c r="O16" s="315"/>
      <c r="P16" s="310">
        <v>5</v>
      </c>
      <c r="Q16" s="296">
        <v>7</v>
      </c>
      <c r="R16" s="309" t="s">
        <v>447</v>
      </c>
      <c r="S16" s="296"/>
      <c r="T16" s="296"/>
      <c r="U16" s="309" t="s">
        <v>450</v>
      </c>
      <c r="V16" s="315"/>
      <c r="W16" s="292" t="str">
        <f t="shared" si="0"/>
        <v>3</v>
      </c>
      <c r="X16" s="210" t="s">
        <v>465</v>
      </c>
      <c r="Y16" s="210">
        <v>7</v>
      </c>
      <c r="Z16" s="210">
        <v>7</v>
      </c>
      <c r="AA16" s="209" t="s">
        <v>447</v>
      </c>
      <c r="AB16" s="209" t="s">
        <v>450</v>
      </c>
      <c r="AC16" s="296"/>
      <c r="AD16" s="231" t="s">
        <v>73</v>
      </c>
      <c r="AE16" s="307"/>
      <c r="AF16" s="183" t="str">
        <f t="shared" si="87"/>
        <v>E845001</v>
      </c>
      <c r="AG16" s="203" t="str">
        <f t="shared" si="2"/>
        <v>NG</v>
      </c>
      <c r="AH16" s="231" t="s">
        <v>73</v>
      </c>
      <c r="AI16" s="307"/>
      <c r="AJ16" s="183" t="str">
        <f t="shared" si="88"/>
        <v>E845001</v>
      </c>
      <c r="AK16" s="203" t="str">
        <f t="shared" si="4"/>
        <v>NG</v>
      </c>
      <c r="AL16" s="231" t="s">
        <v>73</v>
      </c>
      <c r="AM16" s="307"/>
      <c r="AN16" s="183" t="str">
        <f t="shared" si="89"/>
        <v>E845001</v>
      </c>
      <c r="AO16" s="203" t="str">
        <f t="shared" si="6"/>
        <v>NG</v>
      </c>
      <c r="AP16" s="231" t="s">
        <v>73</v>
      </c>
      <c r="AQ16" s="307"/>
      <c r="AR16" s="183" t="str">
        <f t="shared" si="90"/>
        <v>E845001</v>
      </c>
      <c r="AS16" s="203" t="str">
        <f t="shared" si="8"/>
        <v>NG</v>
      </c>
      <c r="AT16" s="231" t="s">
        <v>73</v>
      </c>
      <c r="AU16" s="307"/>
      <c r="AV16" s="183" t="str">
        <f t="shared" si="91"/>
        <v>E845001</v>
      </c>
      <c r="AW16" s="203" t="str">
        <f t="shared" si="10"/>
        <v>NG</v>
      </c>
      <c r="AX16" s="231" t="s">
        <v>73</v>
      </c>
      <c r="AY16" s="307"/>
      <c r="AZ16" s="183" t="str">
        <f t="shared" si="92"/>
        <v>E845001</v>
      </c>
      <c r="BA16" s="203" t="str">
        <f t="shared" si="12"/>
        <v>NG</v>
      </c>
      <c r="BB16" s="231" t="s">
        <v>73</v>
      </c>
      <c r="BC16" s="307"/>
      <c r="BD16" s="183" t="str">
        <f t="shared" si="93"/>
        <v>E845001</v>
      </c>
      <c r="BE16" s="203" t="str">
        <f t="shared" si="14"/>
        <v>NG</v>
      </c>
      <c r="BF16" s="231" t="s">
        <v>73</v>
      </c>
      <c r="BG16" s="307"/>
      <c r="BH16" s="183" t="str">
        <f t="shared" si="94"/>
        <v>E845001</v>
      </c>
      <c r="BI16" s="203" t="str">
        <f t="shared" si="16"/>
        <v>NG</v>
      </c>
      <c r="BJ16" s="231" t="s">
        <v>73</v>
      </c>
      <c r="BK16" s="307"/>
      <c r="BL16" s="183" t="str">
        <f t="shared" si="95"/>
        <v>E845001</v>
      </c>
      <c r="BM16" s="203" t="str">
        <f t="shared" si="18"/>
        <v>NG</v>
      </c>
      <c r="BN16" s="231" t="s">
        <v>73</v>
      </c>
      <c r="BO16" s="307"/>
      <c r="BP16" s="183" t="str">
        <f t="shared" si="96"/>
        <v>E845001</v>
      </c>
      <c r="BQ16" s="203" t="str">
        <f t="shared" si="20"/>
        <v>NG</v>
      </c>
      <c r="BR16" s="231" t="s">
        <v>73</v>
      </c>
      <c r="BS16" s="307"/>
      <c r="BT16" s="183" t="str">
        <f t="shared" si="97"/>
        <v>E845001</v>
      </c>
      <c r="BU16" s="203" t="str">
        <f t="shared" si="22"/>
        <v>NG</v>
      </c>
      <c r="BV16" s="231" t="s">
        <v>73</v>
      </c>
      <c r="BW16" s="307"/>
      <c r="BX16" s="183" t="str">
        <f t="shared" si="98"/>
        <v>E845001</v>
      </c>
      <c r="BY16" s="203" t="str">
        <f t="shared" si="24"/>
        <v>NG</v>
      </c>
      <c r="BZ16" s="231" t="s">
        <v>73</v>
      </c>
      <c r="CA16" s="307"/>
      <c r="CB16" s="183" t="str">
        <f t="shared" si="99"/>
        <v>E845001</v>
      </c>
      <c r="CC16" s="203" t="str">
        <f t="shared" si="26"/>
        <v>NG</v>
      </c>
      <c r="CD16" s="231" t="s">
        <v>73</v>
      </c>
      <c r="CE16" s="307"/>
      <c r="CF16" s="183" t="str">
        <f t="shared" si="100"/>
        <v>E845001</v>
      </c>
      <c r="CG16" s="203" t="str">
        <f t="shared" si="28"/>
        <v>NG</v>
      </c>
      <c r="CH16" s="231" t="s">
        <v>73</v>
      </c>
      <c r="CI16" s="307"/>
      <c r="CJ16" s="183" t="str">
        <f t="shared" si="101"/>
        <v>E845001</v>
      </c>
      <c r="CK16" s="203" t="str">
        <f t="shared" si="30"/>
        <v>NG</v>
      </c>
      <c r="CL16" s="231" t="s">
        <v>73</v>
      </c>
      <c r="CM16" s="307"/>
      <c r="CN16" s="183" t="str">
        <f t="shared" si="102"/>
        <v>E845001</v>
      </c>
      <c r="CO16" s="203" t="str">
        <f t="shared" si="32"/>
        <v>NG</v>
      </c>
      <c r="CP16" s="231" t="s">
        <v>73</v>
      </c>
      <c r="CQ16" s="307"/>
      <c r="CR16" s="183" t="str">
        <f t="shared" si="103"/>
        <v>E845001</v>
      </c>
      <c r="CS16" s="203" t="str">
        <f t="shared" si="34"/>
        <v>NG</v>
      </c>
      <c r="CT16" s="231" t="s">
        <v>73</v>
      </c>
      <c r="CU16" s="307"/>
      <c r="CV16" s="183" t="str">
        <f t="shared" si="104"/>
        <v>E845001</v>
      </c>
      <c r="CW16" s="203" t="str">
        <f t="shared" si="36"/>
        <v>NG</v>
      </c>
      <c r="CX16" s="231" t="s">
        <v>73</v>
      </c>
      <c r="CY16" s="307"/>
      <c r="CZ16" s="183" t="str">
        <f t="shared" si="105"/>
        <v>E845001</v>
      </c>
      <c r="DA16" s="203" t="str">
        <f t="shared" si="38"/>
        <v>NG</v>
      </c>
      <c r="DB16" s="231" t="s">
        <v>73</v>
      </c>
      <c r="DC16" s="307"/>
      <c r="DD16" s="183" t="str">
        <f t="shared" si="106"/>
        <v>E845001</v>
      </c>
      <c r="DE16" s="203" t="str">
        <f t="shared" si="40"/>
        <v>NG</v>
      </c>
      <c r="DF16" s="231" t="s">
        <v>73</v>
      </c>
      <c r="DG16" s="307"/>
      <c r="DH16" s="183" t="str">
        <f t="shared" si="107"/>
        <v>E845001</v>
      </c>
      <c r="DI16" s="203" t="str">
        <f t="shared" si="42"/>
        <v>NG</v>
      </c>
      <c r="DJ16" s="231" t="s">
        <v>73</v>
      </c>
      <c r="DK16" s="307"/>
      <c r="DL16" s="183" t="str">
        <f t="shared" si="108"/>
        <v>E845001</v>
      </c>
      <c r="DM16" s="203" t="str">
        <f t="shared" si="44"/>
        <v>NG</v>
      </c>
      <c r="DN16" s="231" t="s">
        <v>73</v>
      </c>
      <c r="DO16" s="307"/>
      <c r="DP16" s="183" t="str">
        <f t="shared" si="109"/>
        <v>E845001</v>
      </c>
      <c r="DQ16" s="203" t="str">
        <f t="shared" si="46"/>
        <v>NG</v>
      </c>
      <c r="DR16" s="231" t="s">
        <v>73</v>
      </c>
      <c r="DS16" s="307"/>
      <c r="DT16" s="183" t="str">
        <f t="shared" si="110"/>
        <v>E845001</v>
      </c>
      <c r="DU16" s="203" t="str">
        <f t="shared" si="48"/>
        <v>NG</v>
      </c>
      <c r="DV16" s="231" t="s">
        <v>73</v>
      </c>
      <c r="DW16" s="307"/>
      <c r="DX16" s="183" t="str">
        <f t="shared" si="111"/>
        <v>E845001</v>
      </c>
      <c r="DY16" s="203" t="str">
        <f t="shared" si="50"/>
        <v>NG</v>
      </c>
      <c r="DZ16" s="231" t="s">
        <v>73</v>
      </c>
      <c r="EA16" s="307"/>
      <c r="EB16" s="183" t="str">
        <f t="shared" si="112"/>
        <v>E845001</v>
      </c>
      <c r="EC16" s="203" t="str">
        <f t="shared" si="52"/>
        <v>NG</v>
      </c>
      <c r="ED16" s="231" t="s">
        <v>73</v>
      </c>
      <c r="EE16" s="307"/>
      <c r="EF16" s="183" t="str">
        <f t="shared" si="113"/>
        <v>E845001</v>
      </c>
      <c r="EG16" s="203" t="str">
        <f t="shared" si="54"/>
        <v>NG</v>
      </c>
      <c r="EH16" s="231" t="s">
        <v>73</v>
      </c>
      <c r="EI16" s="307"/>
      <c r="EJ16" s="183" t="str">
        <f t="shared" si="114"/>
        <v>E845001</v>
      </c>
      <c r="EK16" s="203" t="str">
        <f t="shared" si="56"/>
        <v>NG</v>
      </c>
      <c r="EL16" s="231" t="s">
        <v>73</v>
      </c>
      <c r="EM16" s="307"/>
      <c r="EN16" s="183" t="str">
        <f t="shared" si="115"/>
        <v>E845001</v>
      </c>
      <c r="EO16" s="203" t="str">
        <f t="shared" si="58"/>
        <v>NG</v>
      </c>
      <c r="EP16" s="231" t="s">
        <v>73</v>
      </c>
      <c r="EQ16" s="307"/>
      <c r="ER16" s="183" t="str">
        <f t="shared" si="116"/>
        <v>E845001</v>
      </c>
      <c r="ES16" s="203" t="str">
        <f t="shared" si="60"/>
        <v>NG</v>
      </c>
      <c r="ET16" s="231" t="s">
        <v>73</v>
      </c>
      <c r="EU16" s="307"/>
      <c r="EV16" s="183" t="str">
        <f t="shared" si="117"/>
        <v>E845001</v>
      </c>
      <c r="EW16" s="203" t="str">
        <f t="shared" si="62"/>
        <v>NG</v>
      </c>
      <c r="EX16" s="231" t="s">
        <v>73</v>
      </c>
      <c r="EY16" s="307"/>
      <c r="EZ16" s="183" t="str">
        <f t="shared" si="118"/>
        <v>E845001</v>
      </c>
      <c r="FA16" s="203" t="str">
        <f t="shared" si="64"/>
        <v>NG</v>
      </c>
      <c r="FB16" s="231" t="s">
        <v>73</v>
      </c>
      <c r="FC16" s="307"/>
      <c r="FD16" s="183" t="str">
        <f t="shared" si="119"/>
        <v>E845001</v>
      </c>
      <c r="FE16" s="203" t="str">
        <f t="shared" si="66"/>
        <v>NG</v>
      </c>
      <c r="FF16" s="231" t="s">
        <v>73</v>
      </c>
      <c r="FG16" s="307"/>
      <c r="FH16" s="183" t="str">
        <f t="shared" si="120"/>
        <v>E845001</v>
      </c>
      <c r="FI16" s="203" t="str">
        <f t="shared" si="68"/>
        <v>NG</v>
      </c>
      <c r="FJ16" s="231" t="s">
        <v>73</v>
      </c>
      <c r="FK16" s="307"/>
      <c r="FL16" s="183" t="str">
        <f t="shared" si="121"/>
        <v>E845001</v>
      </c>
      <c r="FM16" s="203" t="str">
        <f t="shared" si="70"/>
        <v>NG</v>
      </c>
      <c r="FN16" s="231" t="s">
        <v>73</v>
      </c>
      <c r="FO16" s="307"/>
      <c r="FP16" s="183" t="str">
        <f t="shared" si="122"/>
        <v>E845001</v>
      </c>
      <c r="FQ16" s="203" t="str">
        <f t="shared" si="72"/>
        <v>NG</v>
      </c>
      <c r="FR16" s="231" t="s">
        <v>73</v>
      </c>
      <c r="FS16" s="307"/>
      <c r="FT16" s="183" t="str">
        <f t="shared" si="123"/>
        <v>E845001</v>
      </c>
      <c r="FU16" s="203" t="str">
        <f t="shared" si="74"/>
        <v>NG</v>
      </c>
      <c r="FV16" s="231" t="s">
        <v>73</v>
      </c>
      <c r="FW16" s="307"/>
      <c r="FX16" s="183" t="str">
        <f t="shared" si="124"/>
        <v>E845001</v>
      </c>
      <c r="FY16" s="203" t="str">
        <f t="shared" si="76"/>
        <v>NG</v>
      </c>
      <c r="FZ16" s="231" t="s">
        <v>73</v>
      </c>
      <c r="GA16" s="307"/>
      <c r="GB16" s="183" t="str">
        <f t="shared" si="125"/>
        <v>E845001</v>
      </c>
      <c r="GC16" s="203" t="str">
        <f t="shared" si="78"/>
        <v>NG</v>
      </c>
      <c r="GD16" s="231" t="s">
        <v>73</v>
      </c>
      <c r="GE16" s="307"/>
      <c r="GF16" s="183" t="str">
        <f t="shared" si="126"/>
        <v>E845001</v>
      </c>
      <c r="GG16" s="203" t="str">
        <f t="shared" si="80"/>
        <v>NG</v>
      </c>
      <c r="GH16" s="231" t="s">
        <v>73</v>
      </c>
      <c r="GI16" s="307"/>
      <c r="GJ16" s="183" t="str">
        <f t="shared" si="127"/>
        <v>E845001</v>
      </c>
      <c r="GK16" s="203" t="str">
        <f t="shared" si="82"/>
        <v>NG</v>
      </c>
      <c r="GL16" s="231" t="s">
        <v>73</v>
      </c>
      <c r="GM16" s="307"/>
      <c r="GN16" s="183" t="str">
        <f t="shared" si="128"/>
        <v>E845001</v>
      </c>
      <c r="GO16" s="203" t="str">
        <f t="shared" si="84"/>
        <v>NG</v>
      </c>
      <c r="GP16" s="231" t="s">
        <v>73</v>
      </c>
      <c r="GQ16" s="307"/>
      <c r="GR16" s="183" t="str">
        <f t="shared" si="129"/>
        <v>E845001</v>
      </c>
      <c r="GS16" s="203" t="str">
        <f t="shared" si="86"/>
        <v>NG</v>
      </c>
      <c r="GT16" s="202"/>
      <c r="GU16" s="202"/>
      <c r="GV16" s="173"/>
      <c r="GW16" s="173"/>
      <c r="GX16" s="173"/>
    </row>
    <row r="17" spans="1:206" ht="13">
      <c r="A17" s="200" t="s">
        <v>444</v>
      </c>
      <c r="B17" s="225">
        <v>9</v>
      </c>
      <c r="C17" s="229"/>
      <c r="D17" s="229"/>
      <c r="E17" s="229"/>
      <c r="F17" s="222" t="s">
        <v>40</v>
      </c>
      <c r="G17" s="222"/>
      <c r="H17" s="220"/>
      <c r="I17" s="309"/>
      <c r="J17" s="309" t="s">
        <v>444</v>
      </c>
      <c r="K17" s="209"/>
      <c r="L17" s="209"/>
      <c r="M17" s="296" t="s">
        <v>41</v>
      </c>
      <c r="N17" s="209"/>
      <c r="O17" s="315"/>
      <c r="P17" s="310">
        <v>6</v>
      </c>
      <c r="Q17" s="296">
        <v>8</v>
      </c>
      <c r="R17" s="309" t="s">
        <v>447</v>
      </c>
      <c r="S17" s="296"/>
      <c r="T17" s="296"/>
      <c r="U17" s="309" t="s">
        <v>450</v>
      </c>
      <c r="V17" s="315"/>
      <c r="W17" s="292" t="str">
        <f t="shared" si="0"/>
        <v>3</v>
      </c>
      <c r="X17" s="210" t="s">
        <v>464</v>
      </c>
      <c r="Y17" s="210">
        <v>8</v>
      </c>
      <c r="Z17" s="210">
        <v>8</v>
      </c>
      <c r="AA17" s="209" t="s">
        <v>447</v>
      </c>
      <c r="AB17" s="209" t="s">
        <v>450</v>
      </c>
      <c r="AC17" s="296"/>
      <c r="AD17" s="231" t="s">
        <v>463</v>
      </c>
      <c r="AE17" s="307"/>
      <c r="AF17" s="183" t="str">
        <f t="shared" si="87"/>
        <v>AUE31814</v>
      </c>
      <c r="AG17" s="203" t="str">
        <f t="shared" si="2"/>
        <v>NG</v>
      </c>
      <c r="AH17" s="231" t="s">
        <v>463</v>
      </c>
      <c r="AI17" s="307"/>
      <c r="AJ17" s="183" t="str">
        <f t="shared" si="88"/>
        <v>AUE31814</v>
      </c>
      <c r="AK17" s="203" t="str">
        <f t="shared" si="4"/>
        <v>NG</v>
      </c>
      <c r="AL17" s="231" t="s">
        <v>463</v>
      </c>
      <c r="AM17" s="307"/>
      <c r="AN17" s="183" t="str">
        <f t="shared" si="89"/>
        <v>AUE31814</v>
      </c>
      <c r="AO17" s="203" t="str">
        <f t="shared" si="6"/>
        <v>NG</v>
      </c>
      <c r="AP17" s="231" t="s">
        <v>463</v>
      </c>
      <c r="AQ17" s="307"/>
      <c r="AR17" s="183" t="str">
        <f t="shared" si="90"/>
        <v>AUE31814</v>
      </c>
      <c r="AS17" s="203" t="str">
        <f t="shared" si="8"/>
        <v>NG</v>
      </c>
      <c r="AT17" s="231" t="s">
        <v>463</v>
      </c>
      <c r="AU17" s="307"/>
      <c r="AV17" s="183" t="str">
        <f t="shared" si="91"/>
        <v>AUE31814</v>
      </c>
      <c r="AW17" s="203" t="str">
        <f t="shared" si="10"/>
        <v>NG</v>
      </c>
      <c r="AX17" s="231" t="s">
        <v>463</v>
      </c>
      <c r="AY17" s="307"/>
      <c r="AZ17" s="183" t="str">
        <f t="shared" si="92"/>
        <v>AUE31814</v>
      </c>
      <c r="BA17" s="203" t="str">
        <f t="shared" si="12"/>
        <v>NG</v>
      </c>
      <c r="BB17" s="231" t="s">
        <v>463</v>
      </c>
      <c r="BC17" s="307"/>
      <c r="BD17" s="183" t="str">
        <f t="shared" si="93"/>
        <v>AUE31814</v>
      </c>
      <c r="BE17" s="203" t="str">
        <f t="shared" si="14"/>
        <v>NG</v>
      </c>
      <c r="BF17" s="231" t="s">
        <v>463</v>
      </c>
      <c r="BG17" s="307"/>
      <c r="BH17" s="183" t="str">
        <f t="shared" si="94"/>
        <v>AUE31814</v>
      </c>
      <c r="BI17" s="203" t="str">
        <f t="shared" si="16"/>
        <v>NG</v>
      </c>
      <c r="BJ17" s="231" t="s">
        <v>463</v>
      </c>
      <c r="BK17" s="307"/>
      <c r="BL17" s="183" t="str">
        <f t="shared" si="95"/>
        <v>AUE31814</v>
      </c>
      <c r="BM17" s="203" t="str">
        <f t="shared" si="18"/>
        <v>NG</v>
      </c>
      <c r="BN17" s="231" t="s">
        <v>463</v>
      </c>
      <c r="BO17" s="307"/>
      <c r="BP17" s="183" t="str">
        <f t="shared" si="96"/>
        <v>AUE31814</v>
      </c>
      <c r="BQ17" s="203" t="str">
        <f t="shared" si="20"/>
        <v>NG</v>
      </c>
      <c r="BR17" s="231" t="s">
        <v>463</v>
      </c>
      <c r="BS17" s="307"/>
      <c r="BT17" s="183" t="str">
        <f t="shared" si="97"/>
        <v>AUE31814</v>
      </c>
      <c r="BU17" s="203" t="str">
        <f t="shared" si="22"/>
        <v>NG</v>
      </c>
      <c r="BV17" s="231" t="s">
        <v>463</v>
      </c>
      <c r="BW17" s="307"/>
      <c r="BX17" s="183" t="str">
        <f t="shared" si="98"/>
        <v>AUE31814</v>
      </c>
      <c r="BY17" s="203" t="str">
        <f t="shared" si="24"/>
        <v>NG</v>
      </c>
      <c r="BZ17" s="231" t="s">
        <v>463</v>
      </c>
      <c r="CA17" s="307"/>
      <c r="CB17" s="183" t="str">
        <f t="shared" si="99"/>
        <v>AUE31814</v>
      </c>
      <c r="CC17" s="203" t="str">
        <f t="shared" si="26"/>
        <v>NG</v>
      </c>
      <c r="CD17" s="231" t="s">
        <v>463</v>
      </c>
      <c r="CE17" s="307"/>
      <c r="CF17" s="183" t="str">
        <f t="shared" si="100"/>
        <v>AUE31814</v>
      </c>
      <c r="CG17" s="203" t="str">
        <f t="shared" si="28"/>
        <v>NG</v>
      </c>
      <c r="CH17" s="231" t="s">
        <v>463</v>
      </c>
      <c r="CI17" s="307"/>
      <c r="CJ17" s="183" t="str">
        <f t="shared" si="101"/>
        <v>AUE31814</v>
      </c>
      <c r="CK17" s="203" t="str">
        <f t="shared" si="30"/>
        <v>NG</v>
      </c>
      <c r="CL17" s="231" t="s">
        <v>463</v>
      </c>
      <c r="CM17" s="307"/>
      <c r="CN17" s="183" t="str">
        <f t="shared" si="102"/>
        <v>AUE31814</v>
      </c>
      <c r="CO17" s="203" t="str">
        <f t="shared" si="32"/>
        <v>NG</v>
      </c>
      <c r="CP17" s="231" t="s">
        <v>463</v>
      </c>
      <c r="CQ17" s="307"/>
      <c r="CR17" s="183" t="str">
        <f t="shared" si="103"/>
        <v>AUE31814</v>
      </c>
      <c r="CS17" s="203" t="str">
        <f t="shared" si="34"/>
        <v>NG</v>
      </c>
      <c r="CT17" s="231" t="s">
        <v>463</v>
      </c>
      <c r="CU17" s="307"/>
      <c r="CV17" s="183" t="str">
        <f t="shared" si="104"/>
        <v>AUE31814</v>
      </c>
      <c r="CW17" s="203" t="str">
        <f t="shared" si="36"/>
        <v>NG</v>
      </c>
      <c r="CX17" s="231" t="s">
        <v>463</v>
      </c>
      <c r="CY17" s="307"/>
      <c r="CZ17" s="183" t="str">
        <f t="shared" si="105"/>
        <v>AUE31814</v>
      </c>
      <c r="DA17" s="203" t="str">
        <f t="shared" si="38"/>
        <v>NG</v>
      </c>
      <c r="DB17" s="231" t="s">
        <v>463</v>
      </c>
      <c r="DC17" s="307"/>
      <c r="DD17" s="183" t="str">
        <f t="shared" si="106"/>
        <v>AUE31814</v>
      </c>
      <c r="DE17" s="203" t="str">
        <f t="shared" si="40"/>
        <v>NG</v>
      </c>
      <c r="DF17" s="231" t="s">
        <v>463</v>
      </c>
      <c r="DG17" s="307"/>
      <c r="DH17" s="183" t="str">
        <f t="shared" si="107"/>
        <v>AUE31814</v>
      </c>
      <c r="DI17" s="203" t="str">
        <f t="shared" si="42"/>
        <v>NG</v>
      </c>
      <c r="DJ17" s="231" t="s">
        <v>463</v>
      </c>
      <c r="DK17" s="307"/>
      <c r="DL17" s="183" t="str">
        <f t="shared" si="108"/>
        <v>AUE31814</v>
      </c>
      <c r="DM17" s="203" t="str">
        <f t="shared" si="44"/>
        <v>NG</v>
      </c>
      <c r="DN17" s="231" t="s">
        <v>463</v>
      </c>
      <c r="DO17" s="307"/>
      <c r="DP17" s="183" t="str">
        <f t="shared" si="109"/>
        <v>AUE31814</v>
      </c>
      <c r="DQ17" s="203" t="str">
        <f t="shared" si="46"/>
        <v>NG</v>
      </c>
      <c r="DR17" s="231" t="s">
        <v>463</v>
      </c>
      <c r="DS17" s="307"/>
      <c r="DT17" s="183" t="str">
        <f t="shared" si="110"/>
        <v>AUE31814</v>
      </c>
      <c r="DU17" s="203" t="str">
        <f t="shared" si="48"/>
        <v>NG</v>
      </c>
      <c r="DV17" s="231" t="s">
        <v>463</v>
      </c>
      <c r="DW17" s="307"/>
      <c r="DX17" s="183" t="str">
        <f t="shared" si="111"/>
        <v>AUE31814</v>
      </c>
      <c r="DY17" s="203" t="str">
        <f t="shared" si="50"/>
        <v>NG</v>
      </c>
      <c r="DZ17" s="231" t="s">
        <v>463</v>
      </c>
      <c r="EA17" s="307"/>
      <c r="EB17" s="183" t="str">
        <f t="shared" si="112"/>
        <v>AUE31814</v>
      </c>
      <c r="EC17" s="203" t="str">
        <f t="shared" si="52"/>
        <v>NG</v>
      </c>
      <c r="ED17" s="231" t="s">
        <v>463</v>
      </c>
      <c r="EE17" s="307"/>
      <c r="EF17" s="183" t="str">
        <f t="shared" si="113"/>
        <v>AUE31814</v>
      </c>
      <c r="EG17" s="203" t="str">
        <f t="shared" si="54"/>
        <v>NG</v>
      </c>
      <c r="EH17" s="231" t="s">
        <v>463</v>
      </c>
      <c r="EI17" s="307"/>
      <c r="EJ17" s="183" t="str">
        <f t="shared" si="114"/>
        <v>AUE31814</v>
      </c>
      <c r="EK17" s="203" t="str">
        <f t="shared" si="56"/>
        <v>NG</v>
      </c>
      <c r="EL17" s="231" t="s">
        <v>463</v>
      </c>
      <c r="EM17" s="307"/>
      <c r="EN17" s="183" t="str">
        <f t="shared" si="115"/>
        <v>AUE31814</v>
      </c>
      <c r="EO17" s="203" t="str">
        <f t="shared" si="58"/>
        <v>NG</v>
      </c>
      <c r="EP17" s="231" t="s">
        <v>463</v>
      </c>
      <c r="EQ17" s="307"/>
      <c r="ER17" s="183" t="str">
        <f t="shared" si="116"/>
        <v>AUE31814</v>
      </c>
      <c r="ES17" s="203" t="str">
        <f t="shared" si="60"/>
        <v>NG</v>
      </c>
      <c r="ET17" s="231" t="s">
        <v>463</v>
      </c>
      <c r="EU17" s="307"/>
      <c r="EV17" s="183" t="str">
        <f t="shared" si="117"/>
        <v>AUE31814</v>
      </c>
      <c r="EW17" s="203" t="str">
        <f t="shared" si="62"/>
        <v>NG</v>
      </c>
      <c r="EX17" s="231" t="s">
        <v>463</v>
      </c>
      <c r="EY17" s="307"/>
      <c r="EZ17" s="183" t="str">
        <f t="shared" si="118"/>
        <v>AUE31814</v>
      </c>
      <c r="FA17" s="203" t="str">
        <f t="shared" si="64"/>
        <v>NG</v>
      </c>
      <c r="FB17" s="231" t="s">
        <v>463</v>
      </c>
      <c r="FC17" s="307"/>
      <c r="FD17" s="183" t="str">
        <f t="shared" si="119"/>
        <v>AUE31814</v>
      </c>
      <c r="FE17" s="203" t="str">
        <f t="shared" si="66"/>
        <v>NG</v>
      </c>
      <c r="FF17" s="231" t="s">
        <v>463</v>
      </c>
      <c r="FG17" s="307"/>
      <c r="FH17" s="183" t="str">
        <f t="shared" si="120"/>
        <v>AUE31814</v>
      </c>
      <c r="FI17" s="203" t="str">
        <f t="shared" si="68"/>
        <v>NG</v>
      </c>
      <c r="FJ17" s="231" t="s">
        <v>463</v>
      </c>
      <c r="FK17" s="307"/>
      <c r="FL17" s="183" t="str">
        <f t="shared" si="121"/>
        <v>AUE31814</v>
      </c>
      <c r="FM17" s="203" t="str">
        <f t="shared" si="70"/>
        <v>NG</v>
      </c>
      <c r="FN17" s="231" t="s">
        <v>463</v>
      </c>
      <c r="FO17" s="307"/>
      <c r="FP17" s="183" t="str">
        <f t="shared" si="122"/>
        <v>AUE31814</v>
      </c>
      <c r="FQ17" s="203" t="str">
        <f t="shared" si="72"/>
        <v>NG</v>
      </c>
      <c r="FR17" s="231" t="s">
        <v>463</v>
      </c>
      <c r="FS17" s="307"/>
      <c r="FT17" s="183" t="str">
        <f t="shared" si="123"/>
        <v>AUE31814</v>
      </c>
      <c r="FU17" s="203" t="str">
        <f t="shared" si="74"/>
        <v>NG</v>
      </c>
      <c r="FV17" s="231" t="s">
        <v>463</v>
      </c>
      <c r="FW17" s="307"/>
      <c r="FX17" s="183" t="str">
        <f t="shared" si="124"/>
        <v>AUE31814</v>
      </c>
      <c r="FY17" s="203" t="str">
        <f t="shared" si="76"/>
        <v>NG</v>
      </c>
      <c r="FZ17" s="231" t="s">
        <v>463</v>
      </c>
      <c r="GA17" s="307"/>
      <c r="GB17" s="183" t="str">
        <f t="shared" si="125"/>
        <v>AUE31814</v>
      </c>
      <c r="GC17" s="203" t="str">
        <f t="shared" si="78"/>
        <v>NG</v>
      </c>
      <c r="GD17" s="231" t="s">
        <v>463</v>
      </c>
      <c r="GE17" s="307"/>
      <c r="GF17" s="183" t="str">
        <f t="shared" si="126"/>
        <v>AUE31814</v>
      </c>
      <c r="GG17" s="203" t="str">
        <f t="shared" si="80"/>
        <v>NG</v>
      </c>
      <c r="GH17" s="231" t="s">
        <v>463</v>
      </c>
      <c r="GI17" s="307"/>
      <c r="GJ17" s="183" t="str">
        <f t="shared" si="127"/>
        <v>AUE31814</v>
      </c>
      <c r="GK17" s="203" t="str">
        <f t="shared" si="82"/>
        <v>NG</v>
      </c>
      <c r="GL17" s="231" t="s">
        <v>463</v>
      </c>
      <c r="GM17" s="307"/>
      <c r="GN17" s="183" t="str">
        <f t="shared" si="128"/>
        <v>AUE31814</v>
      </c>
      <c r="GO17" s="203" t="str">
        <f t="shared" si="84"/>
        <v>NG</v>
      </c>
      <c r="GP17" s="231" t="s">
        <v>463</v>
      </c>
      <c r="GQ17" s="307"/>
      <c r="GR17" s="183" t="str">
        <f t="shared" si="129"/>
        <v>AUE31814</v>
      </c>
      <c r="GS17" s="203" t="str">
        <f t="shared" si="86"/>
        <v>NG</v>
      </c>
      <c r="GT17" s="202"/>
      <c r="GU17" s="202"/>
      <c r="GV17" s="173"/>
      <c r="GW17" s="173"/>
      <c r="GX17" s="173"/>
    </row>
    <row r="18" spans="1:206" ht="39.5">
      <c r="A18" s="200" t="s">
        <v>444</v>
      </c>
      <c r="B18" s="225">
        <v>10</v>
      </c>
      <c r="C18" s="229"/>
      <c r="D18" s="229"/>
      <c r="E18" s="229"/>
      <c r="F18" s="221" t="s">
        <v>42</v>
      </c>
      <c r="G18" s="222"/>
      <c r="H18" s="220"/>
      <c r="I18" s="309"/>
      <c r="J18" s="309" t="s">
        <v>444</v>
      </c>
      <c r="K18" s="209"/>
      <c r="L18" s="209"/>
      <c r="M18" s="319" t="s">
        <v>462</v>
      </c>
      <c r="N18" s="209"/>
      <c r="O18" s="315" t="s">
        <v>461</v>
      </c>
      <c r="P18" s="310">
        <v>7</v>
      </c>
      <c r="Q18" s="296">
        <v>15</v>
      </c>
      <c r="R18" s="309" t="s">
        <v>447</v>
      </c>
      <c r="S18" s="296"/>
      <c r="T18" s="296"/>
      <c r="U18" s="309" t="s">
        <v>450</v>
      </c>
      <c r="V18" s="315"/>
      <c r="W18" s="292" t="str">
        <f t="shared" si="0"/>
        <v>3</v>
      </c>
      <c r="X18" s="210" t="s">
        <v>460</v>
      </c>
      <c r="Y18" s="210">
        <v>7</v>
      </c>
      <c r="Z18" s="210">
        <v>15</v>
      </c>
      <c r="AA18" s="209" t="s">
        <v>447</v>
      </c>
      <c r="AB18" s="209" t="s">
        <v>450</v>
      </c>
      <c r="AC18" s="296"/>
      <c r="AD18" s="231" t="s">
        <v>459</v>
      </c>
      <c r="AE18" s="307"/>
      <c r="AF18" s="183" t="str">
        <f t="shared" si="87"/>
        <v>192.168.134.246</v>
      </c>
      <c r="AG18" s="203" t="str">
        <f t="shared" si="2"/>
        <v>NG</v>
      </c>
      <c r="AH18" s="231" t="s">
        <v>459</v>
      </c>
      <c r="AI18" s="307"/>
      <c r="AJ18" s="183" t="str">
        <f t="shared" si="88"/>
        <v>192.168.134.246</v>
      </c>
      <c r="AK18" s="203" t="str">
        <f t="shared" si="4"/>
        <v>NG</v>
      </c>
      <c r="AL18" s="231" t="s">
        <v>459</v>
      </c>
      <c r="AM18" s="307"/>
      <c r="AN18" s="183" t="str">
        <f t="shared" si="89"/>
        <v>192.168.134.246</v>
      </c>
      <c r="AO18" s="203" t="str">
        <f t="shared" si="6"/>
        <v>NG</v>
      </c>
      <c r="AP18" s="231" t="s">
        <v>459</v>
      </c>
      <c r="AQ18" s="307"/>
      <c r="AR18" s="183" t="str">
        <f t="shared" si="90"/>
        <v>192.168.134.246</v>
      </c>
      <c r="AS18" s="203" t="str">
        <f t="shared" si="8"/>
        <v>NG</v>
      </c>
      <c r="AT18" s="231" t="s">
        <v>459</v>
      </c>
      <c r="AU18" s="307"/>
      <c r="AV18" s="183" t="str">
        <f t="shared" si="91"/>
        <v>192.168.134.246</v>
      </c>
      <c r="AW18" s="203" t="str">
        <f t="shared" si="10"/>
        <v>NG</v>
      </c>
      <c r="AX18" s="231" t="s">
        <v>459</v>
      </c>
      <c r="AY18" s="307"/>
      <c r="AZ18" s="183" t="str">
        <f t="shared" si="92"/>
        <v>192.168.134.246</v>
      </c>
      <c r="BA18" s="203" t="str">
        <f t="shared" si="12"/>
        <v>NG</v>
      </c>
      <c r="BB18" s="231" t="s">
        <v>459</v>
      </c>
      <c r="BC18" s="307"/>
      <c r="BD18" s="183" t="str">
        <f t="shared" si="93"/>
        <v>192.168.134.246</v>
      </c>
      <c r="BE18" s="203" t="str">
        <f t="shared" si="14"/>
        <v>NG</v>
      </c>
      <c r="BF18" s="231" t="s">
        <v>459</v>
      </c>
      <c r="BG18" s="307"/>
      <c r="BH18" s="183" t="str">
        <f t="shared" si="94"/>
        <v>192.168.134.246</v>
      </c>
      <c r="BI18" s="203" t="str">
        <f t="shared" si="16"/>
        <v>NG</v>
      </c>
      <c r="BJ18" s="231" t="s">
        <v>459</v>
      </c>
      <c r="BK18" s="307"/>
      <c r="BL18" s="183" t="str">
        <f t="shared" si="95"/>
        <v>192.168.134.246</v>
      </c>
      <c r="BM18" s="203" t="str">
        <f t="shared" si="18"/>
        <v>NG</v>
      </c>
      <c r="BN18" s="231" t="s">
        <v>459</v>
      </c>
      <c r="BO18" s="307"/>
      <c r="BP18" s="183" t="str">
        <f t="shared" si="96"/>
        <v>192.168.134.246</v>
      </c>
      <c r="BQ18" s="203" t="str">
        <f t="shared" si="20"/>
        <v>NG</v>
      </c>
      <c r="BR18" s="231" t="s">
        <v>459</v>
      </c>
      <c r="BS18" s="307"/>
      <c r="BT18" s="183" t="str">
        <f t="shared" si="97"/>
        <v>192.168.134.246</v>
      </c>
      <c r="BU18" s="203" t="str">
        <f t="shared" si="22"/>
        <v>NG</v>
      </c>
      <c r="BV18" s="231" t="s">
        <v>459</v>
      </c>
      <c r="BW18" s="307"/>
      <c r="BX18" s="183" t="str">
        <f t="shared" si="98"/>
        <v>192.168.134.246</v>
      </c>
      <c r="BY18" s="203" t="str">
        <f t="shared" si="24"/>
        <v>NG</v>
      </c>
      <c r="BZ18" s="231" t="s">
        <v>459</v>
      </c>
      <c r="CA18" s="307"/>
      <c r="CB18" s="183" t="str">
        <f t="shared" si="99"/>
        <v>192.168.134.246</v>
      </c>
      <c r="CC18" s="203" t="str">
        <f t="shared" si="26"/>
        <v>NG</v>
      </c>
      <c r="CD18" s="231" t="s">
        <v>459</v>
      </c>
      <c r="CE18" s="307"/>
      <c r="CF18" s="183" t="str">
        <f t="shared" si="100"/>
        <v>192.168.134.246</v>
      </c>
      <c r="CG18" s="203" t="str">
        <f t="shared" si="28"/>
        <v>NG</v>
      </c>
      <c r="CH18" s="231" t="s">
        <v>459</v>
      </c>
      <c r="CI18" s="307"/>
      <c r="CJ18" s="183" t="str">
        <f t="shared" si="101"/>
        <v>192.168.134.246</v>
      </c>
      <c r="CK18" s="203" t="str">
        <f t="shared" si="30"/>
        <v>NG</v>
      </c>
      <c r="CL18" s="231" t="s">
        <v>459</v>
      </c>
      <c r="CM18" s="307"/>
      <c r="CN18" s="183" t="str">
        <f t="shared" si="102"/>
        <v>192.168.134.246</v>
      </c>
      <c r="CO18" s="203" t="str">
        <f t="shared" si="32"/>
        <v>NG</v>
      </c>
      <c r="CP18" s="231" t="s">
        <v>459</v>
      </c>
      <c r="CQ18" s="307"/>
      <c r="CR18" s="183" t="str">
        <f t="shared" si="103"/>
        <v>192.168.134.246</v>
      </c>
      <c r="CS18" s="203" t="str">
        <f t="shared" si="34"/>
        <v>NG</v>
      </c>
      <c r="CT18" s="231" t="s">
        <v>459</v>
      </c>
      <c r="CU18" s="307"/>
      <c r="CV18" s="183" t="str">
        <f t="shared" si="104"/>
        <v>192.168.134.246</v>
      </c>
      <c r="CW18" s="203" t="str">
        <f t="shared" si="36"/>
        <v>NG</v>
      </c>
      <c r="CX18" s="231" t="s">
        <v>459</v>
      </c>
      <c r="CY18" s="307"/>
      <c r="CZ18" s="183" t="str">
        <f t="shared" si="105"/>
        <v>192.168.134.246</v>
      </c>
      <c r="DA18" s="203" t="str">
        <f t="shared" si="38"/>
        <v>NG</v>
      </c>
      <c r="DB18" s="231" t="s">
        <v>459</v>
      </c>
      <c r="DC18" s="307"/>
      <c r="DD18" s="183" t="str">
        <f t="shared" si="106"/>
        <v>192.168.134.246</v>
      </c>
      <c r="DE18" s="203" t="str">
        <f t="shared" si="40"/>
        <v>NG</v>
      </c>
      <c r="DF18" s="231" t="s">
        <v>459</v>
      </c>
      <c r="DG18" s="307"/>
      <c r="DH18" s="183" t="str">
        <f t="shared" si="107"/>
        <v>192.168.134.246</v>
      </c>
      <c r="DI18" s="203" t="str">
        <f t="shared" si="42"/>
        <v>NG</v>
      </c>
      <c r="DJ18" s="231" t="s">
        <v>459</v>
      </c>
      <c r="DK18" s="307"/>
      <c r="DL18" s="183" t="str">
        <f t="shared" si="108"/>
        <v>192.168.134.246</v>
      </c>
      <c r="DM18" s="203" t="str">
        <f t="shared" si="44"/>
        <v>NG</v>
      </c>
      <c r="DN18" s="231" t="s">
        <v>459</v>
      </c>
      <c r="DO18" s="307"/>
      <c r="DP18" s="183" t="str">
        <f t="shared" si="109"/>
        <v>192.168.134.246</v>
      </c>
      <c r="DQ18" s="203" t="str">
        <f t="shared" si="46"/>
        <v>NG</v>
      </c>
      <c r="DR18" s="231" t="s">
        <v>459</v>
      </c>
      <c r="DS18" s="307"/>
      <c r="DT18" s="183" t="str">
        <f t="shared" si="110"/>
        <v>192.168.134.246</v>
      </c>
      <c r="DU18" s="203" t="str">
        <f t="shared" si="48"/>
        <v>NG</v>
      </c>
      <c r="DV18" s="231" t="s">
        <v>459</v>
      </c>
      <c r="DW18" s="307"/>
      <c r="DX18" s="183" t="str">
        <f t="shared" si="111"/>
        <v>192.168.134.246</v>
      </c>
      <c r="DY18" s="203" t="str">
        <f t="shared" si="50"/>
        <v>NG</v>
      </c>
      <c r="DZ18" s="231" t="s">
        <v>459</v>
      </c>
      <c r="EA18" s="307"/>
      <c r="EB18" s="183" t="str">
        <f t="shared" si="112"/>
        <v>192.168.134.246</v>
      </c>
      <c r="EC18" s="203" t="str">
        <f t="shared" si="52"/>
        <v>NG</v>
      </c>
      <c r="ED18" s="231" t="s">
        <v>459</v>
      </c>
      <c r="EE18" s="307"/>
      <c r="EF18" s="183" t="str">
        <f t="shared" si="113"/>
        <v>192.168.134.246</v>
      </c>
      <c r="EG18" s="203" t="str">
        <f t="shared" si="54"/>
        <v>NG</v>
      </c>
      <c r="EH18" s="231" t="s">
        <v>459</v>
      </c>
      <c r="EI18" s="307"/>
      <c r="EJ18" s="183" t="str">
        <f t="shared" si="114"/>
        <v>192.168.134.246</v>
      </c>
      <c r="EK18" s="203" t="str">
        <f t="shared" si="56"/>
        <v>NG</v>
      </c>
      <c r="EL18" s="231" t="s">
        <v>459</v>
      </c>
      <c r="EM18" s="307"/>
      <c r="EN18" s="183" t="str">
        <f t="shared" si="115"/>
        <v>192.168.134.246</v>
      </c>
      <c r="EO18" s="203" t="str">
        <f t="shared" si="58"/>
        <v>NG</v>
      </c>
      <c r="EP18" s="231" t="s">
        <v>459</v>
      </c>
      <c r="EQ18" s="307"/>
      <c r="ER18" s="183" t="str">
        <f t="shared" si="116"/>
        <v>192.168.134.246</v>
      </c>
      <c r="ES18" s="203" t="str">
        <f t="shared" si="60"/>
        <v>NG</v>
      </c>
      <c r="ET18" s="231" t="s">
        <v>459</v>
      </c>
      <c r="EU18" s="307"/>
      <c r="EV18" s="183" t="str">
        <f t="shared" si="117"/>
        <v>192.168.134.246</v>
      </c>
      <c r="EW18" s="203" t="str">
        <f t="shared" si="62"/>
        <v>NG</v>
      </c>
      <c r="EX18" s="231" t="s">
        <v>459</v>
      </c>
      <c r="EY18" s="307"/>
      <c r="EZ18" s="183" t="str">
        <f t="shared" si="118"/>
        <v>192.168.134.246</v>
      </c>
      <c r="FA18" s="203" t="str">
        <f t="shared" si="64"/>
        <v>NG</v>
      </c>
      <c r="FB18" s="231" t="s">
        <v>459</v>
      </c>
      <c r="FC18" s="307"/>
      <c r="FD18" s="183" t="str">
        <f t="shared" si="119"/>
        <v>192.168.134.246</v>
      </c>
      <c r="FE18" s="203" t="str">
        <f t="shared" si="66"/>
        <v>NG</v>
      </c>
      <c r="FF18" s="231" t="s">
        <v>459</v>
      </c>
      <c r="FG18" s="307"/>
      <c r="FH18" s="183" t="str">
        <f t="shared" si="120"/>
        <v>192.168.134.246</v>
      </c>
      <c r="FI18" s="203" t="str">
        <f t="shared" si="68"/>
        <v>NG</v>
      </c>
      <c r="FJ18" s="231" t="s">
        <v>459</v>
      </c>
      <c r="FK18" s="307"/>
      <c r="FL18" s="183" t="str">
        <f t="shared" si="121"/>
        <v>192.168.134.246</v>
      </c>
      <c r="FM18" s="203" t="str">
        <f t="shared" si="70"/>
        <v>NG</v>
      </c>
      <c r="FN18" s="231" t="s">
        <v>459</v>
      </c>
      <c r="FO18" s="307"/>
      <c r="FP18" s="183" t="str">
        <f t="shared" si="122"/>
        <v>192.168.134.246</v>
      </c>
      <c r="FQ18" s="203" t="str">
        <f t="shared" si="72"/>
        <v>NG</v>
      </c>
      <c r="FR18" s="231" t="s">
        <v>459</v>
      </c>
      <c r="FS18" s="307"/>
      <c r="FT18" s="183" t="str">
        <f t="shared" si="123"/>
        <v>192.168.134.246</v>
      </c>
      <c r="FU18" s="203" t="str">
        <f t="shared" si="74"/>
        <v>NG</v>
      </c>
      <c r="FV18" s="231" t="s">
        <v>459</v>
      </c>
      <c r="FW18" s="307"/>
      <c r="FX18" s="183" t="str">
        <f t="shared" si="124"/>
        <v>192.168.134.246</v>
      </c>
      <c r="FY18" s="203" t="str">
        <f t="shared" si="76"/>
        <v>NG</v>
      </c>
      <c r="FZ18" s="231" t="s">
        <v>459</v>
      </c>
      <c r="GA18" s="307"/>
      <c r="GB18" s="183" t="str">
        <f t="shared" si="125"/>
        <v>192.168.134.246</v>
      </c>
      <c r="GC18" s="203" t="str">
        <f t="shared" si="78"/>
        <v>NG</v>
      </c>
      <c r="GD18" s="231" t="s">
        <v>459</v>
      </c>
      <c r="GE18" s="307"/>
      <c r="GF18" s="183" t="str">
        <f t="shared" si="126"/>
        <v>192.168.134.246</v>
      </c>
      <c r="GG18" s="203" t="str">
        <f t="shared" si="80"/>
        <v>NG</v>
      </c>
      <c r="GH18" s="231" t="s">
        <v>459</v>
      </c>
      <c r="GI18" s="307"/>
      <c r="GJ18" s="183" t="str">
        <f t="shared" si="127"/>
        <v>192.168.134.246</v>
      </c>
      <c r="GK18" s="203" t="str">
        <f t="shared" si="82"/>
        <v>NG</v>
      </c>
      <c r="GL18" s="231" t="s">
        <v>459</v>
      </c>
      <c r="GM18" s="307"/>
      <c r="GN18" s="183" t="str">
        <f t="shared" si="128"/>
        <v>192.168.134.246</v>
      </c>
      <c r="GO18" s="203" t="str">
        <f t="shared" si="84"/>
        <v>NG</v>
      </c>
      <c r="GP18" s="231" t="s">
        <v>459</v>
      </c>
      <c r="GQ18" s="307"/>
      <c r="GR18" s="183" t="str">
        <f t="shared" si="129"/>
        <v>192.168.134.246</v>
      </c>
      <c r="GS18" s="203" t="str">
        <f t="shared" si="86"/>
        <v>NG</v>
      </c>
      <c r="GT18" s="202"/>
      <c r="GU18" s="202"/>
      <c r="GV18" s="201"/>
      <c r="GW18" s="201"/>
      <c r="GX18" s="201"/>
    </row>
    <row r="19" spans="1:206" ht="65">
      <c r="A19" s="200" t="s">
        <v>444</v>
      </c>
      <c r="B19" s="317">
        <v>11</v>
      </c>
      <c r="C19" s="229"/>
      <c r="D19" s="229"/>
      <c r="E19" s="229"/>
      <c r="F19" s="233" t="s">
        <v>43</v>
      </c>
      <c r="G19" s="233"/>
      <c r="H19" s="232"/>
      <c r="I19" s="294"/>
      <c r="J19" s="294" t="s">
        <v>444</v>
      </c>
      <c r="K19" s="251"/>
      <c r="L19" s="251"/>
      <c r="M19" s="312" t="s">
        <v>458</v>
      </c>
      <c r="N19" s="318" t="s">
        <v>457</v>
      </c>
      <c r="O19" s="316"/>
      <c r="P19" s="310">
        <v>8</v>
      </c>
      <c r="Q19" s="295">
        <v>6</v>
      </c>
      <c r="R19" s="309" t="s">
        <v>447</v>
      </c>
      <c r="S19" s="296"/>
      <c r="T19" s="296"/>
      <c r="U19" s="309" t="s">
        <v>450</v>
      </c>
      <c r="V19" s="315"/>
      <c r="W19" s="314">
        <v>3</v>
      </c>
      <c r="X19" s="313" t="s">
        <v>456</v>
      </c>
      <c r="Y19" s="313">
        <v>6</v>
      </c>
      <c r="Z19" s="313">
        <v>6</v>
      </c>
      <c r="AA19" s="251" t="s">
        <v>447</v>
      </c>
      <c r="AB19" s="209" t="s">
        <v>450</v>
      </c>
      <c r="AC19" s="295"/>
      <c r="AD19" s="231" t="s">
        <v>74</v>
      </c>
      <c r="AE19" s="307"/>
      <c r="AF19" s="183" t="str">
        <f t="shared" si="87"/>
        <v>ORANGE</v>
      </c>
      <c r="AG19" s="203" t="str">
        <f t="shared" si="2"/>
        <v>NG</v>
      </c>
      <c r="AH19" s="231" t="s">
        <v>74</v>
      </c>
      <c r="AI19" s="307"/>
      <c r="AJ19" s="183" t="str">
        <f t="shared" si="88"/>
        <v>ORANGE</v>
      </c>
      <c r="AK19" s="203" t="str">
        <f t="shared" si="4"/>
        <v>NG</v>
      </c>
      <c r="AL19" s="231" t="s">
        <v>74</v>
      </c>
      <c r="AM19" s="307"/>
      <c r="AN19" s="183" t="str">
        <f t="shared" si="89"/>
        <v>ORANGE</v>
      </c>
      <c r="AO19" s="203" t="str">
        <f t="shared" si="6"/>
        <v>NG</v>
      </c>
      <c r="AP19" s="231" t="s">
        <v>74</v>
      </c>
      <c r="AQ19" s="307"/>
      <c r="AR19" s="183" t="str">
        <f t="shared" si="90"/>
        <v>ORANGE</v>
      </c>
      <c r="AS19" s="203" t="str">
        <f t="shared" si="8"/>
        <v>NG</v>
      </c>
      <c r="AT19" s="231" t="s">
        <v>74</v>
      </c>
      <c r="AU19" s="307"/>
      <c r="AV19" s="183" t="str">
        <f t="shared" si="91"/>
        <v>ORANGE</v>
      </c>
      <c r="AW19" s="203" t="str">
        <f t="shared" si="10"/>
        <v>NG</v>
      </c>
      <c r="AX19" s="231" t="s">
        <v>74</v>
      </c>
      <c r="AY19" s="307"/>
      <c r="AZ19" s="183" t="str">
        <f t="shared" si="92"/>
        <v>ORANGE</v>
      </c>
      <c r="BA19" s="203" t="str">
        <f t="shared" si="12"/>
        <v>NG</v>
      </c>
      <c r="BB19" s="231" t="s">
        <v>74</v>
      </c>
      <c r="BC19" s="307"/>
      <c r="BD19" s="183" t="str">
        <f t="shared" si="93"/>
        <v>ORANGE</v>
      </c>
      <c r="BE19" s="203" t="str">
        <f t="shared" si="14"/>
        <v>NG</v>
      </c>
      <c r="BF19" s="231" t="s">
        <v>74</v>
      </c>
      <c r="BG19" s="307"/>
      <c r="BH19" s="183" t="str">
        <f t="shared" si="94"/>
        <v>ORANGE</v>
      </c>
      <c r="BI19" s="203" t="str">
        <f t="shared" si="16"/>
        <v>NG</v>
      </c>
      <c r="BJ19" s="231" t="s">
        <v>74</v>
      </c>
      <c r="BK19" s="307"/>
      <c r="BL19" s="183" t="str">
        <f t="shared" si="95"/>
        <v>ORANGE</v>
      </c>
      <c r="BM19" s="203" t="str">
        <f t="shared" si="18"/>
        <v>NG</v>
      </c>
      <c r="BN19" s="231" t="s">
        <v>74</v>
      </c>
      <c r="BO19" s="307"/>
      <c r="BP19" s="183" t="str">
        <f t="shared" si="96"/>
        <v>ORANGE</v>
      </c>
      <c r="BQ19" s="203" t="str">
        <f t="shared" si="20"/>
        <v>NG</v>
      </c>
      <c r="BR19" s="231" t="s">
        <v>74</v>
      </c>
      <c r="BS19" s="307"/>
      <c r="BT19" s="183" t="str">
        <f t="shared" si="97"/>
        <v>ORANGE</v>
      </c>
      <c r="BU19" s="203" t="str">
        <f t="shared" si="22"/>
        <v>NG</v>
      </c>
      <c r="BV19" s="231" t="s">
        <v>74</v>
      </c>
      <c r="BW19" s="307"/>
      <c r="BX19" s="183" t="str">
        <f t="shared" si="98"/>
        <v>ORANGE</v>
      </c>
      <c r="BY19" s="203" t="str">
        <f t="shared" si="24"/>
        <v>NG</v>
      </c>
      <c r="BZ19" s="231" t="s">
        <v>74</v>
      </c>
      <c r="CA19" s="307"/>
      <c r="CB19" s="183" t="str">
        <f t="shared" si="99"/>
        <v>ORANGE</v>
      </c>
      <c r="CC19" s="203" t="str">
        <f t="shared" si="26"/>
        <v>NG</v>
      </c>
      <c r="CD19" s="231" t="s">
        <v>74</v>
      </c>
      <c r="CE19" s="307"/>
      <c r="CF19" s="183" t="str">
        <f t="shared" si="100"/>
        <v>ORANGE</v>
      </c>
      <c r="CG19" s="203" t="str">
        <f t="shared" si="28"/>
        <v>NG</v>
      </c>
      <c r="CH19" s="231" t="s">
        <v>74</v>
      </c>
      <c r="CI19" s="307"/>
      <c r="CJ19" s="183" t="str">
        <f t="shared" si="101"/>
        <v>ORANGE</v>
      </c>
      <c r="CK19" s="203" t="str">
        <f t="shared" si="30"/>
        <v>NG</v>
      </c>
      <c r="CL19" s="231" t="s">
        <v>74</v>
      </c>
      <c r="CM19" s="307"/>
      <c r="CN19" s="183" t="str">
        <f t="shared" si="102"/>
        <v>ORANGE</v>
      </c>
      <c r="CO19" s="203" t="str">
        <f t="shared" si="32"/>
        <v>NG</v>
      </c>
      <c r="CP19" s="231" t="s">
        <v>74</v>
      </c>
      <c r="CQ19" s="307"/>
      <c r="CR19" s="183" t="str">
        <f t="shared" si="103"/>
        <v>ORANGE</v>
      </c>
      <c r="CS19" s="203" t="str">
        <f t="shared" si="34"/>
        <v>NG</v>
      </c>
      <c r="CT19" s="231" t="s">
        <v>74</v>
      </c>
      <c r="CU19" s="307"/>
      <c r="CV19" s="183" t="str">
        <f t="shared" si="104"/>
        <v>ORANGE</v>
      </c>
      <c r="CW19" s="203" t="str">
        <f t="shared" si="36"/>
        <v>NG</v>
      </c>
      <c r="CX19" s="231" t="s">
        <v>74</v>
      </c>
      <c r="CY19" s="307"/>
      <c r="CZ19" s="183" t="str">
        <f t="shared" si="105"/>
        <v>ORANGE</v>
      </c>
      <c r="DA19" s="203" t="str">
        <f t="shared" si="38"/>
        <v>NG</v>
      </c>
      <c r="DB19" s="231" t="s">
        <v>74</v>
      </c>
      <c r="DC19" s="307"/>
      <c r="DD19" s="183" t="str">
        <f t="shared" si="106"/>
        <v>ORANGE</v>
      </c>
      <c r="DE19" s="203" t="str">
        <f t="shared" si="40"/>
        <v>NG</v>
      </c>
      <c r="DF19" s="231" t="s">
        <v>74</v>
      </c>
      <c r="DG19" s="307"/>
      <c r="DH19" s="183" t="str">
        <f t="shared" si="107"/>
        <v>ORANGE</v>
      </c>
      <c r="DI19" s="203" t="str">
        <f t="shared" si="42"/>
        <v>NG</v>
      </c>
      <c r="DJ19" s="231" t="s">
        <v>74</v>
      </c>
      <c r="DK19" s="307"/>
      <c r="DL19" s="183" t="str">
        <f t="shared" si="108"/>
        <v>ORANGE</v>
      </c>
      <c r="DM19" s="203" t="str">
        <f t="shared" si="44"/>
        <v>NG</v>
      </c>
      <c r="DN19" s="231" t="s">
        <v>74</v>
      </c>
      <c r="DO19" s="307"/>
      <c r="DP19" s="183" t="str">
        <f t="shared" si="109"/>
        <v>ORANGE</v>
      </c>
      <c r="DQ19" s="203" t="str">
        <f t="shared" si="46"/>
        <v>NG</v>
      </c>
      <c r="DR19" s="231" t="s">
        <v>74</v>
      </c>
      <c r="DS19" s="307"/>
      <c r="DT19" s="183" t="str">
        <f t="shared" si="110"/>
        <v>ORANGE</v>
      </c>
      <c r="DU19" s="203" t="str">
        <f t="shared" si="48"/>
        <v>NG</v>
      </c>
      <c r="DV19" s="231" t="s">
        <v>74</v>
      </c>
      <c r="DW19" s="307"/>
      <c r="DX19" s="183" t="str">
        <f t="shared" si="111"/>
        <v>ORANGE</v>
      </c>
      <c r="DY19" s="203" t="str">
        <f t="shared" si="50"/>
        <v>NG</v>
      </c>
      <c r="DZ19" s="231" t="s">
        <v>74</v>
      </c>
      <c r="EA19" s="307"/>
      <c r="EB19" s="183" t="str">
        <f t="shared" si="112"/>
        <v>ORANGE</v>
      </c>
      <c r="EC19" s="203" t="str">
        <f t="shared" si="52"/>
        <v>NG</v>
      </c>
      <c r="ED19" s="231" t="s">
        <v>74</v>
      </c>
      <c r="EE19" s="307"/>
      <c r="EF19" s="183" t="str">
        <f t="shared" si="113"/>
        <v>ORANGE</v>
      </c>
      <c r="EG19" s="203" t="str">
        <f t="shared" si="54"/>
        <v>NG</v>
      </c>
      <c r="EH19" s="231" t="s">
        <v>74</v>
      </c>
      <c r="EI19" s="307"/>
      <c r="EJ19" s="183" t="str">
        <f t="shared" si="114"/>
        <v>ORANGE</v>
      </c>
      <c r="EK19" s="203" t="str">
        <f t="shared" si="56"/>
        <v>NG</v>
      </c>
      <c r="EL19" s="231" t="s">
        <v>74</v>
      </c>
      <c r="EM19" s="307"/>
      <c r="EN19" s="183" t="str">
        <f t="shared" si="115"/>
        <v>ORANGE</v>
      </c>
      <c r="EO19" s="203" t="str">
        <f t="shared" si="58"/>
        <v>NG</v>
      </c>
      <c r="EP19" s="231" t="s">
        <v>74</v>
      </c>
      <c r="EQ19" s="307"/>
      <c r="ER19" s="183" t="str">
        <f t="shared" si="116"/>
        <v>ORANGE</v>
      </c>
      <c r="ES19" s="203" t="str">
        <f t="shared" si="60"/>
        <v>NG</v>
      </c>
      <c r="ET19" s="231" t="s">
        <v>74</v>
      </c>
      <c r="EU19" s="307"/>
      <c r="EV19" s="183" t="str">
        <f t="shared" si="117"/>
        <v>ORANGE</v>
      </c>
      <c r="EW19" s="203" t="str">
        <f t="shared" si="62"/>
        <v>NG</v>
      </c>
      <c r="EX19" s="231" t="s">
        <v>74</v>
      </c>
      <c r="EY19" s="307"/>
      <c r="EZ19" s="183" t="str">
        <f t="shared" si="118"/>
        <v>ORANGE</v>
      </c>
      <c r="FA19" s="203" t="str">
        <f t="shared" si="64"/>
        <v>NG</v>
      </c>
      <c r="FB19" s="231" t="s">
        <v>74</v>
      </c>
      <c r="FC19" s="307"/>
      <c r="FD19" s="183" t="str">
        <f t="shared" si="119"/>
        <v>ORANGE</v>
      </c>
      <c r="FE19" s="203" t="str">
        <f t="shared" si="66"/>
        <v>NG</v>
      </c>
      <c r="FF19" s="231" t="s">
        <v>74</v>
      </c>
      <c r="FG19" s="307"/>
      <c r="FH19" s="183" t="str">
        <f t="shared" si="120"/>
        <v>ORANGE</v>
      </c>
      <c r="FI19" s="203" t="str">
        <f t="shared" si="68"/>
        <v>NG</v>
      </c>
      <c r="FJ19" s="231" t="s">
        <v>74</v>
      </c>
      <c r="FK19" s="307"/>
      <c r="FL19" s="183" t="str">
        <f t="shared" si="121"/>
        <v>ORANGE</v>
      </c>
      <c r="FM19" s="203" t="str">
        <f t="shared" si="70"/>
        <v>NG</v>
      </c>
      <c r="FN19" s="231" t="s">
        <v>74</v>
      </c>
      <c r="FO19" s="307"/>
      <c r="FP19" s="183" t="str">
        <f t="shared" si="122"/>
        <v>ORANGE</v>
      </c>
      <c r="FQ19" s="203" t="str">
        <f t="shared" si="72"/>
        <v>NG</v>
      </c>
      <c r="FR19" s="231" t="s">
        <v>74</v>
      </c>
      <c r="FS19" s="307"/>
      <c r="FT19" s="183" t="str">
        <f t="shared" si="123"/>
        <v>ORANGE</v>
      </c>
      <c r="FU19" s="203" t="str">
        <f t="shared" si="74"/>
        <v>NG</v>
      </c>
      <c r="FV19" s="231" t="s">
        <v>74</v>
      </c>
      <c r="FW19" s="307"/>
      <c r="FX19" s="183" t="str">
        <f t="shared" si="124"/>
        <v>ORANGE</v>
      </c>
      <c r="FY19" s="203" t="str">
        <f t="shared" si="76"/>
        <v>NG</v>
      </c>
      <c r="FZ19" s="231" t="s">
        <v>74</v>
      </c>
      <c r="GA19" s="307"/>
      <c r="GB19" s="183" t="str">
        <f t="shared" si="125"/>
        <v>ORANGE</v>
      </c>
      <c r="GC19" s="203" t="str">
        <f t="shared" si="78"/>
        <v>NG</v>
      </c>
      <c r="GD19" s="231" t="s">
        <v>74</v>
      </c>
      <c r="GE19" s="307"/>
      <c r="GF19" s="183" t="str">
        <f t="shared" si="126"/>
        <v>ORANGE</v>
      </c>
      <c r="GG19" s="203" t="str">
        <f t="shared" si="80"/>
        <v>NG</v>
      </c>
      <c r="GH19" s="231" t="s">
        <v>74</v>
      </c>
      <c r="GI19" s="307"/>
      <c r="GJ19" s="183" t="str">
        <f t="shared" si="127"/>
        <v>ORANGE</v>
      </c>
      <c r="GK19" s="203" t="str">
        <f t="shared" si="82"/>
        <v>NG</v>
      </c>
      <c r="GL19" s="231" t="s">
        <v>74</v>
      </c>
      <c r="GM19" s="307"/>
      <c r="GN19" s="183" t="str">
        <f t="shared" si="128"/>
        <v>ORANGE</v>
      </c>
      <c r="GO19" s="203" t="str">
        <f t="shared" si="84"/>
        <v>NG</v>
      </c>
      <c r="GP19" s="231" t="s">
        <v>74</v>
      </c>
      <c r="GQ19" s="307"/>
      <c r="GR19" s="183" t="str">
        <f t="shared" si="129"/>
        <v>ORANGE</v>
      </c>
      <c r="GS19" s="203" t="str">
        <f t="shared" si="86"/>
        <v>NG</v>
      </c>
      <c r="GT19" s="202"/>
      <c r="GU19" s="202"/>
      <c r="GV19" s="201"/>
      <c r="GW19" s="201"/>
      <c r="GX19" s="201"/>
    </row>
    <row r="20" spans="1:206" ht="51">
      <c r="A20" s="200" t="s">
        <v>444</v>
      </c>
      <c r="B20" s="317">
        <v>12</v>
      </c>
      <c r="C20" s="229"/>
      <c r="D20" s="229"/>
      <c r="E20" s="224"/>
      <c r="F20" s="233" t="s">
        <v>44</v>
      </c>
      <c r="G20" s="233"/>
      <c r="H20" s="232"/>
      <c r="I20" s="294"/>
      <c r="J20" s="294" t="s">
        <v>444</v>
      </c>
      <c r="K20" s="251"/>
      <c r="L20" s="251"/>
      <c r="M20" s="312" t="s">
        <v>455</v>
      </c>
      <c r="N20" s="251"/>
      <c r="O20" s="316"/>
      <c r="P20" s="310">
        <v>9</v>
      </c>
      <c r="Q20" s="295">
        <v>8</v>
      </c>
      <c r="R20" s="309" t="s">
        <v>447</v>
      </c>
      <c r="S20" s="296"/>
      <c r="T20" s="296"/>
      <c r="U20" s="309" t="s">
        <v>450</v>
      </c>
      <c r="V20" s="315"/>
      <c r="W20" s="314">
        <v>3</v>
      </c>
      <c r="X20" s="313" t="s">
        <v>454</v>
      </c>
      <c r="Y20" s="313">
        <v>6</v>
      </c>
      <c r="Z20" s="313">
        <v>8</v>
      </c>
      <c r="AA20" s="251" t="s">
        <v>447</v>
      </c>
      <c r="AB20" s="209" t="s">
        <v>450</v>
      </c>
      <c r="AC20" s="312" t="s">
        <v>453</v>
      </c>
      <c r="AD20" s="231" t="s">
        <v>452</v>
      </c>
      <c r="AE20" s="307"/>
      <c r="AF20" s="183" t="str">
        <f t="shared" si="87"/>
        <v>ODP40570</v>
      </c>
      <c r="AG20" s="203" t="str">
        <f t="shared" si="2"/>
        <v>NG</v>
      </c>
      <c r="AH20" s="231" t="s">
        <v>452</v>
      </c>
      <c r="AI20" s="307"/>
      <c r="AJ20" s="183" t="str">
        <f t="shared" si="88"/>
        <v>ODP40570</v>
      </c>
      <c r="AK20" s="203" t="str">
        <f t="shared" si="4"/>
        <v>NG</v>
      </c>
      <c r="AL20" s="231" t="s">
        <v>452</v>
      </c>
      <c r="AM20" s="307"/>
      <c r="AN20" s="183" t="str">
        <f t="shared" si="89"/>
        <v>ODP40570</v>
      </c>
      <c r="AO20" s="203" t="str">
        <f t="shared" si="6"/>
        <v>NG</v>
      </c>
      <c r="AP20" s="231" t="s">
        <v>452</v>
      </c>
      <c r="AQ20" s="307"/>
      <c r="AR20" s="183" t="str">
        <f t="shared" si="90"/>
        <v>ODP40570</v>
      </c>
      <c r="AS20" s="203" t="str">
        <f t="shared" si="8"/>
        <v>NG</v>
      </c>
      <c r="AT20" s="231" t="s">
        <v>452</v>
      </c>
      <c r="AU20" s="307"/>
      <c r="AV20" s="183" t="str">
        <f t="shared" si="91"/>
        <v>ODP40570</v>
      </c>
      <c r="AW20" s="203" t="str">
        <f t="shared" si="10"/>
        <v>NG</v>
      </c>
      <c r="AX20" s="231" t="s">
        <v>452</v>
      </c>
      <c r="AY20" s="307"/>
      <c r="AZ20" s="183" t="str">
        <f t="shared" si="92"/>
        <v>ODP40570</v>
      </c>
      <c r="BA20" s="203" t="str">
        <f t="shared" si="12"/>
        <v>NG</v>
      </c>
      <c r="BB20" s="231" t="s">
        <v>452</v>
      </c>
      <c r="BC20" s="307"/>
      <c r="BD20" s="183" t="str">
        <f t="shared" si="93"/>
        <v>ODP40570</v>
      </c>
      <c r="BE20" s="203" t="str">
        <f t="shared" si="14"/>
        <v>NG</v>
      </c>
      <c r="BF20" s="231" t="s">
        <v>452</v>
      </c>
      <c r="BG20" s="307"/>
      <c r="BH20" s="183" t="str">
        <f t="shared" si="94"/>
        <v>ODP40570</v>
      </c>
      <c r="BI20" s="203" t="str">
        <f t="shared" si="16"/>
        <v>NG</v>
      </c>
      <c r="BJ20" s="231" t="s">
        <v>452</v>
      </c>
      <c r="BK20" s="307"/>
      <c r="BL20" s="183" t="str">
        <f t="shared" si="95"/>
        <v>ODP40570</v>
      </c>
      <c r="BM20" s="203" t="str">
        <f t="shared" si="18"/>
        <v>NG</v>
      </c>
      <c r="BN20" s="231" t="s">
        <v>452</v>
      </c>
      <c r="BO20" s="307"/>
      <c r="BP20" s="183" t="str">
        <f t="shared" si="96"/>
        <v>ODP40570</v>
      </c>
      <c r="BQ20" s="203" t="str">
        <f t="shared" si="20"/>
        <v>NG</v>
      </c>
      <c r="BR20" s="231" t="s">
        <v>452</v>
      </c>
      <c r="BS20" s="307"/>
      <c r="BT20" s="183" t="str">
        <f t="shared" si="97"/>
        <v>ODP40570</v>
      </c>
      <c r="BU20" s="203" t="str">
        <f t="shared" si="22"/>
        <v>NG</v>
      </c>
      <c r="BV20" s="231" t="s">
        <v>452</v>
      </c>
      <c r="BW20" s="307"/>
      <c r="BX20" s="183" t="str">
        <f t="shared" si="98"/>
        <v>ODP40570</v>
      </c>
      <c r="BY20" s="203" t="str">
        <f t="shared" si="24"/>
        <v>NG</v>
      </c>
      <c r="BZ20" s="231" t="s">
        <v>452</v>
      </c>
      <c r="CA20" s="307"/>
      <c r="CB20" s="183" t="str">
        <f t="shared" si="99"/>
        <v>ODP40570</v>
      </c>
      <c r="CC20" s="203" t="str">
        <f t="shared" si="26"/>
        <v>NG</v>
      </c>
      <c r="CD20" s="231" t="s">
        <v>452</v>
      </c>
      <c r="CE20" s="307"/>
      <c r="CF20" s="183" t="str">
        <f t="shared" si="100"/>
        <v>ODP40570</v>
      </c>
      <c r="CG20" s="203" t="str">
        <f t="shared" si="28"/>
        <v>NG</v>
      </c>
      <c r="CH20" s="231" t="s">
        <v>452</v>
      </c>
      <c r="CI20" s="307"/>
      <c r="CJ20" s="183" t="str">
        <f t="shared" si="101"/>
        <v>ODP40570</v>
      </c>
      <c r="CK20" s="203" t="str">
        <f t="shared" si="30"/>
        <v>NG</v>
      </c>
      <c r="CL20" s="231" t="s">
        <v>452</v>
      </c>
      <c r="CM20" s="307"/>
      <c r="CN20" s="183" t="str">
        <f t="shared" si="102"/>
        <v>ODP40570</v>
      </c>
      <c r="CO20" s="203" t="str">
        <f t="shared" si="32"/>
        <v>NG</v>
      </c>
      <c r="CP20" s="231" t="s">
        <v>452</v>
      </c>
      <c r="CQ20" s="307"/>
      <c r="CR20" s="183" t="str">
        <f t="shared" si="103"/>
        <v>ODP40570</v>
      </c>
      <c r="CS20" s="203" t="str">
        <f t="shared" si="34"/>
        <v>NG</v>
      </c>
      <c r="CT20" s="231" t="s">
        <v>452</v>
      </c>
      <c r="CU20" s="307"/>
      <c r="CV20" s="183" t="str">
        <f t="shared" si="104"/>
        <v>ODP40570</v>
      </c>
      <c r="CW20" s="203" t="str">
        <f t="shared" si="36"/>
        <v>NG</v>
      </c>
      <c r="CX20" s="231" t="s">
        <v>452</v>
      </c>
      <c r="CY20" s="307"/>
      <c r="CZ20" s="183" t="str">
        <f t="shared" si="105"/>
        <v>ODP40570</v>
      </c>
      <c r="DA20" s="203" t="str">
        <f t="shared" si="38"/>
        <v>NG</v>
      </c>
      <c r="DB20" s="231" t="s">
        <v>452</v>
      </c>
      <c r="DC20" s="307"/>
      <c r="DD20" s="183" t="str">
        <f t="shared" si="106"/>
        <v>ODP40570</v>
      </c>
      <c r="DE20" s="203" t="str">
        <f t="shared" si="40"/>
        <v>NG</v>
      </c>
      <c r="DF20" s="231" t="s">
        <v>452</v>
      </c>
      <c r="DG20" s="307"/>
      <c r="DH20" s="183" t="str">
        <f t="shared" si="107"/>
        <v>ODP40570</v>
      </c>
      <c r="DI20" s="203" t="str">
        <f t="shared" si="42"/>
        <v>NG</v>
      </c>
      <c r="DJ20" s="231" t="s">
        <v>452</v>
      </c>
      <c r="DK20" s="307"/>
      <c r="DL20" s="183" t="str">
        <f t="shared" si="108"/>
        <v>ODP40570</v>
      </c>
      <c r="DM20" s="203" t="str">
        <f t="shared" si="44"/>
        <v>NG</v>
      </c>
      <c r="DN20" s="231" t="s">
        <v>452</v>
      </c>
      <c r="DO20" s="307"/>
      <c r="DP20" s="183" t="str">
        <f t="shared" si="109"/>
        <v>ODP40570</v>
      </c>
      <c r="DQ20" s="203" t="str">
        <f t="shared" si="46"/>
        <v>NG</v>
      </c>
      <c r="DR20" s="231" t="s">
        <v>452</v>
      </c>
      <c r="DS20" s="307"/>
      <c r="DT20" s="183" t="str">
        <f t="shared" si="110"/>
        <v>ODP40570</v>
      </c>
      <c r="DU20" s="203" t="str">
        <f t="shared" si="48"/>
        <v>NG</v>
      </c>
      <c r="DV20" s="231" t="s">
        <v>452</v>
      </c>
      <c r="DW20" s="307"/>
      <c r="DX20" s="183" t="str">
        <f t="shared" si="111"/>
        <v>ODP40570</v>
      </c>
      <c r="DY20" s="203" t="str">
        <f t="shared" si="50"/>
        <v>NG</v>
      </c>
      <c r="DZ20" s="231" t="s">
        <v>452</v>
      </c>
      <c r="EA20" s="307"/>
      <c r="EB20" s="183" t="str">
        <f t="shared" si="112"/>
        <v>ODP40570</v>
      </c>
      <c r="EC20" s="203" t="str">
        <f t="shared" si="52"/>
        <v>NG</v>
      </c>
      <c r="ED20" s="231" t="s">
        <v>452</v>
      </c>
      <c r="EE20" s="307"/>
      <c r="EF20" s="183" t="str">
        <f t="shared" si="113"/>
        <v>ODP40570</v>
      </c>
      <c r="EG20" s="203" t="str">
        <f t="shared" si="54"/>
        <v>NG</v>
      </c>
      <c r="EH20" s="231" t="s">
        <v>452</v>
      </c>
      <c r="EI20" s="307"/>
      <c r="EJ20" s="183" t="str">
        <f t="shared" si="114"/>
        <v>ODP40570</v>
      </c>
      <c r="EK20" s="203" t="str">
        <f t="shared" si="56"/>
        <v>NG</v>
      </c>
      <c r="EL20" s="231" t="s">
        <v>452</v>
      </c>
      <c r="EM20" s="307"/>
      <c r="EN20" s="183" t="str">
        <f t="shared" si="115"/>
        <v>ODP40570</v>
      </c>
      <c r="EO20" s="203" t="str">
        <f t="shared" si="58"/>
        <v>NG</v>
      </c>
      <c r="EP20" s="231" t="s">
        <v>452</v>
      </c>
      <c r="EQ20" s="307"/>
      <c r="ER20" s="183" t="str">
        <f t="shared" si="116"/>
        <v>ODP40570</v>
      </c>
      <c r="ES20" s="203" t="str">
        <f t="shared" si="60"/>
        <v>NG</v>
      </c>
      <c r="ET20" s="231" t="s">
        <v>452</v>
      </c>
      <c r="EU20" s="307"/>
      <c r="EV20" s="183" t="str">
        <f t="shared" si="117"/>
        <v>ODP40570</v>
      </c>
      <c r="EW20" s="203" t="str">
        <f t="shared" si="62"/>
        <v>NG</v>
      </c>
      <c r="EX20" s="231" t="s">
        <v>452</v>
      </c>
      <c r="EY20" s="307"/>
      <c r="EZ20" s="183" t="str">
        <f t="shared" si="118"/>
        <v>ODP40570</v>
      </c>
      <c r="FA20" s="203" t="str">
        <f t="shared" si="64"/>
        <v>NG</v>
      </c>
      <c r="FB20" s="231" t="s">
        <v>452</v>
      </c>
      <c r="FC20" s="307"/>
      <c r="FD20" s="183" t="str">
        <f t="shared" si="119"/>
        <v>ODP40570</v>
      </c>
      <c r="FE20" s="203" t="str">
        <f t="shared" si="66"/>
        <v>NG</v>
      </c>
      <c r="FF20" s="231" t="s">
        <v>452</v>
      </c>
      <c r="FG20" s="307"/>
      <c r="FH20" s="183" t="str">
        <f t="shared" si="120"/>
        <v>ODP40570</v>
      </c>
      <c r="FI20" s="203" t="str">
        <f t="shared" si="68"/>
        <v>NG</v>
      </c>
      <c r="FJ20" s="231" t="s">
        <v>452</v>
      </c>
      <c r="FK20" s="307"/>
      <c r="FL20" s="183" t="str">
        <f t="shared" si="121"/>
        <v>ODP40570</v>
      </c>
      <c r="FM20" s="203" t="str">
        <f t="shared" si="70"/>
        <v>NG</v>
      </c>
      <c r="FN20" s="231" t="s">
        <v>452</v>
      </c>
      <c r="FO20" s="307"/>
      <c r="FP20" s="183" t="str">
        <f t="shared" si="122"/>
        <v>ODP40570</v>
      </c>
      <c r="FQ20" s="203" t="str">
        <f t="shared" si="72"/>
        <v>NG</v>
      </c>
      <c r="FR20" s="231" t="s">
        <v>452</v>
      </c>
      <c r="FS20" s="307"/>
      <c r="FT20" s="183" t="str">
        <f t="shared" si="123"/>
        <v>ODP40570</v>
      </c>
      <c r="FU20" s="203" t="str">
        <f t="shared" si="74"/>
        <v>NG</v>
      </c>
      <c r="FV20" s="231" t="s">
        <v>452</v>
      </c>
      <c r="FW20" s="307"/>
      <c r="FX20" s="183" t="str">
        <f t="shared" si="124"/>
        <v>ODP40570</v>
      </c>
      <c r="FY20" s="203" t="str">
        <f t="shared" si="76"/>
        <v>NG</v>
      </c>
      <c r="FZ20" s="231" t="s">
        <v>452</v>
      </c>
      <c r="GA20" s="307"/>
      <c r="GB20" s="183" t="str">
        <f t="shared" si="125"/>
        <v>ODP40570</v>
      </c>
      <c r="GC20" s="203" t="str">
        <f t="shared" si="78"/>
        <v>NG</v>
      </c>
      <c r="GD20" s="231" t="s">
        <v>452</v>
      </c>
      <c r="GE20" s="307"/>
      <c r="GF20" s="183" t="str">
        <f t="shared" si="126"/>
        <v>ODP40570</v>
      </c>
      <c r="GG20" s="203" t="str">
        <f t="shared" si="80"/>
        <v>NG</v>
      </c>
      <c r="GH20" s="231" t="s">
        <v>452</v>
      </c>
      <c r="GI20" s="307"/>
      <c r="GJ20" s="183" t="str">
        <f t="shared" si="127"/>
        <v>ODP40570</v>
      </c>
      <c r="GK20" s="203" t="str">
        <f t="shared" si="82"/>
        <v>NG</v>
      </c>
      <c r="GL20" s="231" t="s">
        <v>452</v>
      </c>
      <c r="GM20" s="307"/>
      <c r="GN20" s="183" t="str">
        <f t="shared" si="128"/>
        <v>ODP40570</v>
      </c>
      <c r="GO20" s="203" t="str">
        <f t="shared" si="84"/>
        <v>NG</v>
      </c>
      <c r="GP20" s="231" t="s">
        <v>452</v>
      </c>
      <c r="GQ20" s="307"/>
      <c r="GR20" s="183" t="str">
        <f t="shared" si="129"/>
        <v>ODP40570</v>
      </c>
      <c r="GS20" s="203" t="str">
        <f t="shared" si="86"/>
        <v>NG</v>
      </c>
      <c r="GT20" s="202"/>
      <c r="GU20" s="202"/>
      <c r="GV20" s="201"/>
      <c r="GW20" s="201"/>
      <c r="GX20" s="201"/>
    </row>
    <row r="21" spans="1:206" ht="212.5">
      <c r="A21" s="200"/>
      <c r="B21" s="225">
        <v>13</v>
      </c>
      <c r="C21" s="229"/>
      <c r="D21" s="229"/>
      <c r="E21" s="222" t="s">
        <v>45</v>
      </c>
      <c r="F21" s="221"/>
      <c r="G21" s="221"/>
      <c r="H21" s="220"/>
      <c r="I21" s="209"/>
      <c r="J21" s="209" t="s">
        <v>442</v>
      </c>
      <c r="K21" s="209"/>
      <c r="L21" s="209"/>
      <c r="M21" s="291" t="s">
        <v>451</v>
      </c>
      <c r="N21" s="218"/>
      <c r="O21" s="311"/>
      <c r="P21" s="310">
        <v>10</v>
      </c>
      <c r="Q21" s="296">
        <v>2</v>
      </c>
      <c r="R21" s="309" t="s">
        <v>447</v>
      </c>
      <c r="S21" s="296"/>
      <c r="T21" s="296"/>
      <c r="U21" s="309" t="s">
        <v>450</v>
      </c>
      <c r="V21" s="308" t="s">
        <v>449</v>
      </c>
      <c r="W21" s="292" t="str">
        <f>IF(C21&lt;&gt;"","0",IF(D21&lt;&gt;"","1",IF(E21&lt;&gt;"","2",IF(F21&lt;&gt;"","3",IF(G21&lt;&gt;"","4",IF(H21&lt;&gt;"","5"))))))</f>
        <v>2</v>
      </c>
      <c r="X21" s="210" t="s">
        <v>448</v>
      </c>
      <c r="Y21" s="210">
        <v>2</v>
      </c>
      <c r="Z21" s="210">
        <v>2</v>
      </c>
      <c r="AA21" s="209" t="s">
        <v>447</v>
      </c>
      <c r="AB21" s="209" t="s">
        <v>446</v>
      </c>
      <c r="AC21" s="291"/>
      <c r="AD21" s="226"/>
      <c r="AE21" s="307"/>
      <c r="AF21" s="306" t="s">
        <v>445</v>
      </c>
      <c r="AG21" s="203" t="str">
        <f t="shared" si="2"/>
        <v>NG</v>
      </c>
      <c r="AH21" s="226"/>
      <c r="AI21" s="307"/>
      <c r="AJ21" s="306" t="s">
        <v>445</v>
      </c>
      <c r="AK21" s="203" t="str">
        <f t="shared" si="4"/>
        <v>NG</v>
      </c>
      <c r="AL21" s="226"/>
      <c r="AM21" s="307"/>
      <c r="AN21" s="306" t="s">
        <v>445</v>
      </c>
      <c r="AO21" s="203" t="str">
        <f t="shared" si="6"/>
        <v>NG</v>
      </c>
      <c r="AP21" s="226"/>
      <c r="AQ21" s="307"/>
      <c r="AR21" s="306" t="s">
        <v>445</v>
      </c>
      <c r="AS21" s="203" t="str">
        <f t="shared" si="8"/>
        <v>NG</v>
      </c>
      <c r="AT21" s="226"/>
      <c r="AU21" s="307"/>
      <c r="AV21" s="306" t="s">
        <v>445</v>
      </c>
      <c r="AW21" s="203" t="str">
        <f t="shared" si="10"/>
        <v>NG</v>
      </c>
      <c r="AX21" s="226"/>
      <c r="AY21" s="307"/>
      <c r="AZ21" s="306" t="s">
        <v>445</v>
      </c>
      <c r="BA21" s="203" t="str">
        <f t="shared" si="12"/>
        <v>NG</v>
      </c>
      <c r="BB21" s="226"/>
      <c r="BC21" s="307"/>
      <c r="BD21" s="306" t="s">
        <v>445</v>
      </c>
      <c r="BE21" s="203" t="str">
        <f t="shared" si="14"/>
        <v>NG</v>
      </c>
      <c r="BF21" s="226"/>
      <c r="BG21" s="307"/>
      <c r="BH21" s="306" t="s">
        <v>445</v>
      </c>
      <c r="BI21" s="203" t="str">
        <f t="shared" si="16"/>
        <v>NG</v>
      </c>
      <c r="BJ21" s="226"/>
      <c r="BK21" s="307"/>
      <c r="BL21" s="306" t="s">
        <v>445</v>
      </c>
      <c r="BM21" s="203" t="str">
        <f t="shared" si="18"/>
        <v>NG</v>
      </c>
      <c r="BN21" s="226"/>
      <c r="BO21" s="307"/>
      <c r="BP21" s="306" t="s">
        <v>445</v>
      </c>
      <c r="BQ21" s="203" t="str">
        <f t="shared" si="20"/>
        <v>NG</v>
      </c>
      <c r="BR21" s="226"/>
      <c r="BS21" s="307"/>
      <c r="BT21" s="306" t="s">
        <v>445</v>
      </c>
      <c r="BU21" s="203" t="str">
        <f t="shared" si="22"/>
        <v>NG</v>
      </c>
      <c r="BV21" s="226"/>
      <c r="BW21" s="307"/>
      <c r="BX21" s="306" t="s">
        <v>445</v>
      </c>
      <c r="BY21" s="203" t="str">
        <f t="shared" si="24"/>
        <v>NG</v>
      </c>
      <c r="BZ21" s="226"/>
      <c r="CA21" s="307"/>
      <c r="CB21" s="306" t="s">
        <v>445</v>
      </c>
      <c r="CC21" s="203" t="str">
        <f t="shared" si="26"/>
        <v>NG</v>
      </c>
      <c r="CD21" s="226"/>
      <c r="CE21" s="307"/>
      <c r="CF21" s="306" t="s">
        <v>445</v>
      </c>
      <c r="CG21" s="203" t="str">
        <f t="shared" si="28"/>
        <v>NG</v>
      </c>
      <c r="CH21" s="226"/>
      <c r="CI21" s="307"/>
      <c r="CJ21" s="306" t="s">
        <v>445</v>
      </c>
      <c r="CK21" s="203" t="str">
        <f t="shared" si="30"/>
        <v>NG</v>
      </c>
      <c r="CL21" s="226"/>
      <c r="CM21" s="307"/>
      <c r="CN21" s="306" t="s">
        <v>445</v>
      </c>
      <c r="CO21" s="203" t="str">
        <f t="shared" si="32"/>
        <v>NG</v>
      </c>
      <c r="CP21" s="226"/>
      <c r="CQ21" s="307"/>
      <c r="CR21" s="306" t="s">
        <v>445</v>
      </c>
      <c r="CS21" s="203" t="str">
        <f t="shared" si="34"/>
        <v>NG</v>
      </c>
      <c r="CT21" s="226"/>
      <c r="CU21" s="307"/>
      <c r="CV21" s="306" t="s">
        <v>445</v>
      </c>
      <c r="CW21" s="203" t="str">
        <f t="shared" si="36"/>
        <v>NG</v>
      </c>
      <c r="CX21" s="226"/>
      <c r="CY21" s="307"/>
      <c r="CZ21" s="306" t="s">
        <v>445</v>
      </c>
      <c r="DA21" s="203" t="str">
        <f t="shared" si="38"/>
        <v>NG</v>
      </c>
      <c r="DB21" s="226"/>
      <c r="DC21" s="307"/>
      <c r="DD21" s="306" t="s">
        <v>445</v>
      </c>
      <c r="DE21" s="203" t="str">
        <f t="shared" si="40"/>
        <v>NG</v>
      </c>
      <c r="DF21" s="226"/>
      <c r="DG21" s="307"/>
      <c r="DH21" s="306" t="s">
        <v>445</v>
      </c>
      <c r="DI21" s="203" t="str">
        <f t="shared" si="42"/>
        <v>NG</v>
      </c>
      <c r="DJ21" s="226"/>
      <c r="DK21" s="307"/>
      <c r="DL21" s="306" t="s">
        <v>445</v>
      </c>
      <c r="DM21" s="203" t="str">
        <f t="shared" si="44"/>
        <v>NG</v>
      </c>
      <c r="DN21" s="226"/>
      <c r="DO21" s="307"/>
      <c r="DP21" s="306" t="s">
        <v>445</v>
      </c>
      <c r="DQ21" s="203" t="str">
        <f t="shared" si="46"/>
        <v>NG</v>
      </c>
      <c r="DR21" s="226"/>
      <c r="DS21" s="307"/>
      <c r="DT21" s="306" t="s">
        <v>445</v>
      </c>
      <c r="DU21" s="203" t="str">
        <f t="shared" si="48"/>
        <v>NG</v>
      </c>
      <c r="DV21" s="226"/>
      <c r="DW21" s="307"/>
      <c r="DX21" s="306" t="s">
        <v>445</v>
      </c>
      <c r="DY21" s="203" t="str">
        <f t="shared" si="50"/>
        <v>NG</v>
      </c>
      <c r="DZ21" s="226"/>
      <c r="EA21" s="307"/>
      <c r="EB21" s="306" t="s">
        <v>445</v>
      </c>
      <c r="EC21" s="203" t="str">
        <f t="shared" si="52"/>
        <v>NG</v>
      </c>
      <c r="ED21" s="226"/>
      <c r="EE21" s="307"/>
      <c r="EF21" s="306" t="s">
        <v>445</v>
      </c>
      <c r="EG21" s="203" t="str">
        <f t="shared" si="54"/>
        <v>NG</v>
      </c>
      <c r="EH21" s="226"/>
      <c r="EI21" s="307"/>
      <c r="EJ21" s="306" t="s">
        <v>445</v>
      </c>
      <c r="EK21" s="203" t="str">
        <f t="shared" si="56"/>
        <v>NG</v>
      </c>
      <c r="EL21" s="226"/>
      <c r="EM21" s="307"/>
      <c r="EN21" s="306" t="s">
        <v>445</v>
      </c>
      <c r="EO21" s="203" t="str">
        <f t="shared" si="58"/>
        <v>NG</v>
      </c>
      <c r="EP21" s="226"/>
      <c r="EQ21" s="307"/>
      <c r="ER21" s="306" t="s">
        <v>445</v>
      </c>
      <c r="ES21" s="203" t="str">
        <f t="shared" si="60"/>
        <v>NG</v>
      </c>
      <c r="ET21" s="226"/>
      <c r="EU21" s="307"/>
      <c r="EV21" s="306" t="s">
        <v>445</v>
      </c>
      <c r="EW21" s="203" t="str">
        <f t="shared" si="62"/>
        <v>NG</v>
      </c>
      <c r="EX21" s="226"/>
      <c r="EY21" s="307"/>
      <c r="EZ21" s="306" t="s">
        <v>445</v>
      </c>
      <c r="FA21" s="203" t="str">
        <f t="shared" si="64"/>
        <v>NG</v>
      </c>
      <c r="FB21" s="226"/>
      <c r="FC21" s="307"/>
      <c r="FD21" s="306" t="s">
        <v>445</v>
      </c>
      <c r="FE21" s="203" t="str">
        <f t="shared" si="66"/>
        <v>NG</v>
      </c>
      <c r="FF21" s="226"/>
      <c r="FG21" s="307"/>
      <c r="FH21" s="306" t="s">
        <v>445</v>
      </c>
      <c r="FI21" s="203" t="str">
        <f t="shared" si="68"/>
        <v>NG</v>
      </c>
      <c r="FJ21" s="226"/>
      <c r="FK21" s="307"/>
      <c r="FL21" s="306" t="s">
        <v>445</v>
      </c>
      <c r="FM21" s="203" t="str">
        <f t="shared" si="70"/>
        <v>NG</v>
      </c>
      <c r="FN21" s="226"/>
      <c r="FO21" s="307"/>
      <c r="FP21" s="306" t="s">
        <v>445</v>
      </c>
      <c r="FQ21" s="203" t="str">
        <f t="shared" si="72"/>
        <v>NG</v>
      </c>
      <c r="FR21" s="226"/>
      <c r="FS21" s="307"/>
      <c r="FT21" s="306" t="s">
        <v>445</v>
      </c>
      <c r="FU21" s="203" t="str">
        <f t="shared" si="74"/>
        <v>NG</v>
      </c>
      <c r="FV21" s="226"/>
      <c r="FW21" s="307"/>
      <c r="FX21" s="306" t="s">
        <v>445</v>
      </c>
      <c r="FY21" s="203" t="str">
        <f t="shared" si="76"/>
        <v>NG</v>
      </c>
      <c r="FZ21" s="226"/>
      <c r="GA21" s="307"/>
      <c r="GB21" s="306" t="s">
        <v>445</v>
      </c>
      <c r="GC21" s="203" t="str">
        <f t="shared" si="78"/>
        <v>NG</v>
      </c>
      <c r="GD21" s="226"/>
      <c r="GE21" s="307"/>
      <c r="GF21" s="306" t="s">
        <v>445</v>
      </c>
      <c r="GG21" s="203" t="str">
        <f t="shared" si="80"/>
        <v>NG</v>
      </c>
      <c r="GH21" s="226"/>
      <c r="GI21" s="307"/>
      <c r="GJ21" s="306" t="s">
        <v>445</v>
      </c>
      <c r="GK21" s="203" t="str">
        <f t="shared" si="82"/>
        <v>NG</v>
      </c>
      <c r="GL21" s="226"/>
      <c r="GM21" s="307"/>
      <c r="GN21" s="306" t="s">
        <v>445</v>
      </c>
      <c r="GO21" s="203" t="str">
        <f t="shared" si="84"/>
        <v>NG</v>
      </c>
      <c r="GP21" s="226"/>
      <c r="GQ21" s="307"/>
      <c r="GR21" s="306" t="s">
        <v>445</v>
      </c>
      <c r="GS21" s="203" t="str">
        <f t="shared" si="86"/>
        <v>NG</v>
      </c>
      <c r="GT21" s="202"/>
      <c r="GU21" s="202"/>
      <c r="GV21" s="201"/>
      <c r="GW21" s="201"/>
      <c r="GX21" s="201"/>
    </row>
    <row r="22" spans="1:206" ht="100.5" thickBot="1">
      <c r="A22" s="200" t="s">
        <v>444</v>
      </c>
      <c r="B22" s="305">
        <v>14</v>
      </c>
      <c r="C22" s="304"/>
      <c r="D22" s="303"/>
      <c r="E22" s="302" t="s">
        <v>443</v>
      </c>
      <c r="F22" s="302"/>
      <c r="G22" s="302"/>
      <c r="H22" s="301"/>
      <c r="I22" s="300"/>
      <c r="J22" s="300" t="s">
        <v>442</v>
      </c>
      <c r="K22" s="300"/>
      <c r="L22" s="251"/>
      <c r="M22" s="299" t="s">
        <v>46</v>
      </c>
      <c r="N22" s="251"/>
      <c r="O22" s="298"/>
      <c r="P22" s="297">
        <v>11</v>
      </c>
      <c r="Q22" s="296">
        <v>1</v>
      </c>
      <c r="R22" s="294" t="s">
        <v>60</v>
      </c>
      <c r="S22" s="295"/>
      <c r="T22" s="295"/>
      <c r="U22" s="294" t="s">
        <v>58</v>
      </c>
      <c r="V22" s="293" t="s">
        <v>62</v>
      </c>
      <c r="W22" s="292" t="str">
        <f>IF(C22&lt;&gt;"","0",IF(D22&lt;&gt;"","1",IF(E22&lt;&gt;"","2",IF(F22&lt;&gt;"","3",IF(G22&lt;&gt;"","4",IF(H22&lt;&gt;"","5"))))))</f>
        <v>2</v>
      </c>
      <c r="X22" s="210" t="s">
        <v>63</v>
      </c>
      <c r="Y22" s="210">
        <v>1</v>
      </c>
      <c r="Z22" s="210">
        <v>1</v>
      </c>
      <c r="AA22" s="209" t="s">
        <v>60</v>
      </c>
      <c r="AB22" s="209"/>
      <c r="AC22" s="291"/>
      <c r="AD22" s="290"/>
      <c r="AE22" s="289"/>
      <c r="AF22" s="288" t="str">
        <f>IF($AA22="","",IF(AD22="","",AD22))</f>
        <v/>
      </c>
      <c r="AG22" s="287" t="str">
        <f t="shared" si="2"/>
        <v>OK</v>
      </c>
      <c r="AH22" s="290"/>
      <c r="AI22" s="289"/>
      <c r="AJ22" s="288" t="str">
        <f>IF($AA22="","",IF(AH22="","",AH22))</f>
        <v/>
      </c>
      <c r="AK22" s="287" t="str">
        <f t="shared" si="4"/>
        <v>OK</v>
      </c>
      <c r="AL22" s="290"/>
      <c r="AM22" s="289"/>
      <c r="AN22" s="288" t="str">
        <f>IF($AA22="","",IF(AL22="","",AL22))</f>
        <v/>
      </c>
      <c r="AO22" s="287" t="str">
        <f t="shared" si="6"/>
        <v>OK</v>
      </c>
      <c r="AP22" s="290"/>
      <c r="AQ22" s="289"/>
      <c r="AR22" s="288" t="str">
        <f>IF($AA22="","",IF(AP22="","",AP22))</f>
        <v/>
      </c>
      <c r="AS22" s="287" t="str">
        <f t="shared" si="8"/>
        <v>OK</v>
      </c>
      <c r="AT22" s="290"/>
      <c r="AU22" s="289"/>
      <c r="AV22" s="288" t="str">
        <f>IF($AA22="","",IF(AT22="","",AT22))</f>
        <v/>
      </c>
      <c r="AW22" s="287" t="str">
        <f t="shared" si="10"/>
        <v>OK</v>
      </c>
      <c r="AX22" s="290"/>
      <c r="AY22" s="289"/>
      <c r="AZ22" s="288" t="str">
        <f>IF($AA22="","",IF(AX22="","",AX22))</f>
        <v/>
      </c>
      <c r="BA22" s="287" t="str">
        <f t="shared" si="12"/>
        <v>OK</v>
      </c>
      <c r="BB22" s="290"/>
      <c r="BC22" s="289"/>
      <c r="BD22" s="288" t="str">
        <f>IF($AA22="","",IF(BB22="","",BB22))</f>
        <v/>
      </c>
      <c r="BE22" s="287" t="str">
        <f t="shared" si="14"/>
        <v>OK</v>
      </c>
      <c r="BF22" s="290"/>
      <c r="BG22" s="289"/>
      <c r="BH22" s="288" t="str">
        <f>IF($AA22="","",IF(BF22="","",BF22))</f>
        <v/>
      </c>
      <c r="BI22" s="287" t="str">
        <f t="shared" si="16"/>
        <v>OK</v>
      </c>
      <c r="BJ22" s="290"/>
      <c r="BK22" s="289"/>
      <c r="BL22" s="288" t="str">
        <f>IF($AA22="","",IF(BJ22="","",BJ22))</f>
        <v/>
      </c>
      <c r="BM22" s="287" t="str">
        <f t="shared" si="18"/>
        <v>OK</v>
      </c>
      <c r="BN22" s="290"/>
      <c r="BO22" s="289"/>
      <c r="BP22" s="288" t="str">
        <f>IF($AA22="","",IF(BN22="","",BN22))</f>
        <v/>
      </c>
      <c r="BQ22" s="287" t="str">
        <f t="shared" si="20"/>
        <v>OK</v>
      </c>
      <c r="BR22" s="290"/>
      <c r="BS22" s="289"/>
      <c r="BT22" s="288" t="str">
        <f>IF($AA22="","",IF(BR22="","",BR22))</f>
        <v/>
      </c>
      <c r="BU22" s="287" t="str">
        <f t="shared" si="22"/>
        <v>OK</v>
      </c>
      <c r="BV22" s="290"/>
      <c r="BW22" s="289"/>
      <c r="BX22" s="288" t="str">
        <f>IF($AA22="","",IF(BV22="","",BV22))</f>
        <v/>
      </c>
      <c r="BY22" s="287" t="str">
        <f t="shared" si="24"/>
        <v>OK</v>
      </c>
      <c r="BZ22" s="290"/>
      <c r="CA22" s="289"/>
      <c r="CB22" s="288" t="str">
        <f>IF($AA22="","",IF(BZ22="","",BZ22))</f>
        <v/>
      </c>
      <c r="CC22" s="287" t="str">
        <f t="shared" si="26"/>
        <v>OK</v>
      </c>
      <c r="CD22" s="290"/>
      <c r="CE22" s="289"/>
      <c r="CF22" s="288" t="str">
        <f>IF($AA22="","",IF(CD22="","",CD22))</f>
        <v/>
      </c>
      <c r="CG22" s="287" t="str">
        <f t="shared" si="28"/>
        <v>OK</v>
      </c>
      <c r="CH22" s="290"/>
      <c r="CI22" s="289"/>
      <c r="CJ22" s="288" t="str">
        <f>IF($AA22="","",IF(CH22="","",CH22))</f>
        <v/>
      </c>
      <c r="CK22" s="287" t="str">
        <f t="shared" si="30"/>
        <v>OK</v>
      </c>
      <c r="CL22" s="290"/>
      <c r="CM22" s="289"/>
      <c r="CN22" s="288" t="str">
        <f>IF($AA22="","",IF(CL22="","",CL22))</f>
        <v/>
      </c>
      <c r="CO22" s="287" t="str">
        <f t="shared" si="32"/>
        <v>OK</v>
      </c>
      <c r="CP22" s="290"/>
      <c r="CQ22" s="289"/>
      <c r="CR22" s="288" t="str">
        <f>IF($AA22="","",IF(CP22="","",CP22))</f>
        <v/>
      </c>
      <c r="CS22" s="287" t="str">
        <f t="shared" si="34"/>
        <v>OK</v>
      </c>
      <c r="CT22" s="290"/>
      <c r="CU22" s="289"/>
      <c r="CV22" s="288" t="str">
        <f>IF($AA22="","",IF(CT22="","",CT22))</f>
        <v/>
      </c>
      <c r="CW22" s="287" t="str">
        <f t="shared" si="36"/>
        <v>OK</v>
      </c>
      <c r="CX22" s="290"/>
      <c r="CY22" s="289"/>
      <c r="CZ22" s="288" t="str">
        <f>IF($AA22="","",IF(CX22="","",CX22))</f>
        <v/>
      </c>
      <c r="DA22" s="287" t="str">
        <f t="shared" si="38"/>
        <v>OK</v>
      </c>
      <c r="DB22" s="290"/>
      <c r="DC22" s="289"/>
      <c r="DD22" s="288" t="str">
        <f>IF($AA22="","",IF(DB22="","",DB22))</f>
        <v/>
      </c>
      <c r="DE22" s="287" t="str">
        <f t="shared" si="40"/>
        <v>OK</v>
      </c>
      <c r="DF22" s="290"/>
      <c r="DG22" s="289"/>
      <c r="DH22" s="288" t="str">
        <f>IF($AA22="","",IF(DF22="","",DF22))</f>
        <v/>
      </c>
      <c r="DI22" s="287" t="str">
        <f t="shared" si="42"/>
        <v>OK</v>
      </c>
      <c r="DJ22" s="290"/>
      <c r="DK22" s="289"/>
      <c r="DL22" s="288" t="str">
        <f>IF($AA22="","",IF(DJ22="","",DJ22))</f>
        <v/>
      </c>
      <c r="DM22" s="287" t="str">
        <f t="shared" si="44"/>
        <v>OK</v>
      </c>
      <c r="DN22" s="290"/>
      <c r="DO22" s="289"/>
      <c r="DP22" s="288" t="str">
        <f>IF($AA22="","",IF(DN22="","",DN22))</f>
        <v/>
      </c>
      <c r="DQ22" s="287" t="str">
        <f t="shared" si="46"/>
        <v>OK</v>
      </c>
      <c r="DR22" s="290"/>
      <c r="DS22" s="289"/>
      <c r="DT22" s="288" t="str">
        <f>IF($AA22="","",IF(DR22="","",DR22))</f>
        <v/>
      </c>
      <c r="DU22" s="287" t="str">
        <f t="shared" si="48"/>
        <v>OK</v>
      </c>
      <c r="DV22" s="290"/>
      <c r="DW22" s="289"/>
      <c r="DX22" s="288" t="str">
        <f>IF($AA22="","",IF(DV22="","",DV22))</f>
        <v/>
      </c>
      <c r="DY22" s="287" t="str">
        <f t="shared" si="50"/>
        <v>OK</v>
      </c>
      <c r="DZ22" s="290"/>
      <c r="EA22" s="289"/>
      <c r="EB22" s="288" t="str">
        <f>IF($AA22="","",IF(DZ22="","",DZ22))</f>
        <v/>
      </c>
      <c r="EC22" s="287" t="str">
        <f t="shared" si="52"/>
        <v>OK</v>
      </c>
      <c r="ED22" s="290"/>
      <c r="EE22" s="289"/>
      <c r="EF22" s="288" t="str">
        <f>IF($AA22="","",IF(ED22="","",ED22))</f>
        <v/>
      </c>
      <c r="EG22" s="287" t="str">
        <f t="shared" si="54"/>
        <v>OK</v>
      </c>
      <c r="EH22" s="290"/>
      <c r="EI22" s="289"/>
      <c r="EJ22" s="288" t="str">
        <f>IF($AA22="","",IF(EH22="","",EH22))</f>
        <v/>
      </c>
      <c r="EK22" s="287" t="str">
        <f t="shared" si="56"/>
        <v>OK</v>
      </c>
      <c r="EL22" s="290"/>
      <c r="EM22" s="289"/>
      <c r="EN22" s="288" t="str">
        <f>IF($AA22="","",IF(EL22="","",EL22))</f>
        <v/>
      </c>
      <c r="EO22" s="287" t="str">
        <f t="shared" si="58"/>
        <v>OK</v>
      </c>
      <c r="EP22" s="290"/>
      <c r="EQ22" s="289"/>
      <c r="ER22" s="288" t="str">
        <f>IF($AA22="","",IF(EP22="","",EP22))</f>
        <v/>
      </c>
      <c r="ES22" s="287" t="str">
        <f t="shared" si="60"/>
        <v>OK</v>
      </c>
      <c r="ET22" s="290"/>
      <c r="EU22" s="289"/>
      <c r="EV22" s="288" t="str">
        <f>IF($AA22="","",IF(ET22="","",ET22))</f>
        <v/>
      </c>
      <c r="EW22" s="287" t="str">
        <f t="shared" si="62"/>
        <v>OK</v>
      </c>
      <c r="EX22" s="290"/>
      <c r="EY22" s="289"/>
      <c r="EZ22" s="288" t="str">
        <f>IF($AA22="","",IF(EX22="","",EX22))</f>
        <v/>
      </c>
      <c r="FA22" s="287" t="str">
        <f t="shared" si="64"/>
        <v>OK</v>
      </c>
      <c r="FB22" s="290"/>
      <c r="FC22" s="289"/>
      <c r="FD22" s="288" t="str">
        <f>IF($AA22="","",IF(FB22="","",FB22))</f>
        <v/>
      </c>
      <c r="FE22" s="287" t="str">
        <f t="shared" si="66"/>
        <v>OK</v>
      </c>
      <c r="FF22" s="290"/>
      <c r="FG22" s="289"/>
      <c r="FH22" s="288" t="str">
        <f>IF($AA22="","",IF(FF22="","",FF22))</f>
        <v/>
      </c>
      <c r="FI22" s="287" t="str">
        <f t="shared" si="68"/>
        <v>OK</v>
      </c>
      <c r="FJ22" s="290"/>
      <c r="FK22" s="289"/>
      <c r="FL22" s="288" t="str">
        <f>IF($AA22="","",IF(FJ22="","",FJ22))</f>
        <v/>
      </c>
      <c r="FM22" s="287" t="str">
        <f t="shared" si="70"/>
        <v>OK</v>
      </c>
      <c r="FN22" s="290"/>
      <c r="FO22" s="289"/>
      <c r="FP22" s="288" t="str">
        <f>IF($AA22="","",IF(FN22="","",FN22))</f>
        <v/>
      </c>
      <c r="FQ22" s="287" t="str">
        <f t="shared" si="72"/>
        <v>OK</v>
      </c>
      <c r="FR22" s="290"/>
      <c r="FS22" s="289"/>
      <c r="FT22" s="288" t="str">
        <f>IF($AA22="","",IF(FR22="","",FR22))</f>
        <v/>
      </c>
      <c r="FU22" s="287" t="str">
        <f t="shared" si="74"/>
        <v>OK</v>
      </c>
      <c r="FV22" s="290"/>
      <c r="FW22" s="289"/>
      <c r="FX22" s="288" t="str">
        <f>IF($AA22="","",IF(FV22="","",FV22))</f>
        <v/>
      </c>
      <c r="FY22" s="287" t="str">
        <f t="shared" si="76"/>
        <v>OK</v>
      </c>
      <c r="FZ22" s="290"/>
      <c r="GA22" s="289"/>
      <c r="GB22" s="288" t="str">
        <f>IF($AA22="","",IF(FZ22="","",FZ22))</f>
        <v/>
      </c>
      <c r="GC22" s="287" t="str">
        <f t="shared" si="78"/>
        <v>OK</v>
      </c>
      <c r="GD22" s="290"/>
      <c r="GE22" s="289"/>
      <c r="GF22" s="288" t="str">
        <f>IF($AA22="","",IF(GD22="","",GD22))</f>
        <v/>
      </c>
      <c r="GG22" s="287" t="str">
        <f t="shared" si="80"/>
        <v>OK</v>
      </c>
      <c r="GH22" s="290"/>
      <c r="GI22" s="289"/>
      <c r="GJ22" s="288" t="str">
        <f>IF($AA22="","",IF(GH22="","",GH22))</f>
        <v/>
      </c>
      <c r="GK22" s="287" t="str">
        <f t="shared" si="82"/>
        <v>OK</v>
      </c>
      <c r="GL22" s="290"/>
      <c r="GM22" s="289"/>
      <c r="GN22" s="288" t="str">
        <f>IF($AA22="","",IF(GL22="","",GL22))</f>
        <v/>
      </c>
      <c r="GO22" s="287" t="str">
        <f t="shared" si="84"/>
        <v>OK</v>
      </c>
      <c r="GP22" s="290"/>
      <c r="GQ22" s="289"/>
      <c r="GR22" s="288" t="str">
        <f>IF($AA22="","",IF(GP22="","",GP22))</f>
        <v/>
      </c>
      <c r="GS22" s="287" t="str">
        <f t="shared" si="86"/>
        <v>OK</v>
      </c>
      <c r="GT22" s="286"/>
      <c r="GU22" s="286"/>
      <c r="GV22" s="201"/>
      <c r="GW22" s="201"/>
      <c r="GX22" s="201"/>
    </row>
    <row r="23" spans="1:206" ht="13" thickTop="1">
      <c r="A23" s="200" t="s">
        <v>59</v>
      </c>
      <c r="B23" s="225">
        <f t="shared" ref="B23:B54" si="130">ROW()-7</f>
        <v>16</v>
      </c>
      <c r="C23" s="285"/>
      <c r="D23" s="233" t="s">
        <v>441</v>
      </c>
      <c r="E23" s="221"/>
      <c r="F23" s="221"/>
      <c r="G23" s="221"/>
      <c r="H23" s="220"/>
      <c r="I23" s="274"/>
      <c r="J23" s="282" t="s">
        <v>23</v>
      </c>
      <c r="K23" s="284"/>
      <c r="L23" s="284"/>
      <c r="M23" s="283"/>
      <c r="N23" s="282"/>
      <c r="O23" s="281"/>
      <c r="P23" s="277"/>
      <c r="Q23" s="277"/>
      <c r="R23" s="280"/>
      <c r="S23" s="279"/>
      <c r="T23" s="277"/>
      <c r="U23" s="278"/>
      <c r="V23" s="277"/>
      <c r="W23" s="276">
        <v>1</v>
      </c>
      <c r="X23" s="275" t="s">
        <v>53</v>
      </c>
      <c r="Y23" s="275"/>
      <c r="Z23" s="275"/>
      <c r="AA23" s="274"/>
      <c r="AB23" s="274" t="s">
        <v>440</v>
      </c>
      <c r="AC23" s="273"/>
      <c r="AD23" s="272"/>
      <c r="AE23" s="271"/>
      <c r="AF23" s="270" t="str">
        <f>IF($AA23="","",IF(AD23="","",AD23))</f>
        <v/>
      </c>
      <c r="AG23" s="269" t="str">
        <f t="shared" si="2"/>
        <v>OK</v>
      </c>
      <c r="AH23" s="272"/>
      <c r="AI23" s="271"/>
      <c r="AJ23" s="270" t="str">
        <f>IF($AA23="","",IF(AH23="","",AH23))</f>
        <v/>
      </c>
      <c r="AK23" s="269" t="str">
        <f t="shared" si="4"/>
        <v>OK</v>
      </c>
      <c r="AL23" s="272"/>
      <c r="AM23" s="271"/>
      <c r="AN23" s="270" t="str">
        <f>IF($AA23="","",IF(AL23="","",AL23))</f>
        <v/>
      </c>
      <c r="AO23" s="269" t="str">
        <f t="shared" si="6"/>
        <v>OK</v>
      </c>
      <c r="AP23" s="272"/>
      <c r="AQ23" s="271"/>
      <c r="AR23" s="270" t="str">
        <f>IF($AA23="","",IF(AP23="","",AP23))</f>
        <v/>
      </c>
      <c r="AS23" s="269" t="str">
        <f t="shared" si="8"/>
        <v>OK</v>
      </c>
      <c r="AT23" s="272"/>
      <c r="AU23" s="271"/>
      <c r="AV23" s="270" t="str">
        <f>IF($AA23="","",IF(AT23="","",AT23))</f>
        <v/>
      </c>
      <c r="AW23" s="269" t="str">
        <f t="shared" si="10"/>
        <v>OK</v>
      </c>
      <c r="AX23" s="272"/>
      <c r="AY23" s="271"/>
      <c r="AZ23" s="270" t="str">
        <f>IF($AA23="","",IF(AX23="","",AX23))</f>
        <v/>
      </c>
      <c r="BA23" s="269" t="str">
        <f t="shared" si="12"/>
        <v>OK</v>
      </c>
      <c r="BB23" s="272"/>
      <c r="BC23" s="271"/>
      <c r="BD23" s="270" t="str">
        <f>IF($AA23="","",IF(BB23="","",BB23))</f>
        <v/>
      </c>
      <c r="BE23" s="269" t="str">
        <f t="shared" si="14"/>
        <v>OK</v>
      </c>
      <c r="BF23" s="272"/>
      <c r="BG23" s="271"/>
      <c r="BH23" s="270" t="str">
        <f>IF($AA23="","",IF(BF23="","",BF23))</f>
        <v/>
      </c>
      <c r="BI23" s="269" t="str">
        <f t="shared" si="16"/>
        <v>OK</v>
      </c>
      <c r="BJ23" s="272"/>
      <c r="BK23" s="271"/>
      <c r="BL23" s="270" t="str">
        <f>IF($AA23="","",IF(BJ23="","",BJ23))</f>
        <v/>
      </c>
      <c r="BM23" s="269" t="str">
        <f t="shared" si="18"/>
        <v>OK</v>
      </c>
      <c r="BN23" s="272"/>
      <c r="BO23" s="271"/>
      <c r="BP23" s="270" t="str">
        <f>IF($AA23="","",IF(BN23="","",BN23))</f>
        <v/>
      </c>
      <c r="BQ23" s="269" t="str">
        <f t="shared" si="20"/>
        <v>OK</v>
      </c>
      <c r="BR23" s="272"/>
      <c r="BS23" s="271"/>
      <c r="BT23" s="270" t="str">
        <f>IF($AA23="","",IF(BR23="","",BR23))</f>
        <v/>
      </c>
      <c r="BU23" s="269" t="str">
        <f t="shared" si="22"/>
        <v>OK</v>
      </c>
      <c r="BV23" s="272"/>
      <c r="BW23" s="271"/>
      <c r="BX23" s="270" t="str">
        <f>IF($AA23="","",IF(BV23="","",BV23))</f>
        <v/>
      </c>
      <c r="BY23" s="269" t="str">
        <f t="shared" si="24"/>
        <v>OK</v>
      </c>
      <c r="BZ23" s="272"/>
      <c r="CA23" s="271"/>
      <c r="CB23" s="270" t="str">
        <f>IF($AA23="","",IF(BZ23="","",BZ23))</f>
        <v/>
      </c>
      <c r="CC23" s="269" t="str">
        <f t="shared" si="26"/>
        <v>OK</v>
      </c>
      <c r="CD23" s="272"/>
      <c r="CE23" s="271"/>
      <c r="CF23" s="270" t="str">
        <f>IF($AA23="","",IF(CD23="","",CD23))</f>
        <v/>
      </c>
      <c r="CG23" s="269" t="str">
        <f t="shared" si="28"/>
        <v>OK</v>
      </c>
      <c r="CH23" s="272"/>
      <c r="CI23" s="271"/>
      <c r="CJ23" s="270" t="str">
        <f>IF($AA23="","",IF(CH23="","",CH23))</f>
        <v/>
      </c>
      <c r="CK23" s="269" t="str">
        <f t="shared" si="30"/>
        <v>OK</v>
      </c>
      <c r="CL23" s="272"/>
      <c r="CM23" s="271"/>
      <c r="CN23" s="270" t="str">
        <f>IF($AA23="","",IF(CL23="","",CL23))</f>
        <v/>
      </c>
      <c r="CO23" s="269" t="str">
        <f t="shared" si="32"/>
        <v>OK</v>
      </c>
      <c r="CP23" s="272"/>
      <c r="CQ23" s="271"/>
      <c r="CR23" s="270" t="str">
        <f>IF($AA23="","",IF(CP23="","",CP23))</f>
        <v/>
      </c>
      <c r="CS23" s="269" t="str">
        <f t="shared" si="34"/>
        <v>OK</v>
      </c>
      <c r="CT23" s="272"/>
      <c r="CU23" s="271"/>
      <c r="CV23" s="270" t="str">
        <f>IF($AA23="","",IF(CT23="","",CT23))</f>
        <v/>
      </c>
      <c r="CW23" s="269" t="str">
        <f t="shared" si="36"/>
        <v>OK</v>
      </c>
      <c r="CX23" s="272"/>
      <c r="CY23" s="271"/>
      <c r="CZ23" s="270" t="str">
        <f>IF($AA23="","",IF(CX23="","",CX23))</f>
        <v/>
      </c>
      <c r="DA23" s="269" t="str">
        <f t="shared" si="38"/>
        <v>OK</v>
      </c>
      <c r="DB23" s="272"/>
      <c r="DC23" s="271"/>
      <c r="DD23" s="270" t="str">
        <f>IF($AA23="","",IF(DB23="","",DB23))</f>
        <v/>
      </c>
      <c r="DE23" s="269" t="str">
        <f t="shared" si="40"/>
        <v>OK</v>
      </c>
      <c r="DF23" s="272"/>
      <c r="DG23" s="271"/>
      <c r="DH23" s="270" t="str">
        <f>IF($AA23="","",IF(DF23="","",DF23))</f>
        <v/>
      </c>
      <c r="DI23" s="269" t="str">
        <f t="shared" si="42"/>
        <v>OK</v>
      </c>
      <c r="DJ23" s="272"/>
      <c r="DK23" s="271"/>
      <c r="DL23" s="270" t="str">
        <f>IF($AA23="","",IF(DJ23="","",DJ23))</f>
        <v/>
      </c>
      <c r="DM23" s="269" t="str">
        <f t="shared" si="44"/>
        <v>OK</v>
      </c>
      <c r="DN23" s="272"/>
      <c r="DO23" s="271"/>
      <c r="DP23" s="270" t="str">
        <f>IF($AA23="","",IF(DN23="","",DN23))</f>
        <v/>
      </c>
      <c r="DQ23" s="269" t="str">
        <f t="shared" si="46"/>
        <v>OK</v>
      </c>
      <c r="DR23" s="272"/>
      <c r="DS23" s="271"/>
      <c r="DT23" s="270" t="str">
        <f>IF($AA23="","",IF(DR23="","",DR23))</f>
        <v/>
      </c>
      <c r="DU23" s="269" t="str">
        <f t="shared" si="48"/>
        <v>OK</v>
      </c>
      <c r="DV23" s="272"/>
      <c r="DW23" s="271"/>
      <c r="DX23" s="270" t="str">
        <f>IF($AA23="","",IF(DV23="","",DV23))</f>
        <v/>
      </c>
      <c r="DY23" s="269" t="str">
        <f t="shared" si="50"/>
        <v>OK</v>
      </c>
      <c r="DZ23" s="272"/>
      <c r="EA23" s="271"/>
      <c r="EB23" s="270" t="str">
        <f>IF($AA23="","",IF(DZ23="","",DZ23))</f>
        <v/>
      </c>
      <c r="EC23" s="269" t="str">
        <f t="shared" si="52"/>
        <v>OK</v>
      </c>
      <c r="ED23" s="272"/>
      <c r="EE23" s="271"/>
      <c r="EF23" s="270" t="str">
        <f>IF($AA23="","",IF(ED23="","",ED23))</f>
        <v/>
      </c>
      <c r="EG23" s="269" t="str">
        <f t="shared" si="54"/>
        <v>OK</v>
      </c>
      <c r="EH23" s="272"/>
      <c r="EI23" s="271"/>
      <c r="EJ23" s="270" t="str">
        <f>IF($AA23="","",IF(EH23="","",EH23))</f>
        <v/>
      </c>
      <c r="EK23" s="269" t="str">
        <f t="shared" si="56"/>
        <v>OK</v>
      </c>
      <c r="EL23" s="272"/>
      <c r="EM23" s="271"/>
      <c r="EN23" s="270" t="str">
        <f>IF($AA23="","",IF(EL23="","",EL23))</f>
        <v/>
      </c>
      <c r="EO23" s="269" t="str">
        <f t="shared" si="58"/>
        <v>OK</v>
      </c>
      <c r="EP23" s="272"/>
      <c r="EQ23" s="271"/>
      <c r="ER23" s="270" t="str">
        <f>IF($AA23="","",IF(EP23="","",EP23))</f>
        <v/>
      </c>
      <c r="ES23" s="269" t="str">
        <f t="shared" si="60"/>
        <v>OK</v>
      </c>
      <c r="ET23" s="272"/>
      <c r="EU23" s="271"/>
      <c r="EV23" s="270" t="str">
        <f>IF($AA23="","",IF(ET23="","",ET23))</f>
        <v/>
      </c>
      <c r="EW23" s="269" t="str">
        <f t="shared" si="62"/>
        <v>OK</v>
      </c>
      <c r="EX23" s="272"/>
      <c r="EY23" s="271"/>
      <c r="EZ23" s="270" t="str">
        <f>IF($AA23="","",IF(EX23="","",EX23))</f>
        <v/>
      </c>
      <c r="FA23" s="269" t="str">
        <f t="shared" si="64"/>
        <v>OK</v>
      </c>
      <c r="FB23" s="272"/>
      <c r="FC23" s="271"/>
      <c r="FD23" s="270" t="str">
        <f>IF($AA23="","",IF(FB23="","",FB23))</f>
        <v/>
      </c>
      <c r="FE23" s="269" t="str">
        <f t="shared" si="66"/>
        <v>OK</v>
      </c>
      <c r="FF23" s="272"/>
      <c r="FG23" s="271"/>
      <c r="FH23" s="270" t="str">
        <f>IF($AA23="","",IF(FF23="","",FF23))</f>
        <v/>
      </c>
      <c r="FI23" s="269" t="str">
        <f t="shared" si="68"/>
        <v>OK</v>
      </c>
      <c r="FJ23" s="272"/>
      <c r="FK23" s="271"/>
      <c r="FL23" s="270" t="str">
        <f>IF($AA23="","",IF(FJ23="","",FJ23))</f>
        <v/>
      </c>
      <c r="FM23" s="269" t="str">
        <f t="shared" si="70"/>
        <v>OK</v>
      </c>
      <c r="FN23" s="272"/>
      <c r="FO23" s="271"/>
      <c r="FP23" s="270" t="str">
        <f>IF($AA23="","",IF(FN23="","",FN23))</f>
        <v/>
      </c>
      <c r="FQ23" s="269" t="str">
        <f t="shared" si="72"/>
        <v>OK</v>
      </c>
      <c r="FR23" s="272"/>
      <c r="FS23" s="271"/>
      <c r="FT23" s="270" t="str">
        <f>IF($AA23="","",IF(FR23="","",FR23))</f>
        <v/>
      </c>
      <c r="FU23" s="269" t="str">
        <f t="shared" si="74"/>
        <v>OK</v>
      </c>
      <c r="FV23" s="272"/>
      <c r="FW23" s="271"/>
      <c r="FX23" s="270" t="str">
        <f>IF($AA23="","",IF(FV23="","",FV23))</f>
        <v/>
      </c>
      <c r="FY23" s="269" t="str">
        <f t="shared" si="76"/>
        <v>OK</v>
      </c>
      <c r="FZ23" s="272"/>
      <c r="GA23" s="271"/>
      <c r="GB23" s="270" t="str">
        <f>IF($AA23="","",IF(FZ23="","",FZ23))</f>
        <v/>
      </c>
      <c r="GC23" s="269" t="str">
        <f t="shared" si="78"/>
        <v>OK</v>
      </c>
      <c r="GD23" s="272"/>
      <c r="GE23" s="271"/>
      <c r="GF23" s="270" t="str">
        <f>IF($AA23="","",IF(GD23="","",GD23))</f>
        <v/>
      </c>
      <c r="GG23" s="269" t="str">
        <f t="shared" si="80"/>
        <v>OK</v>
      </c>
      <c r="GH23" s="272"/>
      <c r="GI23" s="271"/>
      <c r="GJ23" s="270" t="str">
        <f>IF($AA23="","",IF(GH23="","",GH23))</f>
        <v/>
      </c>
      <c r="GK23" s="269" t="str">
        <f t="shared" si="82"/>
        <v>OK</v>
      </c>
      <c r="GL23" s="272"/>
      <c r="GM23" s="271"/>
      <c r="GN23" s="270" t="str">
        <f>IF($AA23="","",IF(GL23="","",GL23))</f>
        <v/>
      </c>
      <c r="GO23" s="269" t="str">
        <f t="shared" si="84"/>
        <v>OK</v>
      </c>
      <c r="GP23" s="272"/>
      <c r="GQ23" s="271"/>
      <c r="GR23" s="270" t="str">
        <f>IF($AA23="","",IF(GP23="","",GP23))</f>
        <v/>
      </c>
      <c r="GS23" s="269" t="str">
        <f t="shared" si="86"/>
        <v>OK</v>
      </c>
      <c r="GT23" s="268"/>
      <c r="GU23" s="268"/>
      <c r="GV23" s="255"/>
      <c r="GW23" s="255"/>
      <c r="GX23" s="255"/>
    </row>
    <row r="24" spans="1:206">
      <c r="A24" s="200" t="s">
        <v>336</v>
      </c>
      <c r="B24" s="225">
        <f t="shared" si="130"/>
        <v>17</v>
      </c>
      <c r="C24" s="229"/>
      <c r="D24" s="229"/>
      <c r="E24" s="234" t="s">
        <v>439</v>
      </c>
      <c r="F24" s="221"/>
      <c r="G24" s="221"/>
      <c r="H24" s="220"/>
      <c r="I24" s="208"/>
      <c r="J24" s="208" t="s">
        <v>23</v>
      </c>
      <c r="K24" s="267"/>
      <c r="L24" s="267"/>
      <c r="M24" s="236"/>
      <c r="N24" s="266"/>
      <c r="O24" s="265"/>
      <c r="P24" s="261"/>
      <c r="Q24" s="261"/>
      <c r="R24" s="264"/>
      <c r="S24" s="263"/>
      <c r="T24" s="261"/>
      <c r="U24" s="262"/>
      <c r="V24" s="261"/>
      <c r="W24" s="211" t="str">
        <f t="shared" ref="W24:W55" si="131">IF(C24&lt;&gt;"","0",IF(D24&lt;&gt;"","1",IF(E24&lt;&gt;"","2",IF(F24&lt;&gt;"","3",IF(G24&lt;&gt;"","4",IF(H24&lt;&gt;"","5"))))))</f>
        <v>2</v>
      </c>
      <c r="X24" s="224" t="s">
        <v>438</v>
      </c>
      <c r="Y24" s="224"/>
      <c r="Z24" s="224"/>
      <c r="AA24" s="208"/>
      <c r="AB24" s="209" t="s">
        <v>306</v>
      </c>
      <c r="AC24" s="260"/>
      <c r="AD24" s="206"/>
      <c r="AE24" s="230"/>
      <c r="AF24" s="183"/>
      <c r="AG24" s="203" t="str">
        <f t="shared" si="2"/>
        <v>OK</v>
      </c>
      <c r="AH24" s="206"/>
      <c r="AI24" s="230"/>
      <c r="AJ24" s="183"/>
      <c r="AK24" s="203" t="str">
        <f t="shared" si="4"/>
        <v>OK</v>
      </c>
      <c r="AL24" s="206"/>
      <c r="AM24" s="230"/>
      <c r="AN24" s="183"/>
      <c r="AO24" s="203" t="str">
        <f t="shared" si="6"/>
        <v>OK</v>
      </c>
      <c r="AP24" s="206"/>
      <c r="AQ24" s="230"/>
      <c r="AR24" s="183"/>
      <c r="AS24" s="203" t="str">
        <f t="shared" si="8"/>
        <v>OK</v>
      </c>
      <c r="AT24" s="206"/>
      <c r="AU24" s="230"/>
      <c r="AV24" s="183"/>
      <c r="AW24" s="203" t="str">
        <f t="shared" si="10"/>
        <v>OK</v>
      </c>
      <c r="AX24" s="206"/>
      <c r="AY24" s="230"/>
      <c r="AZ24" s="183"/>
      <c r="BA24" s="203" t="str">
        <f t="shared" si="12"/>
        <v>OK</v>
      </c>
      <c r="BB24" s="206"/>
      <c r="BC24" s="230"/>
      <c r="BD24" s="183"/>
      <c r="BE24" s="203" t="str">
        <f t="shared" si="14"/>
        <v>OK</v>
      </c>
      <c r="BF24" s="206"/>
      <c r="BG24" s="230"/>
      <c r="BH24" s="183"/>
      <c r="BI24" s="203" t="str">
        <f t="shared" si="16"/>
        <v>OK</v>
      </c>
      <c r="BJ24" s="206"/>
      <c r="BK24" s="230"/>
      <c r="BL24" s="183"/>
      <c r="BM24" s="203" t="str">
        <f t="shared" si="18"/>
        <v>OK</v>
      </c>
      <c r="BN24" s="206"/>
      <c r="BO24" s="230"/>
      <c r="BP24" s="183"/>
      <c r="BQ24" s="203" t="str">
        <f t="shared" si="20"/>
        <v>OK</v>
      </c>
      <c r="BR24" s="206"/>
      <c r="BS24" s="230"/>
      <c r="BT24" s="183"/>
      <c r="BU24" s="203" t="str">
        <f t="shared" si="22"/>
        <v>OK</v>
      </c>
      <c r="BV24" s="206"/>
      <c r="BW24" s="230"/>
      <c r="BX24" s="183"/>
      <c r="BY24" s="203" t="str">
        <f t="shared" si="24"/>
        <v>OK</v>
      </c>
      <c r="BZ24" s="206"/>
      <c r="CA24" s="230"/>
      <c r="CB24" s="183"/>
      <c r="CC24" s="203" t="str">
        <f t="shared" si="26"/>
        <v>OK</v>
      </c>
      <c r="CD24" s="206"/>
      <c r="CE24" s="230"/>
      <c r="CF24" s="183"/>
      <c r="CG24" s="203" t="str">
        <f t="shared" si="28"/>
        <v>OK</v>
      </c>
      <c r="CH24" s="206"/>
      <c r="CI24" s="230"/>
      <c r="CJ24" s="183"/>
      <c r="CK24" s="203" t="str">
        <f t="shared" si="30"/>
        <v>OK</v>
      </c>
      <c r="CL24" s="206"/>
      <c r="CM24" s="230"/>
      <c r="CN24" s="183"/>
      <c r="CO24" s="203" t="str">
        <f t="shared" si="32"/>
        <v>OK</v>
      </c>
      <c r="CP24" s="206"/>
      <c r="CQ24" s="230"/>
      <c r="CR24" s="183"/>
      <c r="CS24" s="203" t="str">
        <f t="shared" si="34"/>
        <v>OK</v>
      </c>
      <c r="CT24" s="206"/>
      <c r="CU24" s="230"/>
      <c r="CV24" s="183"/>
      <c r="CW24" s="203" t="str">
        <f t="shared" si="36"/>
        <v>OK</v>
      </c>
      <c r="CX24" s="206"/>
      <c r="CY24" s="230"/>
      <c r="CZ24" s="183"/>
      <c r="DA24" s="203" t="str">
        <f t="shared" si="38"/>
        <v>OK</v>
      </c>
      <c r="DB24" s="206"/>
      <c r="DC24" s="230"/>
      <c r="DD24" s="183"/>
      <c r="DE24" s="203" t="str">
        <f t="shared" si="40"/>
        <v>OK</v>
      </c>
      <c r="DF24" s="206"/>
      <c r="DG24" s="230"/>
      <c r="DH24" s="183"/>
      <c r="DI24" s="203" t="str">
        <f t="shared" si="42"/>
        <v>OK</v>
      </c>
      <c r="DJ24" s="206"/>
      <c r="DK24" s="230"/>
      <c r="DL24" s="183"/>
      <c r="DM24" s="203" t="str">
        <f t="shared" si="44"/>
        <v>OK</v>
      </c>
      <c r="DN24" s="206"/>
      <c r="DO24" s="230"/>
      <c r="DP24" s="183"/>
      <c r="DQ24" s="203" t="str">
        <f t="shared" si="46"/>
        <v>OK</v>
      </c>
      <c r="DR24" s="206"/>
      <c r="DS24" s="230"/>
      <c r="DT24" s="183"/>
      <c r="DU24" s="203" t="str">
        <f t="shared" si="48"/>
        <v>OK</v>
      </c>
      <c r="DV24" s="206"/>
      <c r="DW24" s="230"/>
      <c r="DX24" s="183"/>
      <c r="DY24" s="203" t="str">
        <f t="shared" si="50"/>
        <v>OK</v>
      </c>
      <c r="DZ24" s="206"/>
      <c r="EA24" s="230"/>
      <c r="EB24" s="183"/>
      <c r="EC24" s="203" t="str">
        <f t="shared" si="52"/>
        <v>OK</v>
      </c>
      <c r="ED24" s="206"/>
      <c r="EE24" s="230"/>
      <c r="EF24" s="183"/>
      <c r="EG24" s="203" t="str">
        <f t="shared" si="54"/>
        <v>OK</v>
      </c>
      <c r="EH24" s="206"/>
      <c r="EI24" s="230"/>
      <c r="EJ24" s="183"/>
      <c r="EK24" s="203" t="str">
        <f t="shared" si="56"/>
        <v>OK</v>
      </c>
      <c r="EL24" s="206"/>
      <c r="EM24" s="230"/>
      <c r="EN24" s="183"/>
      <c r="EO24" s="203" t="str">
        <f t="shared" si="58"/>
        <v>OK</v>
      </c>
      <c r="EP24" s="206"/>
      <c r="EQ24" s="230"/>
      <c r="ER24" s="183"/>
      <c r="ES24" s="203" t="str">
        <f t="shared" si="60"/>
        <v>OK</v>
      </c>
      <c r="ET24" s="206"/>
      <c r="EU24" s="230"/>
      <c r="EV24" s="183"/>
      <c r="EW24" s="203" t="str">
        <f t="shared" si="62"/>
        <v>OK</v>
      </c>
      <c r="EX24" s="206"/>
      <c r="EY24" s="230"/>
      <c r="EZ24" s="183"/>
      <c r="FA24" s="203" t="str">
        <f t="shared" si="64"/>
        <v>OK</v>
      </c>
      <c r="FB24" s="206"/>
      <c r="FC24" s="230"/>
      <c r="FD24" s="183"/>
      <c r="FE24" s="203" t="str">
        <f t="shared" si="66"/>
        <v>OK</v>
      </c>
      <c r="FF24" s="206"/>
      <c r="FG24" s="230"/>
      <c r="FH24" s="183"/>
      <c r="FI24" s="203" t="str">
        <f t="shared" si="68"/>
        <v>OK</v>
      </c>
      <c r="FJ24" s="206"/>
      <c r="FK24" s="230"/>
      <c r="FL24" s="183"/>
      <c r="FM24" s="203" t="str">
        <f t="shared" si="70"/>
        <v>OK</v>
      </c>
      <c r="FN24" s="206"/>
      <c r="FO24" s="230"/>
      <c r="FP24" s="183"/>
      <c r="FQ24" s="203" t="str">
        <f t="shared" si="72"/>
        <v>OK</v>
      </c>
      <c r="FR24" s="206"/>
      <c r="FS24" s="230"/>
      <c r="FT24" s="183"/>
      <c r="FU24" s="203" t="str">
        <f t="shared" si="74"/>
        <v>OK</v>
      </c>
      <c r="FV24" s="206"/>
      <c r="FW24" s="230"/>
      <c r="FX24" s="183"/>
      <c r="FY24" s="203" t="str">
        <f t="shared" si="76"/>
        <v>OK</v>
      </c>
      <c r="FZ24" s="206"/>
      <c r="GA24" s="230"/>
      <c r="GB24" s="183"/>
      <c r="GC24" s="203" t="str">
        <f t="shared" si="78"/>
        <v>OK</v>
      </c>
      <c r="GD24" s="206"/>
      <c r="GE24" s="230"/>
      <c r="GF24" s="183"/>
      <c r="GG24" s="203" t="str">
        <f t="shared" si="80"/>
        <v>OK</v>
      </c>
      <c r="GH24" s="206"/>
      <c r="GI24" s="230"/>
      <c r="GJ24" s="183"/>
      <c r="GK24" s="203" t="str">
        <f t="shared" si="82"/>
        <v>OK</v>
      </c>
      <c r="GL24" s="206"/>
      <c r="GM24" s="230"/>
      <c r="GN24" s="183"/>
      <c r="GO24" s="203" t="str">
        <f t="shared" si="84"/>
        <v>OK</v>
      </c>
      <c r="GP24" s="206"/>
      <c r="GQ24" s="230"/>
      <c r="GR24" s="183"/>
      <c r="GS24" s="203" t="str">
        <f t="shared" si="86"/>
        <v>OK</v>
      </c>
      <c r="GT24" s="202"/>
      <c r="GU24" s="202"/>
      <c r="GV24" s="201"/>
      <c r="GW24" s="201"/>
      <c r="GX24" s="201"/>
    </row>
    <row r="25" spans="1:206" ht="25">
      <c r="A25" s="200" t="s">
        <v>336</v>
      </c>
      <c r="B25" s="225">
        <f t="shared" si="130"/>
        <v>18</v>
      </c>
      <c r="C25" s="229"/>
      <c r="D25" s="229"/>
      <c r="E25" s="229"/>
      <c r="F25" s="221" t="s">
        <v>437</v>
      </c>
      <c r="G25" s="221"/>
      <c r="H25" s="220"/>
      <c r="I25" s="209"/>
      <c r="J25" s="217" t="s">
        <v>23</v>
      </c>
      <c r="K25" s="219"/>
      <c r="L25" s="219"/>
      <c r="M25" s="218" t="s">
        <v>436</v>
      </c>
      <c r="N25" s="217">
        <v>8</v>
      </c>
      <c r="O25" s="216"/>
      <c r="P25" s="212"/>
      <c r="Q25" s="212"/>
      <c r="R25" s="215"/>
      <c r="S25" s="214"/>
      <c r="T25" s="212"/>
      <c r="U25" s="213"/>
      <c r="V25" s="212"/>
      <c r="W25" s="211" t="str">
        <f t="shared" si="131"/>
        <v>3</v>
      </c>
      <c r="X25" s="210" t="s">
        <v>435</v>
      </c>
      <c r="Y25" s="210">
        <v>1</v>
      </c>
      <c r="Z25" s="210">
        <v>1</v>
      </c>
      <c r="AA25" s="209" t="s">
        <v>54</v>
      </c>
      <c r="AB25" s="209" t="s">
        <v>306</v>
      </c>
      <c r="AC25" s="252"/>
      <c r="AD25" s="226" t="s">
        <v>276</v>
      </c>
      <c r="AE25" s="230"/>
      <c r="AF25" s="183" t="str">
        <f t="shared" ref="AF25:AF40" si="132">IF($AB25="I","",IF($AA25="","",IF(AD25="","",AD25)))</f>
        <v/>
      </c>
      <c r="AG25" s="203" t="str">
        <f t="shared" si="2"/>
        <v>OK</v>
      </c>
      <c r="AH25" s="226" t="s">
        <v>276</v>
      </c>
      <c r="AI25" s="230"/>
      <c r="AJ25" s="183" t="str">
        <f t="shared" ref="AJ25:AJ40" si="133">IF($AB25="I","",IF($AA25="","",IF(AH25="","",AH25)))</f>
        <v/>
      </c>
      <c r="AK25" s="203" t="str">
        <f t="shared" si="4"/>
        <v>OK</v>
      </c>
      <c r="AL25" s="226" t="s">
        <v>276</v>
      </c>
      <c r="AM25" s="230"/>
      <c r="AN25" s="183" t="str">
        <f t="shared" ref="AN25:AN40" si="134">IF($AB25="I","",IF($AA25="","",IF(AL25="","",AL25)))</f>
        <v/>
      </c>
      <c r="AO25" s="203" t="str">
        <f t="shared" si="6"/>
        <v>OK</v>
      </c>
      <c r="AP25" s="226" t="s">
        <v>276</v>
      </c>
      <c r="AQ25" s="230"/>
      <c r="AR25" s="183" t="str">
        <f t="shared" ref="AR25:AR40" si="135">IF($AB25="I","",IF($AA25="","",IF(AP25="","",AP25)))</f>
        <v/>
      </c>
      <c r="AS25" s="203" t="str">
        <f t="shared" si="8"/>
        <v>OK</v>
      </c>
      <c r="AT25" s="226" t="s">
        <v>276</v>
      </c>
      <c r="AU25" s="230"/>
      <c r="AV25" s="183" t="str">
        <f t="shared" ref="AV25:AV40" si="136">IF($AB25="I","",IF($AA25="","",IF(AT25="","",AT25)))</f>
        <v/>
      </c>
      <c r="AW25" s="203" t="str">
        <f t="shared" si="10"/>
        <v>OK</v>
      </c>
      <c r="AX25" s="226" t="s">
        <v>276</v>
      </c>
      <c r="AY25" s="230"/>
      <c r="AZ25" s="183" t="str">
        <f t="shared" ref="AZ25:AZ40" si="137">IF($AB25="I","",IF($AA25="","",IF(AX25="","",AX25)))</f>
        <v/>
      </c>
      <c r="BA25" s="203" t="str">
        <f t="shared" si="12"/>
        <v>OK</v>
      </c>
      <c r="BB25" s="226" t="s">
        <v>276</v>
      </c>
      <c r="BC25" s="230"/>
      <c r="BD25" s="183" t="str">
        <f t="shared" ref="BD25:BD40" si="138">IF($AB25="I","",IF($AA25="","",IF(BB25="","",BB25)))</f>
        <v/>
      </c>
      <c r="BE25" s="203" t="str">
        <f t="shared" si="14"/>
        <v>OK</v>
      </c>
      <c r="BF25" s="226" t="s">
        <v>276</v>
      </c>
      <c r="BG25" s="230"/>
      <c r="BH25" s="183" t="str">
        <f t="shared" ref="BH25:BH40" si="139">IF($AB25="I","",IF($AA25="","",IF(BF25="","",BF25)))</f>
        <v/>
      </c>
      <c r="BI25" s="203" t="str">
        <f t="shared" si="16"/>
        <v>OK</v>
      </c>
      <c r="BJ25" s="226" t="s">
        <v>276</v>
      </c>
      <c r="BK25" s="230"/>
      <c r="BL25" s="183" t="str">
        <f t="shared" ref="BL25:BL40" si="140">IF($AB25="I","",IF($AA25="","",IF(BJ25="","",BJ25)))</f>
        <v/>
      </c>
      <c r="BM25" s="203" t="str">
        <f t="shared" si="18"/>
        <v>OK</v>
      </c>
      <c r="BN25" s="226" t="s">
        <v>276</v>
      </c>
      <c r="BO25" s="230"/>
      <c r="BP25" s="183" t="str">
        <f t="shared" ref="BP25:BP40" si="141">IF($AB25="I","",IF($AA25="","",IF(BN25="","",BN25)))</f>
        <v/>
      </c>
      <c r="BQ25" s="203" t="str">
        <f t="shared" si="20"/>
        <v>OK</v>
      </c>
      <c r="BR25" s="226" t="s">
        <v>276</v>
      </c>
      <c r="BS25" s="230"/>
      <c r="BT25" s="183" t="str">
        <f t="shared" ref="BT25:BT40" si="142">IF($AB25="I","",IF($AA25="","",IF(BR25="","",BR25)))</f>
        <v/>
      </c>
      <c r="BU25" s="203" t="str">
        <f t="shared" si="22"/>
        <v>OK</v>
      </c>
      <c r="BV25" s="226" t="s">
        <v>276</v>
      </c>
      <c r="BW25" s="230"/>
      <c r="BX25" s="183" t="str">
        <f t="shared" ref="BX25:BX40" si="143">IF($AB25="I","",IF($AA25="","",IF(BV25="","",BV25)))</f>
        <v/>
      </c>
      <c r="BY25" s="203" t="str">
        <f t="shared" si="24"/>
        <v>OK</v>
      </c>
      <c r="BZ25" s="226" t="s">
        <v>276</v>
      </c>
      <c r="CA25" s="230"/>
      <c r="CB25" s="183" t="str">
        <f t="shared" ref="CB25:CB40" si="144">IF($AB25="I","",IF($AA25="","",IF(BZ25="","",BZ25)))</f>
        <v/>
      </c>
      <c r="CC25" s="203" t="str">
        <f t="shared" si="26"/>
        <v>OK</v>
      </c>
      <c r="CD25" s="226" t="s">
        <v>276</v>
      </c>
      <c r="CE25" s="230"/>
      <c r="CF25" s="183" t="str">
        <f t="shared" ref="CF25:CF40" si="145">IF($AB25="I","",IF($AA25="","",IF(CD25="","",CD25)))</f>
        <v/>
      </c>
      <c r="CG25" s="203" t="str">
        <f t="shared" si="28"/>
        <v>OK</v>
      </c>
      <c r="CH25" s="226" t="s">
        <v>276</v>
      </c>
      <c r="CI25" s="230"/>
      <c r="CJ25" s="183" t="str">
        <f t="shared" ref="CJ25:CJ40" si="146">IF($AB25="I","",IF($AA25="","",IF(CH25="","",CH25)))</f>
        <v/>
      </c>
      <c r="CK25" s="203" t="str">
        <f t="shared" si="30"/>
        <v>OK</v>
      </c>
      <c r="CL25" s="226" t="s">
        <v>276</v>
      </c>
      <c r="CM25" s="230"/>
      <c r="CN25" s="183" t="str">
        <f t="shared" ref="CN25:CN40" si="147">IF($AB25="I","",IF($AA25="","",IF(CL25="","",CL25)))</f>
        <v/>
      </c>
      <c r="CO25" s="203" t="str">
        <f t="shared" si="32"/>
        <v>OK</v>
      </c>
      <c r="CP25" s="226" t="s">
        <v>276</v>
      </c>
      <c r="CQ25" s="230"/>
      <c r="CR25" s="183" t="str">
        <f t="shared" ref="CR25:CR40" si="148">IF($AB25="I","",IF($AA25="","",IF(CP25="","",CP25)))</f>
        <v/>
      </c>
      <c r="CS25" s="203" t="str">
        <f t="shared" si="34"/>
        <v>OK</v>
      </c>
      <c r="CT25" s="226" t="s">
        <v>276</v>
      </c>
      <c r="CU25" s="230"/>
      <c r="CV25" s="183" t="str">
        <f t="shared" ref="CV25:CV40" si="149">IF($AB25="I","",IF($AA25="","",IF(CT25="","",CT25)))</f>
        <v/>
      </c>
      <c r="CW25" s="203" t="str">
        <f t="shared" si="36"/>
        <v>OK</v>
      </c>
      <c r="CX25" s="226" t="s">
        <v>276</v>
      </c>
      <c r="CY25" s="230"/>
      <c r="CZ25" s="183" t="str">
        <f t="shared" ref="CZ25:CZ40" si="150">IF($AB25="I","",IF($AA25="","",IF(CX25="","",CX25)))</f>
        <v/>
      </c>
      <c r="DA25" s="203" t="str">
        <f t="shared" si="38"/>
        <v>OK</v>
      </c>
      <c r="DB25" s="226" t="s">
        <v>276</v>
      </c>
      <c r="DC25" s="230"/>
      <c r="DD25" s="183" t="str">
        <f t="shared" ref="DD25:DD40" si="151">IF($AB25="I","",IF($AA25="","",IF(DB25="","",DB25)))</f>
        <v/>
      </c>
      <c r="DE25" s="203" t="str">
        <f t="shared" si="40"/>
        <v>OK</v>
      </c>
      <c r="DF25" s="226" t="s">
        <v>276</v>
      </c>
      <c r="DG25" s="230"/>
      <c r="DH25" s="183" t="str">
        <f t="shared" ref="DH25:DH40" si="152">IF($AB25="I","",IF($AA25="","",IF(DF25="","",DF25)))</f>
        <v/>
      </c>
      <c r="DI25" s="203" t="str">
        <f t="shared" si="42"/>
        <v>OK</v>
      </c>
      <c r="DJ25" s="226" t="s">
        <v>276</v>
      </c>
      <c r="DK25" s="230"/>
      <c r="DL25" s="183" t="str">
        <f t="shared" ref="DL25:DL40" si="153">IF($AB25="I","",IF($AA25="","",IF(DJ25="","",DJ25)))</f>
        <v/>
      </c>
      <c r="DM25" s="203" t="str">
        <f t="shared" si="44"/>
        <v>OK</v>
      </c>
      <c r="DN25" s="226" t="s">
        <v>276</v>
      </c>
      <c r="DO25" s="230"/>
      <c r="DP25" s="183" t="str">
        <f t="shared" ref="DP25:DP40" si="154">IF($AB25="I","",IF($AA25="","",IF(DN25="","",DN25)))</f>
        <v/>
      </c>
      <c r="DQ25" s="203" t="str">
        <f t="shared" si="46"/>
        <v>OK</v>
      </c>
      <c r="DR25" s="226" t="s">
        <v>276</v>
      </c>
      <c r="DS25" s="230"/>
      <c r="DT25" s="183" t="str">
        <f t="shared" ref="DT25:DT40" si="155">IF($AB25="I","",IF($AA25="","",IF(DR25="","",DR25)))</f>
        <v/>
      </c>
      <c r="DU25" s="203" t="str">
        <f t="shared" si="48"/>
        <v>OK</v>
      </c>
      <c r="DV25" s="226" t="s">
        <v>276</v>
      </c>
      <c r="DW25" s="230"/>
      <c r="DX25" s="183" t="str">
        <f t="shared" ref="DX25:DX40" si="156">IF($AB25="I","",IF($AA25="","",IF(DV25="","",DV25)))</f>
        <v/>
      </c>
      <c r="DY25" s="203" t="str">
        <f t="shared" si="50"/>
        <v>OK</v>
      </c>
      <c r="DZ25" s="226" t="s">
        <v>276</v>
      </c>
      <c r="EA25" s="230"/>
      <c r="EB25" s="183" t="str">
        <f t="shared" ref="EB25:EB40" si="157">IF($AB25="I","",IF($AA25="","",IF(DZ25="","",DZ25)))</f>
        <v/>
      </c>
      <c r="EC25" s="203" t="str">
        <f t="shared" si="52"/>
        <v>OK</v>
      </c>
      <c r="ED25" s="226" t="s">
        <v>276</v>
      </c>
      <c r="EE25" s="230"/>
      <c r="EF25" s="183" t="str">
        <f t="shared" ref="EF25:EF40" si="158">IF($AB25="I","",IF($AA25="","",IF(ED25="","",ED25)))</f>
        <v/>
      </c>
      <c r="EG25" s="203" t="str">
        <f t="shared" si="54"/>
        <v>OK</v>
      </c>
      <c r="EH25" s="226" t="s">
        <v>276</v>
      </c>
      <c r="EI25" s="230"/>
      <c r="EJ25" s="183" t="str">
        <f t="shared" ref="EJ25:EJ40" si="159">IF($AB25="I","",IF($AA25="","",IF(EH25="","",EH25)))</f>
        <v/>
      </c>
      <c r="EK25" s="203" t="str">
        <f t="shared" si="56"/>
        <v>OK</v>
      </c>
      <c r="EL25" s="226" t="s">
        <v>276</v>
      </c>
      <c r="EM25" s="230"/>
      <c r="EN25" s="183" t="str">
        <f t="shared" ref="EN25:EN40" si="160">IF($AB25="I","",IF($AA25="","",IF(EL25="","",EL25)))</f>
        <v/>
      </c>
      <c r="EO25" s="203" t="str">
        <f t="shared" si="58"/>
        <v>OK</v>
      </c>
      <c r="EP25" s="226" t="s">
        <v>276</v>
      </c>
      <c r="EQ25" s="230"/>
      <c r="ER25" s="183" t="str">
        <f t="shared" ref="ER25:ER40" si="161">IF($AB25="I","",IF($AA25="","",IF(EP25="","",EP25)))</f>
        <v/>
      </c>
      <c r="ES25" s="203" t="str">
        <f t="shared" si="60"/>
        <v>OK</v>
      </c>
      <c r="ET25" s="226" t="s">
        <v>276</v>
      </c>
      <c r="EU25" s="230"/>
      <c r="EV25" s="183" t="str">
        <f t="shared" ref="EV25:EV40" si="162">IF($AB25="I","",IF($AA25="","",IF(ET25="","",ET25)))</f>
        <v/>
      </c>
      <c r="EW25" s="203" t="str">
        <f t="shared" si="62"/>
        <v>OK</v>
      </c>
      <c r="EX25" s="226" t="s">
        <v>276</v>
      </c>
      <c r="EY25" s="230"/>
      <c r="EZ25" s="183" t="str">
        <f t="shared" ref="EZ25:EZ40" si="163">IF($AB25="I","",IF($AA25="","",IF(EX25="","",EX25)))</f>
        <v/>
      </c>
      <c r="FA25" s="203" t="str">
        <f t="shared" si="64"/>
        <v>OK</v>
      </c>
      <c r="FB25" s="226" t="s">
        <v>276</v>
      </c>
      <c r="FC25" s="230"/>
      <c r="FD25" s="183" t="str">
        <f t="shared" ref="FD25:FD40" si="164">IF($AB25="I","",IF($AA25="","",IF(FB25="","",FB25)))</f>
        <v/>
      </c>
      <c r="FE25" s="203" t="str">
        <f t="shared" si="66"/>
        <v>OK</v>
      </c>
      <c r="FF25" s="226" t="s">
        <v>276</v>
      </c>
      <c r="FG25" s="230"/>
      <c r="FH25" s="183" t="str">
        <f t="shared" ref="FH25:FH40" si="165">IF($AB25="I","",IF($AA25="","",IF(FF25="","",FF25)))</f>
        <v/>
      </c>
      <c r="FI25" s="203" t="str">
        <f t="shared" si="68"/>
        <v>OK</v>
      </c>
      <c r="FJ25" s="226" t="s">
        <v>276</v>
      </c>
      <c r="FK25" s="230"/>
      <c r="FL25" s="183" t="str">
        <f t="shared" ref="FL25:FL40" si="166">IF($AB25="I","",IF($AA25="","",IF(FJ25="","",FJ25)))</f>
        <v/>
      </c>
      <c r="FM25" s="203" t="str">
        <f t="shared" si="70"/>
        <v>OK</v>
      </c>
      <c r="FN25" s="226" t="s">
        <v>276</v>
      </c>
      <c r="FO25" s="230"/>
      <c r="FP25" s="183" t="str">
        <f t="shared" ref="FP25:FP40" si="167">IF($AB25="I","",IF($AA25="","",IF(FN25="","",FN25)))</f>
        <v/>
      </c>
      <c r="FQ25" s="203" t="str">
        <f t="shared" si="72"/>
        <v>OK</v>
      </c>
      <c r="FR25" s="226" t="s">
        <v>276</v>
      </c>
      <c r="FS25" s="230"/>
      <c r="FT25" s="183" t="str">
        <f t="shared" ref="FT25:FT40" si="168">IF($AB25="I","",IF($AA25="","",IF(FR25="","",FR25)))</f>
        <v/>
      </c>
      <c r="FU25" s="203" t="str">
        <f t="shared" si="74"/>
        <v>OK</v>
      </c>
      <c r="FV25" s="226" t="s">
        <v>276</v>
      </c>
      <c r="FW25" s="230"/>
      <c r="FX25" s="183" t="str">
        <f t="shared" ref="FX25:FX40" si="169">IF($AB25="I","",IF($AA25="","",IF(FV25="","",FV25)))</f>
        <v/>
      </c>
      <c r="FY25" s="203" t="str">
        <f t="shared" si="76"/>
        <v>OK</v>
      </c>
      <c r="FZ25" s="226" t="s">
        <v>276</v>
      </c>
      <c r="GA25" s="230"/>
      <c r="GB25" s="183" t="str">
        <f t="shared" ref="GB25:GB40" si="170">IF($AB25="I","",IF($AA25="","",IF(FZ25="","",FZ25)))</f>
        <v/>
      </c>
      <c r="GC25" s="203" t="str">
        <f t="shared" si="78"/>
        <v>OK</v>
      </c>
      <c r="GD25" s="226" t="s">
        <v>276</v>
      </c>
      <c r="GE25" s="230"/>
      <c r="GF25" s="183" t="str">
        <f t="shared" ref="GF25:GF40" si="171">IF($AB25="I","",IF($AA25="","",IF(GD25="","",GD25)))</f>
        <v/>
      </c>
      <c r="GG25" s="203" t="str">
        <f t="shared" si="80"/>
        <v>OK</v>
      </c>
      <c r="GH25" s="226" t="s">
        <v>276</v>
      </c>
      <c r="GI25" s="230"/>
      <c r="GJ25" s="183" t="str">
        <f t="shared" ref="GJ25:GJ40" si="172">IF($AB25="I","",IF($AA25="","",IF(GH25="","",GH25)))</f>
        <v/>
      </c>
      <c r="GK25" s="203" t="str">
        <f t="shared" si="82"/>
        <v>OK</v>
      </c>
      <c r="GL25" s="226" t="s">
        <v>276</v>
      </c>
      <c r="GM25" s="230"/>
      <c r="GN25" s="183" t="str">
        <f t="shared" ref="GN25:GN40" si="173">IF($AB25="I","",IF($AA25="","",IF(GL25="","",GL25)))</f>
        <v/>
      </c>
      <c r="GO25" s="203" t="str">
        <f t="shared" si="84"/>
        <v>OK</v>
      </c>
      <c r="GP25" s="226" t="s">
        <v>276</v>
      </c>
      <c r="GQ25" s="230"/>
      <c r="GR25" s="183" t="str">
        <f t="shared" ref="GR25:GR40" si="174">IF($AB25="I","",IF($AA25="","",IF(GP25="","",GP25)))</f>
        <v/>
      </c>
      <c r="GS25" s="203" t="str">
        <f t="shared" si="86"/>
        <v>OK</v>
      </c>
      <c r="GT25" s="202"/>
      <c r="GU25" s="202"/>
      <c r="GV25" s="255"/>
      <c r="GW25" s="255"/>
      <c r="GX25" s="255"/>
    </row>
    <row r="26" spans="1:206" ht="13">
      <c r="A26" s="200" t="s">
        <v>59</v>
      </c>
      <c r="B26" s="225">
        <f t="shared" si="130"/>
        <v>19</v>
      </c>
      <c r="C26" s="229"/>
      <c r="D26" s="229"/>
      <c r="E26" s="229"/>
      <c r="F26" s="234" t="s">
        <v>434</v>
      </c>
      <c r="G26" s="221"/>
      <c r="H26" s="221"/>
      <c r="I26" s="209"/>
      <c r="J26" s="217" t="s">
        <v>23</v>
      </c>
      <c r="K26" s="219"/>
      <c r="L26" s="219"/>
      <c r="M26" s="218"/>
      <c r="N26" s="217"/>
      <c r="O26" s="259"/>
      <c r="P26" s="212"/>
      <c r="Q26" s="212"/>
      <c r="R26" s="215"/>
      <c r="S26" s="214"/>
      <c r="T26" s="212"/>
      <c r="U26" s="213"/>
      <c r="V26" s="212"/>
      <c r="W26" s="225" t="str">
        <f t="shared" si="131"/>
        <v>3</v>
      </c>
      <c r="X26" s="210" t="s">
        <v>433</v>
      </c>
      <c r="Y26" s="210"/>
      <c r="Z26" s="210"/>
      <c r="AA26" s="209"/>
      <c r="AB26" s="209" t="s">
        <v>306</v>
      </c>
      <c r="AC26" s="252"/>
      <c r="AD26" s="226"/>
      <c r="AE26" s="230"/>
      <c r="AF26" s="183" t="str">
        <f t="shared" si="132"/>
        <v/>
      </c>
      <c r="AG26" s="203" t="str">
        <f t="shared" si="2"/>
        <v>OK</v>
      </c>
      <c r="AH26" s="226"/>
      <c r="AI26" s="230"/>
      <c r="AJ26" s="183" t="str">
        <f t="shared" si="133"/>
        <v/>
      </c>
      <c r="AK26" s="203" t="str">
        <f t="shared" si="4"/>
        <v>OK</v>
      </c>
      <c r="AL26" s="226"/>
      <c r="AM26" s="230"/>
      <c r="AN26" s="183" t="str">
        <f t="shared" si="134"/>
        <v/>
      </c>
      <c r="AO26" s="203" t="str">
        <f t="shared" si="6"/>
        <v>OK</v>
      </c>
      <c r="AP26" s="226"/>
      <c r="AQ26" s="230"/>
      <c r="AR26" s="183" t="str">
        <f t="shared" si="135"/>
        <v/>
      </c>
      <c r="AS26" s="203" t="str">
        <f t="shared" si="8"/>
        <v>OK</v>
      </c>
      <c r="AT26" s="226"/>
      <c r="AU26" s="230"/>
      <c r="AV26" s="183" t="str">
        <f t="shared" si="136"/>
        <v/>
      </c>
      <c r="AW26" s="203" t="str">
        <f t="shared" si="10"/>
        <v>OK</v>
      </c>
      <c r="AX26" s="226"/>
      <c r="AY26" s="230"/>
      <c r="AZ26" s="183" t="str">
        <f t="shared" si="137"/>
        <v/>
      </c>
      <c r="BA26" s="203" t="str">
        <f t="shared" si="12"/>
        <v>OK</v>
      </c>
      <c r="BB26" s="226"/>
      <c r="BC26" s="230"/>
      <c r="BD26" s="183" t="str">
        <f t="shared" si="138"/>
        <v/>
      </c>
      <c r="BE26" s="203" t="str">
        <f t="shared" si="14"/>
        <v>OK</v>
      </c>
      <c r="BF26" s="226"/>
      <c r="BG26" s="230"/>
      <c r="BH26" s="183" t="str">
        <f t="shared" si="139"/>
        <v/>
      </c>
      <c r="BI26" s="203" t="str">
        <f t="shared" si="16"/>
        <v>OK</v>
      </c>
      <c r="BJ26" s="226"/>
      <c r="BK26" s="230"/>
      <c r="BL26" s="183" t="str">
        <f t="shared" si="140"/>
        <v/>
      </c>
      <c r="BM26" s="203" t="str">
        <f t="shared" si="18"/>
        <v>OK</v>
      </c>
      <c r="BN26" s="226"/>
      <c r="BO26" s="230"/>
      <c r="BP26" s="183" t="str">
        <f t="shared" si="141"/>
        <v/>
      </c>
      <c r="BQ26" s="203" t="str">
        <f t="shared" si="20"/>
        <v>OK</v>
      </c>
      <c r="BR26" s="226"/>
      <c r="BS26" s="230"/>
      <c r="BT26" s="183" t="str">
        <f t="shared" si="142"/>
        <v/>
      </c>
      <c r="BU26" s="203" t="str">
        <f t="shared" si="22"/>
        <v>OK</v>
      </c>
      <c r="BV26" s="226"/>
      <c r="BW26" s="230"/>
      <c r="BX26" s="183" t="str">
        <f t="shared" si="143"/>
        <v/>
      </c>
      <c r="BY26" s="203" t="str">
        <f t="shared" si="24"/>
        <v>OK</v>
      </c>
      <c r="BZ26" s="226"/>
      <c r="CA26" s="230"/>
      <c r="CB26" s="183" t="str">
        <f t="shared" si="144"/>
        <v/>
      </c>
      <c r="CC26" s="203" t="str">
        <f t="shared" si="26"/>
        <v>OK</v>
      </c>
      <c r="CD26" s="226"/>
      <c r="CE26" s="230"/>
      <c r="CF26" s="183" t="str">
        <f t="shared" si="145"/>
        <v/>
      </c>
      <c r="CG26" s="203" t="str">
        <f t="shared" si="28"/>
        <v>OK</v>
      </c>
      <c r="CH26" s="226"/>
      <c r="CI26" s="230"/>
      <c r="CJ26" s="183" t="str">
        <f t="shared" si="146"/>
        <v/>
      </c>
      <c r="CK26" s="203" t="str">
        <f t="shared" si="30"/>
        <v>OK</v>
      </c>
      <c r="CL26" s="226"/>
      <c r="CM26" s="230"/>
      <c r="CN26" s="183" t="str">
        <f t="shared" si="147"/>
        <v/>
      </c>
      <c r="CO26" s="203" t="str">
        <f t="shared" si="32"/>
        <v>OK</v>
      </c>
      <c r="CP26" s="226"/>
      <c r="CQ26" s="230"/>
      <c r="CR26" s="183" t="str">
        <f t="shared" si="148"/>
        <v/>
      </c>
      <c r="CS26" s="203" t="str">
        <f t="shared" si="34"/>
        <v>OK</v>
      </c>
      <c r="CT26" s="226"/>
      <c r="CU26" s="230"/>
      <c r="CV26" s="183" t="str">
        <f t="shared" si="149"/>
        <v/>
      </c>
      <c r="CW26" s="203" t="str">
        <f t="shared" si="36"/>
        <v>OK</v>
      </c>
      <c r="CX26" s="226"/>
      <c r="CY26" s="230"/>
      <c r="CZ26" s="183" t="str">
        <f t="shared" si="150"/>
        <v/>
      </c>
      <c r="DA26" s="203" t="str">
        <f t="shared" si="38"/>
        <v>OK</v>
      </c>
      <c r="DB26" s="226"/>
      <c r="DC26" s="230"/>
      <c r="DD26" s="183" t="str">
        <f t="shared" si="151"/>
        <v/>
      </c>
      <c r="DE26" s="203" t="str">
        <f t="shared" si="40"/>
        <v>OK</v>
      </c>
      <c r="DF26" s="226"/>
      <c r="DG26" s="230"/>
      <c r="DH26" s="183" t="str">
        <f t="shared" si="152"/>
        <v/>
      </c>
      <c r="DI26" s="203" t="str">
        <f t="shared" si="42"/>
        <v>OK</v>
      </c>
      <c r="DJ26" s="226"/>
      <c r="DK26" s="230"/>
      <c r="DL26" s="183" t="str">
        <f t="shared" si="153"/>
        <v/>
      </c>
      <c r="DM26" s="203" t="str">
        <f t="shared" si="44"/>
        <v>OK</v>
      </c>
      <c r="DN26" s="226"/>
      <c r="DO26" s="230"/>
      <c r="DP26" s="183" t="str">
        <f t="shared" si="154"/>
        <v/>
      </c>
      <c r="DQ26" s="203" t="str">
        <f t="shared" si="46"/>
        <v>OK</v>
      </c>
      <c r="DR26" s="226"/>
      <c r="DS26" s="230"/>
      <c r="DT26" s="183" t="str">
        <f t="shared" si="155"/>
        <v/>
      </c>
      <c r="DU26" s="203" t="str">
        <f t="shared" si="48"/>
        <v>OK</v>
      </c>
      <c r="DV26" s="226"/>
      <c r="DW26" s="230"/>
      <c r="DX26" s="183" t="str">
        <f t="shared" si="156"/>
        <v/>
      </c>
      <c r="DY26" s="203" t="str">
        <f t="shared" si="50"/>
        <v>OK</v>
      </c>
      <c r="DZ26" s="226"/>
      <c r="EA26" s="230"/>
      <c r="EB26" s="183" t="str">
        <f t="shared" si="157"/>
        <v/>
      </c>
      <c r="EC26" s="203" t="str">
        <f t="shared" si="52"/>
        <v>OK</v>
      </c>
      <c r="ED26" s="226"/>
      <c r="EE26" s="230"/>
      <c r="EF26" s="183" t="str">
        <f t="shared" si="158"/>
        <v/>
      </c>
      <c r="EG26" s="203" t="str">
        <f t="shared" si="54"/>
        <v>OK</v>
      </c>
      <c r="EH26" s="226"/>
      <c r="EI26" s="230"/>
      <c r="EJ26" s="183" t="str">
        <f t="shared" si="159"/>
        <v/>
      </c>
      <c r="EK26" s="203" t="str">
        <f t="shared" si="56"/>
        <v>OK</v>
      </c>
      <c r="EL26" s="226"/>
      <c r="EM26" s="230"/>
      <c r="EN26" s="183" t="str">
        <f t="shared" si="160"/>
        <v/>
      </c>
      <c r="EO26" s="203" t="str">
        <f t="shared" si="58"/>
        <v>OK</v>
      </c>
      <c r="EP26" s="226"/>
      <c r="EQ26" s="230"/>
      <c r="ER26" s="183" t="str">
        <f t="shared" si="161"/>
        <v/>
      </c>
      <c r="ES26" s="203" t="str">
        <f t="shared" si="60"/>
        <v>OK</v>
      </c>
      <c r="ET26" s="226"/>
      <c r="EU26" s="230"/>
      <c r="EV26" s="183" t="str">
        <f t="shared" si="162"/>
        <v/>
      </c>
      <c r="EW26" s="203" t="str">
        <f t="shared" si="62"/>
        <v>OK</v>
      </c>
      <c r="EX26" s="226"/>
      <c r="EY26" s="230"/>
      <c r="EZ26" s="183" t="str">
        <f t="shared" si="163"/>
        <v/>
      </c>
      <c r="FA26" s="203" t="str">
        <f t="shared" si="64"/>
        <v>OK</v>
      </c>
      <c r="FB26" s="226"/>
      <c r="FC26" s="230"/>
      <c r="FD26" s="183" t="str">
        <f t="shared" si="164"/>
        <v/>
      </c>
      <c r="FE26" s="203" t="str">
        <f t="shared" si="66"/>
        <v>OK</v>
      </c>
      <c r="FF26" s="226"/>
      <c r="FG26" s="230"/>
      <c r="FH26" s="183" t="str">
        <f t="shared" si="165"/>
        <v/>
      </c>
      <c r="FI26" s="203" t="str">
        <f t="shared" si="68"/>
        <v>OK</v>
      </c>
      <c r="FJ26" s="226"/>
      <c r="FK26" s="230"/>
      <c r="FL26" s="183" t="str">
        <f t="shared" si="166"/>
        <v/>
      </c>
      <c r="FM26" s="203" t="str">
        <f t="shared" si="70"/>
        <v>OK</v>
      </c>
      <c r="FN26" s="226"/>
      <c r="FO26" s="230"/>
      <c r="FP26" s="183" t="str">
        <f t="shared" si="167"/>
        <v/>
      </c>
      <c r="FQ26" s="203" t="str">
        <f t="shared" si="72"/>
        <v>OK</v>
      </c>
      <c r="FR26" s="226"/>
      <c r="FS26" s="230"/>
      <c r="FT26" s="183" t="str">
        <f t="shared" si="168"/>
        <v/>
      </c>
      <c r="FU26" s="203" t="str">
        <f t="shared" si="74"/>
        <v>OK</v>
      </c>
      <c r="FV26" s="226"/>
      <c r="FW26" s="230"/>
      <c r="FX26" s="183" t="str">
        <f t="shared" si="169"/>
        <v/>
      </c>
      <c r="FY26" s="203" t="str">
        <f t="shared" si="76"/>
        <v>OK</v>
      </c>
      <c r="FZ26" s="226"/>
      <c r="GA26" s="230"/>
      <c r="GB26" s="183" t="str">
        <f t="shared" si="170"/>
        <v/>
      </c>
      <c r="GC26" s="203" t="str">
        <f t="shared" si="78"/>
        <v>OK</v>
      </c>
      <c r="GD26" s="226"/>
      <c r="GE26" s="230"/>
      <c r="GF26" s="183" t="str">
        <f t="shared" si="171"/>
        <v/>
      </c>
      <c r="GG26" s="203" t="str">
        <f t="shared" si="80"/>
        <v>OK</v>
      </c>
      <c r="GH26" s="226"/>
      <c r="GI26" s="230"/>
      <c r="GJ26" s="183" t="str">
        <f t="shared" si="172"/>
        <v/>
      </c>
      <c r="GK26" s="203" t="str">
        <f t="shared" si="82"/>
        <v>OK</v>
      </c>
      <c r="GL26" s="226"/>
      <c r="GM26" s="230"/>
      <c r="GN26" s="183" t="str">
        <f t="shared" si="173"/>
        <v/>
      </c>
      <c r="GO26" s="203" t="str">
        <f t="shared" si="84"/>
        <v>OK</v>
      </c>
      <c r="GP26" s="226"/>
      <c r="GQ26" s="230"/>
      <c r="GR26" s="183" t="str">
        <f t="shared" si="174"/>
        <v/>
      </c>
      <c r="GS26" s="203" t="str">
        <f t="shared" si="86"/>
        <v>OK</v>
      </c>
      <c r="GT26" s="202"/>
      <c r="GU26" s="202"/>
      <c r="GV26" s="255"/>
      <c r="GW26" s="255"/>
      <c r="GX26" s="255"/>
    </row>
    <row r="27" spans="1:206">
      <c r="A27" s="200" t="s">
        <v>336</v>
      </c>
      <c r="B27" s="225">
        <f t="shared" si="130"/>
        <v>20</v>
      </c>
      <c r="C27" s="229"/>
      <c r="D27" s="229"/>
      <c r="E27" s="229"/>
      <c r="F27" s="229"/>
      <c r="G27" s="222" t="s">
        <v>432</v>
      </c>
      <c r="H27" s="221"/>
      <c r="I27" s="209"/>
      <c r="J27" s="217" t="s">
        <v>23</v>
      </c>
      <c r="K27" s="219"/>
      <c r="L27" s="219"/>
      <c r="M27" s="218" t="s">
        <v>431</v>
      </c>
      <c r="N27" s="217"/>
      <c r="O27" s="216"/>
      <c r="P27" s="212"/>
      <c r="Q27" s="212"/>
      <c r="R27" s="215"/>
      <c r="S27" s="214"/>
      <c r="T27" s="212"/>
      <c r="U27" s="213"/>
      <c r="V27" s="212"/>
      <c r="W27" s="225" t="str">
        <f t="shared" si="131"/>
        <v>4</v>
      </c>
      <c r="X27" s="210" t="s">
        <v>430</v>
      </c>
      <c r="Y27" s="210">
        <v>1</v>
      </c>
      <c r="Z27" s="210">
        <v>25</v>
      </c>
      <c r="AA27" s="209" t="s">
        <v>69</v>
      </c>
      <c r="AB27" s="209" t="s">
        <v>306</v>
      </c>
      <c r="AC27" s="252"/>
      <c r="AD27" s="231" t="s">
        <v>429</v>
      </c>
      <c r="AE27" s="230"/>
      <c r="AF27" s="183" t="str">
        <f t="shared" si="132"/>
        <v/>
      </c>
      <c r="AG27" s="203" t="str">
        <f t="shared" si="2"/>
        <v>OK</v>
      </c>
      <c r="AH27" s="231" t="s">
        <v>429</v>
      </c>
      <c r="AI27" s="230"/>
      <c r="AJ27" s="183" t="str">
        <f t="shared" si="133"/>
        <v/>
      </c>
      <c r="AK27" s="203" t="str">
        <f t="shared" si="4"/>
        <v>OK</v>
      </c>
      <c r="AL27" s="231" t="s">
        <v>429</v>
      </c>
      <c r="AM27" s="230"/>
      <c r="AN27" s="183" t="str">
        <f t="shared" si="134"/>
        <v/>
      </c>
      <c r="AO27" s="203" t="str">
        <f t="shared" si="6"/>
        <v>OK</v>
      </c>
      <c r="AP27" s="231" t="s">
        <v>429</v>
      </c>
      <c r="AQ27" s="230"/>
      <c r="AR27" s="183" t="str">
        <f t="shared" si="135"/>
        <v/>
      </c>
      <c r="AS27" s="203" t="str">
        <f t="shared" si="8"/>
        <v>OK</v>
      </c>
      <c r="AT27" s="231" t="s">
        <v>429</v>
      </c>
      <c r="AU27" s="230"/>
      <c r="AV27" s="183" t="str">
        <f t="shared" si="136"/>
        <v/>
      </c>
      <c r="AW27" s="203" t="str">
        <f t="shared" si="10"/>
        <v>OK</v>
      </c>
      <c r="AX27" s="231" t="s">
        <v>429</v>
      </c>
      <c r="AY27" s="230"/>
      <c r="AZ27" s="183" t="str">
        <f t="shared" si="137"/>
        <v/>
      </c>
      <c r="BA27" s="203" t="str">
        <f t="shared" si="12"/>
        <v>OK</v>
      </c>
      <c r="BB27" s="231" t="s">
        <v>429</v>
      </c>
      <c r="BC27" s="230"/>
      <c r="BD27" s="183" t="str">
        <f t="shared" si="138"/>
        <v/>
      </c>
      <c r="BE27" s="203" t="str">
        <f t="shared" si="14"/>
        <v>OK</v>
      </c>
      <c r="BF27" s="231" t="s">
        <v>429</v>
      </c>
      <c r="BG27" s="230"/>
      <c r="BH27" s="183" t="str">
        <f t="shared" si="139"/>
        <v/>
      </c>
      <c r="BI27" s="203" t="str">
        <f t="shared" si="16"/>
        <v>OK</v>
      </c>
      <c r="BJ27" s="231" t="s">
        <v>429</v>
      </c>
      <c r="BK27" s="230"/>
      <c r="BL27" s="183" t="str">
        <f t="shared" si="140"/>
        <v/>
      </c>
      <c r="BM27" s="203" t="str">
        <f t="shared" si="18"/>
        <v>OK</v>
      </c>
      <c r="BN27" s="231" t="s">
        <v>429</v>
      </c>
      <c r="BO27" s="230"/>
      <c r="BP27" s="183" t="str">
        <f t="shared" si="141"/>
        <v/>
      </c>
      <c r="BQ27" s="203" t="str">
        <f t="shared" si="20"/>
        <v>OK</v>
      </c>
      <c r="BR27" s="231" t="s">
        <v>429</v>
      </c>
      <c r="BS27" s="230"/>
      <c r="BT27" s="183" t="str">
        <f t="shared" si="142"/>
        <v/>
      </c>
      <c r="BU27" s="203" t="str">
        <f t="shared" si="22"/>
        <v>OK</v>
      </c>
      <c r="BV27" s="231" t="s">
        <v>429</v>
      </c>
      <c r="BW27" s="230"/>
      <c r="BX27" s="183" t="str">
        <f t="shared" si="143"/>
        <v/>
      </c>
      <c r="BY27" s="203" t="str">
        <f t="shared" si="24"/>
        <v>OK</v>
      </c>
      <c r="BZ27" s="231" t="s">
        <v>429</v>
      </c>
      <c r="CA27" s="230"/>
      <c r="CB27" s="183" t="str">
        <f t="shared" si="144"/>
        <v/>
      </c>
      <c r="CC27" s="203" t="str">
        <f t="shared" si="26"/>
        <v>OK</v>
      </c>
      <c r="CD27" s="231" t="s">
        <v>429</v>
      </c>
      <c r="CE27" s="230"/>
      <c r="CF27" s="183" t="str">
        <f t="shared" si="145"/>
        <v/>
      </c>
      <c r="CG27" s="203" t="str">
        <f t="shared" si="28"/>
        <v>OK</v>
      </c>
      <c r="CH27" s="231" t="s">
        <v>429</v>
      </c>
      <c r="CI27" s="230"/>
      <c r="CJ27" s="183" t="str">
        <f t="shared" si="146"/>
        <v/>
      </c>
      <c r="CK27" s="203" t="str">
        <f t="shared" si="30"/>
        <v>OK</v>
      </c>
      <c r="CL27" s="231" t="s">
        <v>429</v>
      </c>
      <c r="CM27" s="230"/>
      <c r="CN27" s="183" t="str">
        <f t="shared" si="147"/>
        <v/>
      </c>
      <c r="CO27" s="203" t="str">
        <f t="shared" si="32"/>
        <v>OK</v>
      </c>
      <c r="CP27" s="231" t="s">
        <v>429</v>
      </c>
      <c r="CQ27" s="230"/>
      <c r="CR27" s="183" t="str">
        <f t="shared" si="148"/>
        <v/>
      </c>
      <c r="CS27" s="203" t="str">
        <f t="shared" si="34"/>
        <v>OK</v>
      </c>
      <c r="CT27" s="231" t="s">
        <v>429</v>
      </c>
      <c r="CU27" s="230"/>
      <c r="CV27" s="183" t="str">
        <f t="shared" si="149"/>
        <v/>
      </c>
      <c r="CW27" s="203" t="str">
        <f t="shared" si="36"/>
        <v>OK</v>
      </c>
      <c r="CX27" s="231" t="s">
        <v>429</v>
      </c>
      <c r="CY27" s="230"/>
      <c r="CZ27" s="183" t="str">
        <f t="shared" si="150"/>
        <v/>
      </c>
      <c r="DA27" s="203" t="str">
        <f t="shared" si="38"/>
        <v>OK</v>
      </c>
      <c r="DB27" s="231" t="s">
        <v>429</v>
      </c>
      <c r="DC27" s="230"/>
      <c r="DD27" s="183" t="str">
        <f t="shared" si="151"/>
        <v/>
      </c>
      <c r="DE27" s="203" t="str">
        <f t="shared" si="40"/>
        <v>OK</v>
      </c>
      <c r="DF27" s="231" t="s">
        <v>429</v>
      </c>
      <c r="DG27" s="230"/>
      <c r="DH27" s="183" t="str">
        <f t="shared" si="152"/>
        <v/>
      </c>
      <c r="DI27" s="203" t="str">
        <f t="shared" si="42"/>
        <v>OK</v>
      </c>
      <c r="DJ27" s="231" t="s">
        <v>429</v>
      </c>
      <c r="DK27" s="230"/>
      <c r="DL27" s="183" t="str">
        <f t="shared" si="153"/>
        <v/>
      </c>
      <c r="DM27" s="203" t="str">
        <f t="shared" si="44"/>
        <v>OK</v>
      </c>
      <c r="DN27" s="231" t="s">
        <v>429</v>
      </c>
      <c r="DO27" s="230"/>
      <c r="DP27" s="183" t="str">
        <f t="shared" si="154"/>
        <v/>
      </c>
      <c r="DQ27" s="203" t="str">
        <f t="shared" si="46"/>
        <v>OK</v>
      </c>
      <c r="DR27" s="231" t="s">
        <v>429</v>
      </c>
      <c r="DS27" s="230"/>
      <c r="DT27" s="183" t="str">
        <f t="shared" si="155"/>
        <v/>
      </c>
      <c r="DU27" s="203" t="str">
        <f t="shared" si="48"/>
        <v>OK</v>
      </c>
      <c r="DV27" s="231" t="s">
        <v>429</v>
      </c>
      <c r="DW27" s="230"/>
      <c r="DX27" s="183" t="str">
        <f t="shared" si="156"/>
        <v/>
      </c>
      <c r="DY27" s="203" t="str">
        <f t="shared" si="50"/>
        <v>OK</v>
      </c>
      <c r="DZ27" s="231" t="s">
        <v>429</v>
      </c>
      <c r="EA27" s="230"/>
      <c r="EB27" s="183" t="str">
        <f t="shared" si="157"/>
        <v/>
      </c>
      <c r="EC27" s="203" t="str">
        <f t="shared" si="52"/>
        <v>OK</v>
      </c>
      <c r="ED27" s="231" t="s">
        <v>429</v>
      </c>
      <c r="EE27" s="230"/>
      <c r="EF27" s="183" t="str">
        <f t="shared" si="158"/>
        <v/>
      </c>
      <c r="EG27" s="203" t="str">
        <f t="shared" si="54"/>
        <v>OK</v>
      </c>
      <c r="EH27" s="231" t="s">
        <v>429</v>
      </c>
      <c r="EI27" s="230"/>
      <c r="EJ27" s="183" t="str">
        <f t="shared" si="159"/>
        <v/>
      </c>
      <c r="EK27" s="203" t="str">
        <f t="shared" si="56"/>
        <v>OK</v>
      </c>
      <c r="EL27" s="231" t="s">
        <v>429</v>
      </c>
      <c r="EM27" s="230"/>
      <c r="EN27" s="183" t="str">
        <f t="shared" si="160"/>
        <v/>
      </c>
      <c r="EO27" s="203" t="str">
        <f t="shared" si="58"/>
        <v>OK</v>
      </c>
      <c r="EP27" s="231" t="s">
        <v>429</v>
      </c>
      <c r="EQ27" s="230"/>
      <c r="ER27" s="183" t="str">
        <f t="shared" si="161"/>
        <v/>
      </c>
      <c r="ES27" s="203" t="str">
        <f t="shared" si="60"/>
        <v>OK</v>
      </c>
      <c r="ET27" s="231" t="s">
        <v>429</v>
      </c>
      <c r="EU27" s="230"/>
      <c r="EV27" s="183" t="str">
        <f t="shared" si="162"/>
        <v/>
      </c>
      <c r="EW27" s="203" t="str">
        <f t="shared" si="62"/>
        <v>OK</v>
      </c>
      <c r="EX27" s="231" t="s">
        <v>429</v>
      </c>
      <c r="EY27" s="230"/>
      <c r="EZ27" s="183" t="str">
        <f t="shared" si="163"/>
        <v/>
      </c>
      <c r="FA27" s="203" t="str">
        <f t="shared" si="64"/>
        <v>OK</v>
      </c>
      <c r="FB27" s="231" t="s">
        <v>429</v>
      </c>
      <c r="FC27" s="230"/>
      <c r="FD27" s="183" t="str">
        <f t="shared" si="164"/>
        <v/>
      </c>
      <c r="FE27" s="203" t="str">
        <f t="shared" si="66"/>
        <v>OK</v>
      </c>
      <c r="FF27" s="231" t="s">
        <v>429</v>
      </c>
      <c r="FG27" s="230"/>
      <c r="FH27" s="183" t="str">
        <f t="shared" si="165"/>
        <v/>
      </c>
      <c r="FI27" s="203" t="str">
        <f t="shared" si="68"/>
        <v>OK</v>
      </c>
      <c r="FJ27" s="231" t="s">
        <v>429</v>
      </c>
      <c r="FK27" s="230"/>
      <c r="FL27" s="183" t="str">
        <f t="shared" si="166"/>
        <v/>
      </c>
      <c r="FM27" s="203" t="str">
        <f t="shared" si="70"/>
        <v>OK</v>
      </c>
      <c r="FN27" s="231" t="s">
        <v>429</v>
      </c>
      <c r="FO27" s="230"/>
      <c r="FP27" s="183" t="str">
        <f t="shared" si="167"/>
        <v/>
      </c>
      <c r="FQ27" s="203" t="str">
        <f t="shared" si="72"/>
        <v>OK</v>
      </c>
      <c r="FR27" s="231" t="s">
        <v>429</v>
      </c>
      <c r="FS27" s="230"/>
      <c r="FT27" s="183" t="str">
        <f t="shared" si="168"/>
        <v/>
      </c>
      <c r="FU27" s="203" t="str">
        <f t="shared" si="74"/>
        <v>OK</v>
      </c>
      <c r="FV27" s="231" t="s">
        <v>429</v>
      </c>
      <c r="FW27" s="230"/>
      <c r="FX27" s="183" t="str">
        <f t="shared" si="169"/>
        <v/>
      </c>
      <c r="FY27" s="203" t="str">
        <f t="shared" si="76"/>
        <v>OK</v>
      </c>
      <c r="FZ27" s="231" t="s">
        <v>429</v>
      </c>
      <c r="GA27" s="230"/>
      <c r="GB27" s="183" t="str">
        <f t="shared" si="170"/>
        <v/>
      </c>
      <c r="GC27" s="203" t="str">
        <f t="shared" si="78"/>
        <v>OK</v>
      </c>
      <c r="GD27" s="231" t="s">
        <v>429</v>
      </c>
      <c r="GE27" s="230"/>
      <c r="GF27" s="183" t="str">
        <f t="shared" si="171"/>
        <v/>
      </c>
      <c r="GG27" s="203" t="str">
        <f t="shared" si="80"/>
        <v>OK</v>
      </c>
      <c r="GH27" s="231" t="s">
        <v>429</v>
      </c>
      <c r="GI27" s="230"/>
      <c r="GJ27" s="183" t="str">
        <f t="shared" si="172"/>
        <v/>
      </c>
      <c r="GK27" s="203" t="str">
        <f t="shared" si="82"/>
        <v>OK</v>
      </c>
      <c r="GL27" s="231" t="s">
        <v>429</v>
      </c>
      <c r="GM27" s="230"/>
      <c r="GN27" s="183" t="str">
        <f t="shared" si="173"/>
        <v/>
      </c>
      <c r="GO27" s="203" t="str">
        <f t="shared" si="84"/>
        <v>OK</v>
      </c>
      <c r="GP27" s="231" t="s">
        <v>429</v>
      </c>
      <c r="GQ27" s="230"/>
      <c r="GR27" s="183" t="str">
        <f t="shared" si="174"/>
        <v/>
      </c>
      <c r="GS27" s="203" t="str">
        <f t="shared" si="86"/>
        <v>OK</v>
      </c>
      <c r="GT27" s="202"/>
      <c r="GU27" s="202"/>
      <c r="GV27" s="255"/>
      <c r="GW27" s="255"/>
      <c r="GX27" s="255"/>
    </row>
    <row r="28" spans="1:206" ht="13">
      <c r="A28" s="200" t="s">
        <v>336</v>
      </c>
      <c r="B28" s="225">
        <f t="shared" si="130"/>
        <v>21</v>
      </c>
      <c r="C28" s="229"/>
      <c r="D28" s="229"/>
      <c r="E28" s="229"/>
      <c r="F28" s="229"/>
      <c r="G28" s="258" t="s">
        <v>428</v>
      </c>
      <c r="H28" s="255"/>
      <c r="I28" s="209"/>
      <c r="J28" s="217" t="s">
        <v>23</v>
      </c>
      <c r="K28" s="219"/>
      <c r="L28" s="219"/>
      <c r="M28" s="218" t="s">
        <v>427</v>
      </c>
      <c r="N28" s="217"/>
      <c r="O28" s="216"/>
      <c r="P28" s="212"/>
      <c r="Q28" s="212"/>
      <c r="R28" s="215"/>
      <c r="S28" s="214"/>
      <c r="T28" s="212"/>
      <c r="U28" s="213"/>
      <c r="V28" s="212"/>
      <c r="W28" s="225" t="str">
        <f t="shared" si="131"/>
        <v>4</v>
      </c>
      <c r="X28" s="210" t="s">
        <v>426</v>
      </c>
      <c r="Y28" s="210">
        <v>1</v>
      </c>
      <c r="Z28" s="210">
        <v>15</v>
      </c>
      <c r="AA28" s="209" t="s">
        <v>69</v>
      </c>
      <c r="AB28" s="209" t="s">
        <v>306</v>
      </c>
      <c r="AC28" s="257"/>
      <c r="AD28" s="226" t="s">
        <v>425</v>
      </c>
      <c r="AE28" s="230"/>
      <c r="AF28" s="183" t="str">
        <f t="shared" si="132"/>
        <v/>
      </c>
      <c r="AG28" s="203" t="str">
        <f t="shared" si="2"/>
        <v>OK</v>
      </c>
      <c r="AH28" s="226" t="s">
        <v>425</v>
      </c>
      <c r="AI28" s="230"/>
      <c r="AJ28" s="183" t="str">
        <f t="shared" si="133"/>
        <v/>
      </c>
      <c r="AK28" s="203" t="str">
        <f t="shared" si="4"/>
        <v>OK</v>
      </c>
      <c r="AL28" s="226" t="s">
        <v>425</v>
      </c>
      <c r="AM28" s="230"/>
      <c r="AN28" s="183" t="str">
        <f t="shared" si="134"/>
        <v/>
      </c>
      <c r="AO28" s="203" t="str">
        <f t="shared" si="6"/>
        <v>OK</v>
      </c>
      <c r="AP28" s="226" t="s">
        <v>425</v>
      </c>
      <c r="AQ28" s="230"/>
      <c r="AR28" s="183" t="str">
        <f t="shared" si="135"/>
        <v/>
      </c>
      <c r="AS28" s="203" t="str">
        <f t="shared" si="8"/>
        <v>OK</v>
      </c>
      <c r="AT28" s="226" t="s">
        <v>425</v>
      </c>
      <c r="AU28" s="230"/>
      <c r="AV28" s="183" t="str">
        <f t="shared" si="136"/>
        <v/>
      </c>
      <c r="AW28" s="203" t="str">
        <f t="shared" si="10"/>
        <v>OK</v>
      </c>
      <c r="AX28" s="226" t="s">
        <v>425</v>
      </c>
      <c r="AY28" s="230"/>
      <c r="AZ28" s="183" t="str">
        <f t="shared" si="137"/>
        <v/>
      </c>
      <c r="BA28" s="203" t="str">
        <f t="shared" si="12"/>
        <v>OK</v>
      </c>
      <c r="BB28" s="226" t="s">
        <v>425</v>
      </c>
      <c r="BC28" s="230"/>
      <c r="BD28" s="183" t="str">
        <f t="shared" si="138"/>
        <v/>
      </c>
      <c r="BE28" s="203" t="str">
        <f t="shared" si="14"/>
        <v>OK</v>
      </c>
      <c r="BF28" s="226" t="s">
        <v>425</v>
      </c>
      <c r="BG28" s="230"/>
      <c r="BH28" s="183" t="str">
        <f t="shared" si="139"/>
        <v/>
      </c>
      <c r="BI28" s="203" t="str">
        <f t="shared" si="16"/>
        <v>OK</v>
      </c>
      <c r="BJ28" s="226" t="s">
        <v>425</v>
      </c>
      <c r="BK28" s="230"/>
      <c r="BL28" s="183" t="str">
        <f t="shared" si="140"/>
        <v/>
      </c>
      <c r="BM28" s="203" t="str">
        <f t="shared" si="18"/>
        <v>OK</v>
      </c>
      <c r="BN28" s="226" t="s">
        <v>425</v>
      </c>
      <c r="BO28" s="230"/>
      <c r="BP28" s="183" t="str">
        <f t="shared" si="141"/>
        <v/>
      </c>
      <c r="BQ28" s="203" t="str">
        <f t="shared" si="20"/>
        <v>OK</v>
      </c>
      <c r="BR28" s="226" t="s">
        <v>425</v>
      </c>
      <c r="BS28" s="230"/>
      <c r="BT28" s="183" t="str">
        <f t="shared" si="142"/>
        <v/>
      </c>
      <c r="BU28" s="203" t="str">
        <f t="shared" si="22"/>
        <v>OK</v>
      </c>
      <c r="BV28" s="226" t="s">
        <v>425</v>
      </c>
      <c r="BW28" s="230"/>
      <c r="BX28" s="183" t="str">
        <f t="shared" si="143"/>
        <v/>
      </c>
      <c r="BY28" s="203" t="str">
        <f t="shared" si="24"/>
        <v>OK</v>
      </c>
      <c r="BZ28" s="226" t="s">
        <v>425</v>
      </c>
      <c r="CA28" s="230"/>
      <c r="CB28" s="183" t="str">
        <f t="shared" si="144"/>
        <v/>
      </c>
      <c r="CC28" s="203" t="str">
        <f t="shared" si="26"/>
        <v>OK</v>
      </c>
      <c r="CD28" s="226" t="s">
        <v>425</v>
      </c>
      <c r="CE28" s="230"/>
      <c r="CF28" s="183" t="str">
        <f t="shared" si="145"/>
        <v/>
      </c>
      <c r="CG28" s="203" t="str">
        <f t="shared" si="28"/>
        <v>OK</v>
      </c>
      <c r="CH28" s="226" t="s">
        <v>425</v>
      </c>
      <c r="CI28" s="230"/>
      <c r="CJ28" s="183" t="str">
        <f t="shared" si="146"/>
        <v/>
      </c>
      <c r="CK28" s="203" t="str">
        <f t="shared" si="30"/>
        <v>OK</v>
      </c>
      <c r="CL28" s="226" t="s">
        <v>425</v>
      </c>
      <c r="CM28" s="230"/>
      <c r="CN28" s="183" t="str">
        <f t="shared" si="147"/>
        <v/>
      </c>
      <c r="CO28" s="203" t="str">
        <f t="shared" si="32"/>
        <v>OK</v>
      </c>
      <c r="CP28" s="226" t="s">
        <v>425</v>
      </c>
      <c r="CQ28" s="230"/>
      <c r="CR28" s="183" t="str">
        <f t="shared" si="148"/>
        <v/>
      </c>
      <c r="CS28" s="203" t="str">
        <f t="shared" si="34"/>
        <v>OK</v>
      </c>
      <c r="CT28" s="226" t="s">
        <v>425</v>
      </c>
      <c r="CU28" s="230"/>
      <c r="CV28" s="183" t="str">
        <f t="shared" si="149"/>
        <v/>
      </c>
      <c r="CW28" s="203" t="str">
        <f t="shared" si="36"/>
        <v>OK</v>
      </c>
      <c r="CX28" s="226" t="s">
        <v>425</v>
      </c>
      <c r="CY28" s="230"/>
      <c r="CZ28" s="183" t="str">
        <f t="shared" si="150"/>
        <v/>
      </c>
      <c r="DA28" s="203" t="str">
        <f t="shared" si="38"/>
        <v>OK</v>
      </c>
      <c r="DB28" s="226" t="s">
        <v>425</v>
      </c>
      <c r="DC28" s="230"/>
      <c r="DD28" s="183" t="str">
        <f t="shared" si="151"/>
        <v/>
      </c>
      <c r="DE28" s="203" t="str">
        <f t="shared" si="40"/>
        <v>OK</v>
      </c>
      <c r="DF28" s="226" t="s">
        <v>425</v>
      </c>
      <c r="DG28" s="230"/>
      <c r="DH28" s="183" t="str">
        <f t="shared" si="152"/>
        <v/>
      </c>
      <c r="DI28" s="203" t="str">
        <f t="shared" si="42"/>
        <v>OK</v>
      </c>
      <c r="DJ28" s="226" t="s">
        <v>425</v>
      </c>
      <c r="DK28" s="230"/>
      <c r="DL28" s="183" t="str">
        <f t="shared" si="153"/>
        <v/>
      </c>
      <c r="DM28" s="203" t="str">
        <f t="shared" si="44"/>
        <v>OK</v>
      </c>
      <c r="DN28" s="226" t="s">
        <v>425</v>
      </c>
      <c r="DO28" s="230"/>
      <c r="DP28" s="183" t="str">
        <f t="shared" si="154"/>
        <v/>
      </c>
      <c r="DQ28" s="203" t="str">
        <f t="shared" si="46"/>
        <v>OK</v>
      </c>
      <c r="DR28" s="226" t="s">
        <v>425</v>
      </c>
      <c r="DS28" s="230"/>
      <c r="DT28" s="183" t="str">
        <f t="shared" si="155"/>
        <v/>
      </c>
      <c r="DU28" s="203" t="str">
        <f t="shared" si="48"/>
        <v>OK</v>
      </c>
      <c r="DV28" s="226" t="s">
        <v>425</v>
      </c>
      <c r="DW28" s="230"/>
      <c r="DX28" s="183" t="str">
        <f t="shared" si="156"/>
        <v/>
      </c>
      <c r="DY28" s="203" t="str">
        <f t="shared" si="50"/>
        <v>OK</v>
      </c>
      <c r="DZ28" s="226" t="s">
        <v>425</v>
      </c>
      <c r="EA28" s="230"/>
      <c r="EB28" s="183" t="str">
        <f t="shared" si="157"/>
        <v/>
      </c>
      <c r="EC28" s="203" t="str">
        <f t="shared" si="52"/>
        <v>OK</v>
      </c>
      <c r="ED28" s="226" t="s">
        <v>425</v>
      </c>
      <c r="EE28" s="230"/>
      <c r="EF28" s="183" t="str">
        <f t="shared" si="158"/>
        <v/>
      </c>
      <c r="EG28" s="203" t="str">
        <f t="shared" si="54"/>
        <v>OK</v>
      </c>
      <c r="EH28" s="226" t="s">
        <v>425</v>
      </c>
      <c r="EI28" s="230"/>
      <c r="EJ28" s="183" t="str">
        <f t="shared" si="159"/>
        <v/>
      </c>
      <c r="EK28" s="203" t="str">
        <f t="shared" si="56"/>
        <v>OK</v>
      </c>
      <c r="EL28" s="226" t="s">
        <v>425</v>
      </c>
      <c r="EM28" s="230"/>
      <c r="EN28" s="183" t="str">
        <f t="shared" si="160"/>
        <v/>
      </c>
      <c r="EO28" s="203" t="str">
        <f t="shared" si="58"/>
        <v>OK</v>
      </c>
      <c r="EP28" s="226" t="s">
        <v>425</v>
      </c>
      <c r="EQ28" s="230"/>
      <c r="ER28" s="183" t="str">
        <f t="shared" si="161"/>
        <v/>
      </c>
      <c r="ES28" s="203" t="str">
        <f t="shared" si="60"/>
        <v>OK</v>
      </c>
      <c r="ET28" s="226" t="s">
        <v>425</v>
      </c>
      <c r="EU28" s="230"/>
      <c r="EV28" s="183" t="str">
        <f t="shared" si="162"/>
        <v/>
      </c>
      <c r="EW28" s="203" t="str">
        <f t="shared" si="62"/>
        <v>OK</v>
      </c>
      <c r="EX28" s="226" t="s">
        <v>425</v>
      </c>
      <c r="EY28" s="230"/>
      <c r="EZ28" s="183" t="str">
        <f t="shared" si="163"/>
        <v/>
      </c>
      <c r="FA28" s="203" t="str">
        <f t="shared" si="64"/>
        <v>OK</v>
      </c>
      <c r="FB28" s="226" t="s">
        <v>425</v>
      </c>
      <c r="FC28" s="230"/>
      <c r="FD28" s="183" t="str">
        <f t="shared" si="164"/>
        <v/>
      </c>
      <c r="FE28" s="203" t="str">
        <f t="shared" si="66"/>
        <v>OK</v>
      </c>
      <c r="FF28" s="226" t="s">
        <v>425</v>
      </c>
      <c r="FG28" s="230"/>
      <c r="FH28" s="183" t="str">
        <f t="shared" si="165"/>
        <v/>
      </c>
      <c r="FI28" s="203" t="str">
        <f t="shared" si="68"/>
        <v>OK</v>
      </c>
      <c r="FJ28" s="226" t="s">
        <v>425</v>
      </c>
      <c r="FK28" s="230"/>
      <c r="FL28" s="183" t="str">
        <f t="shared" si="166"/>
        <v/>
      </c>
      <c r="FM28" s="203" t="str">
        <f t="shared" si="70"/>
        <v>OK</v>
      </c>
      <c r="FN28" s="226" t="s">
        <v>425</v>
      </c>
      <c r="FO28" s="230"/>
      <c r="FP28" s="183" t="str">
        <f t="shared" si="167"/>
        <v/>
      </c>
      <c r="FQ28" s="203" t="str">
        <f t="shared" si="72"/>
        <v>OK</v>
      </c>
      <c r="FR28" s="226" t="s">
        <v>425</v>
      </c>
      <c r="FS28" s="230"/>
      <c r="FT28" s="183" t="str">
        <f t="shared" si="168"/>
        <v/>
      </c>
      <c r="FU28" s="203" t="str">
        <f t="shared" si="74"/>
        <v>OK</v>
      </c>
      <c r="FV28" s="226" t="s">
        <v>425</v>
      </c>
      <c r="FW28" s="230"/>
      <c r="FX28" s="183" t="str">
        <f t="shared" si="169"/>
        <v/>
      </c>
      <c r="FY28" s="203" t="str">
        <f t="shared" si="76"/>
        <v>OK</v>
      </c>
      <c r="FZ28" s="226" t="s">
        <v>425</v>
      </c>
      <c r="GA28" s="230"/>
      <c r="GB28" s="183" t="str">
        <f t="shared" si="170"/>
        <v/>
      </c>
      <c r="GC28" s="203" t="str">
        <f t="shared" si="78"/>
        <v>OK</v>
      </c>
      <c r="GD28" s="226" t="s">
        <v>425</v>
      </c>
      <c r="GE28" s="230"/>
      <c r="GF28" s="183" t="str">
        <f t="shared" si="171"/>
        <v/>
      </c>
      <c r="GG28" s="203" t="str">
        <f t="shared" si="80"/>
        <v>OK</v>
      </c>
      <c r="GH28" s="226" t="s">
        <v>425</v>
      </c>
      <c r="GI28" s="230"/>
      <c r="GJ28" s="183" t="str">
        <f t="shared" si="172"/>
        <v/>
      </c>
      <c r="GK28" s="203" t="str">
        <f t="shared" si="82"/>
        <v>OK</v>
      </c>
      <c r="GL28" s="226" t="s">
        <v>425</v>
      </c>
      <c r="GM28" s="230"/>
      <c r="GN28" s="183" t="str">
        <f t="shared" si="173"/>
        <v/>
      </c>
      <c r="GO28" s="203" t="str">
        <f t="shared" si="84"/>
        <v>OK</v>
      </c>
      <c r="GP28" s="226" t="s">
        <v>425</v>
      </c>
      <c r="GQ28" s="230"/>
      <c r="GR28" s="183" t="str">
        <f t="shared" si="174"/>
        <v/>
      </c>
      <c r="GS28" s="203" t="str">
        <f t="shared" si="86"/>
        <v>OK</v>
      </c>
      <c r="GT28" s="202"/>
      <c r="GU28" s="202"/>
      <c r="GV28" s="255"/>
      <c r="GW28" s="255"/>
      <c r="GX28" s="255"/>
    </row>
    <row r="29" spans="1:206">
      <c r="A29" s="200" t="s">
        <v>336</v>
      </c>
      <c r="B29" s="225">
        <f t="shared" si="130"/>
        <v>22</v>
      </c>
      <c r="C29" s="229"/>
      <c r="D29" s="229"/>
      <c r="E29" s="229"/>
      <c r="F29" s="229"/>
      <c r="G29" s="221" t="s">
        <v>424</v>
      </c>
      <c r="H29" s="221"/>
      <c r="I29" s="209"/>
      <c r="J29" s="217"/>
      <c r="K29" s="219"/>
      <c r="L29" s="219"/>
      <c r="M29" s="218" t="s">
        <v>423</v>
      </c>
      <c r="N29" s="217"/>
      <c r="O29" s="216"/>
      <c r="P29" s="212"/>
      <c r="Q29" s="212"/>
      <c r="R29" s="215"/>
      <c r="S29" s="214"/>
      <c r="T29" s="212"/>
      <c r="U29" s="213"/>
      <c r="V29" s="212"/>
      <c r="W29" s="225" t="str">
        <f t="shared" si="131"/>
        <v>4</v>
      </c>
      <c r="X29" s="210" t="s">
        <v>422</v>
      </c>
      <c r="Y29" s="210">
        <v>1</v>
      </c>
      <c r="Z29" s="210">
        <v>15</v>
      </c>
      <c r="AA29" s="209" t="s">
        <v>69</v>
      </c>
      <c r="AB29" s="209" t="s">
        <v>306</v>
      </c>
      <c r="AC29" s="252"/>
      <c r="AD29" s="226"/>
      <c r="AE29" s="230"/>
      <c r="AF29" s="183" t="str">
        <f t="shared" si="132"/>
        <v/>
      </c>
      <c r="AG29" s="203" t="str">
        <f t="shared" si="2"/>
        <v>OK</v>
      </c>
      <c r="AH29" s="226"/>
      <c r="AI29" s="230"/>
      <c r="AJ29" s="183" t="str">
        <f t="shared" si="133"/>
        <v/>
      </c>
      <c r="AK29" s="203" t="str">
        <f t="shared" si="4"/>
        <v>OK</v>
      </c>
      <c r="AL29" s="226"/>
      <c r="AM29" s="230"/>
      <c r="AN29" s="183" t="str">
        <f t="shared" si="134"/>
        <v/>
      </c>
      <c r="AO29" s="203" t="str">
        <f t="shared" si="6"/>
        <v>OK</v>
      </c>
      <c r="AP29" s="226"/>
      <c r="AQ29" s="230"/>
      <c r="AR29" s="183" t="str">
        <f t="shared" si="135"/>
        <v/>
      </c>
      <c r="AS29" s="203" t="str">
        <f t="shared" si="8"/>
        <v>OK</v>
      </c>
      <c r="AT29" s="226"/>
      <c r="AU29" s="230"/>
      <c r="AV29" s="183" t="str">
        <f t="shared" si="136"/>
        <v/>
      </c>
      <c r="AW29" s="203" t="str">
        <f t="shared" si="10"/>
        <v>OK</v>
      </c>
      <c r="AX29" s="226"/>
      <c r="AY29" s="230"/>
      <c r="AZ29" s="183" t="str">
        <f t="shared" si="137"/>
        <v/>
      </c>
      <c r="BA29" s="203" t="str">
        <f t="shared" si="12"/>
        <v>OK</v>
      </c>
      <c r="BB29" s="226"/>
      <c r="BC29" s="230"/>
      <c r="BD29" s="183" t="str">
        <f t="shared" si="138"/>
        <v/>
      </c>
      <c r="BE29" s="203" t="str">
        <f t="shared" si="14"/>
        <v>OK</v>
      </c>
      <c r="BF29" s="226"/>
      <c r="BG29" s="230"/>
      <c r="BH29" s="183" t="str">
        <f t="shared" si="139"/>
        <v/>
      </c>
      <c r="BI29" s="203" t="str">
        <f t="shared" si="16"/>
        <v>OK</v>
      </c>
      <c r="BJ29" s="226"/>
      <c r="BK29" s="230"/>
      <c r="BL29" s="183" t="str">
        <f t="shared" si="140"/>
        <v/>
      </c>
      <c r="BM29" s="203" t="str">
        <f t="shared" si="18"/>
        <v>OK</v>
      </c>
      <c r="BN29" s="226"/>
      <c r="BO29" s="230"/>
      <c r="BP29" s="183" t="str">
        <f t="shared" si="141"/>
        <v/>
      </c>
      <c r="BQ29" s="203" t="str">
        <f t="shared" si="20"/>
        <v>OK</v>
      </c>
      <c r="BR29" s="226"/>
      <c r="BS29" s="230"/>
      <c r="BT29" s="183" t="str">
        <f t="shared" si="142"/>
        <v/>
      </c>
      <c r="BU29" s="203" t="str">
        <f t="shared" si="22"/>
        <v>OK</v>
      </c>
      <c r="BV29" s="226"/>
      <c r="BW29" s="230"/>
      <c r="BX29" s="183" t="str">
        <f t="shared" si="143"/>
        <v/>
      </c>
      <c r="BY29" s="203" t="str">
        <f t="shared" si="24"/>
        <v>OK</v>
      </c>
      <c r="BZ29" s="226"/>
      <c r="CA29" s="230"/>
      <c r="CB29" s="183" t="str">
        <f t="shared" si="144"/>
        <v/>
      </c>
      <c r="CC29" s="203" t="str">
        <f t="shared" si="26"/>
        <v>OK</v>
      </c>
      <c r="CD29" s="226"/>
      <c r="CE29" s="230"/>
      <c r="CF29" s="183" t="str">
        <f t="shared" si="145"/>
        <v/>
      </c>
      <c r="CG29" s="203" t="str">
        <f t="shared" si="28"/>
        <v>OK</v>
      </c>
      <c r="CH29" s="226"/>
      <c r="CI29" s="230"/>
      <c r="CJ29" s="183" t="str">
        <f t="shared" si="146"/>
        <v/>
      </c>
      <c r="CK29" s="203" t="str">
        <f t="shared" si="30"/>
        <v>OK</v>
      </c>
      <c r="CL29" s="226"/>
      <c r="CM29" s="230"/>
      <c r="CN29" s="183" t="str">
        <f t="shared" si="147"/>
        <v/>
      </c>
      <c r="CO29" s="203" t="str">
        <f t="shared" si="32"/>
        <v>OK</v>
      </c>
      <c r="CP29" s="226"/>
      <c r="CQ29" s="230"/>
      <c r="CR29" s="183" t="str">
        <f t="shared" si="148"/>
        <v/>
      </c>
      <c r="CS29" s="203" t="str">
        <f t="shared" si="34"/>
        <v>OK</v>
      </c>
      <c r="CT29" s="226"/>
      <c r="CU29" s="230"/>
      <c r="CV29" s="183" t="str">
        <f t="shared" si="149"/>
        <v/>
      </c>
      <c r="CW29" s="203" t="str">
        <f t="shared" si="36"/>
        <v>OK</v>
      </c>
      <c r="CX29" s="226"/>
      <c r="CY29" s="230"/>
      <c r="CZ29" s="183" t="str">
        <f t="shared" si="150"/>
        <v/>
      </c>
      <c r="DA29" s="203" t="str">
        <f t="shared" si="38"/>
        <v>OK</v>
      </c>
      <c r="DB29" s="226"/>
      <c r="DC29" s="230"/>
      <c r="DD29" s="183" t="str">
        <f t="shared" si="151"/>
        <v/>
      </c>
      <c r="DE29" s="203" t="str">
        <f t="shared" si="40"/>
        <v>OK</v>
      </c>
      <c r="DF29" s="226"/>
      <c r="DG29" s="230"/>
      <c r="DH29" s="183" t="str">
        <f t="shared" si="152"/>
        <v/>
      </c>
      <c r="DI29" s="203" t="str">
        <f t="shared" si="42"/>
        <v>OK</v>
      </c>
      <c r="DJ29" s="226"/>
      <c r="DK29" s="230"/>
      <c r="DL29" s="183" t="str">
        <f t="shared" si="153"/>
        <v/>
      </c>
      <c r="DM29" s="203" t="str">
        <f t="shared" si="44"/>
        <v>OK</v>
      </c>
      <c r="DN29" s="226"/>
      <c r="DO29" s="230"/>
      <c r="DP29" s="183" t="str">
        <f t="shared" si="154"/>
        <v/>
      </c>
      <c r="DQ29" s="203" t="str">
        <f t="shared" si="46"/>
        <v>OK</v>
      </c>
      <c r="DR29" s="226"/>
      <c r="DS29" s="230"/>
      <c r="DT29" s="183" t="str">
        <f t="shared" si="155"/>
        <v/>
      </c>
      <c r="DU29" s="203" t="str">
        <f t="shared" si="48"/>
        <v>OK</v>
      </c>
      <c r="DV29" s="226"/>
      <c r="DW29" s="230"/>
      <c r="DX29" s="183" t="str">
        <f t="shared" si="156"/>
        <v/>
      </c>
      <c r="DY29" s="203" t="str">
        <f t="shared" si="50"/>
        <v>OK</v>
      </c>
      <c r="DZ29" s="226"/>
      <c r="EA29" s="230"/>
      <c r="EB29" s="183" t="str">
        <f t="shared" si="157"/>
        <v/>
      </c>
      <c r="EC29" s="203" t="str">
        <f t="shared" si="52"/>
        <v>OK</v>
      </c>
      <c r="ED29" s="226"/>
      <c r="EE29" s="230"/>
      <c r="EF29" s="183" t="str">
        <f t="shared" si="158"/>
        <v/>
      </c>
      <c r="EG29" s="203" t="str">
        <f t="shared" si="54"/>
        <v>OK</v>
      </c>
      <c r="EH29" s="226"/>
      <c r="EI29" s="230"/>
      <c r="EJ29" s="183" t="str">
        <f t="shared" si="159"/>
        <v/>
      </c>
      <c r="EK29" s="203" t="str">
        <f t="shared" si="56"/>
        <v>OK</v>
      </c>
      <c r="EL29" s="226"/>
      <c r="EM29" s="230"/>
      <c r="EN29" s="183" t="str">
        <f t="shared" si="160"/>
        <v/>
      </c>
      <c r="EO29" s="203" t="str">
        <f t="shared" si="58"/>
        <v>OK</v>
      </c>
      <c r="EP29" s="226"/>
      <c r="EQ29" s="230"/>
      <c r="ER29" s="183" t="str">
        <f t="shared" si="161"/>
        <v/>
      </c>
      <c r="ES29" s="203" t="str">
        <f t="shared" si="60"/>
        <v>OK</v>
      </c>
      <c r="ET29" s="226"/>
      <c r="EU29" s="230"/>
      <c r="EV29" s="183" t="str">
        <f t="shared" si="162"/>
        <v/>
      </c>
      <c r="EW29" s="203" t="str">
        <f t="shared" si="62"/>
        <v>OK</v>
      </c>
      <c r="EX29" s="226"/>
      <c r="EY29" s="230"/>
      <c r="EZ29" s="183" t="str">
        <f t="shared" si="163"/>
        <v/>
      </c>
      <c r="FA29" s="203" t="str">
        <f t="shared" si="64"/>
        <v>OK</v>
      </c>
      <c r="FB29" s="226"/>
      <c r="FC29" s="230"/>
      <c r="FD29" s="183" t="str">
        <f t="shared" si="164"/>
        <v/>
      </c>
      <c r="FE29" s="203" t="str">
        <f t="shared" si="66"/>
        <v>OK</v>
      </c>
      <c r="FF29" s="226"/>
      <c r="FG29" s="230"/>
      <c r="FH29" s="183" t="str">
        <f t="shared" si="165"/>
        <v/>
      </c>
      <c r="FI29" s="203" t="str">
        <f t="shared" si="68"/>
        <v>OK</v>
      </c>
      <c r="FJ29" s="226"/>
      <c r="FK29" s="230"/>
      <c r="FL29" s="183" t="str">
        <f t="shared" si="166"/>
        <v/>
      </c>
      <c r="FM29" s="203" t="str">
        <f t="shared" si="70"/>
        <v>OK</v>
      </c>
      <c r="FN29" s="226"/>
      <c r="FO29" s="230"/>
      <c r="FP29" s="183" t="str">
        <f t="shared" si="167"/>
        <v/>
      </c>
      <c r="FQ29" s="203" t="str">
        <f t="shared" si="72"/>
        <v>OK</v>
      </c>
      <c r="FR29" s="226"/>
      <c r="FS29" s="230"/>
      <c r="FT29" s="183" t="str">
        <f t="shared" si="168"/>
        <v/>
      </c>
      <c r="FU29" s="203" t="str">
        <f t="shared" si="74"/>
        <v>OK</v>
      </c>
      <c r="FV29" s="226"/>
      <c r="FW29" s="230"/>
      <c r="FX29" s="183" t="str">
        <f t="shared" si="169"/>
        <v/>
      </c>
      <c r="FY29" s="203" t="str">
        <f t="shared" si="76"/>
        <v>OK</v>
      </c>
      <c r="FZ29" s="226"/>
      <c r="GA29" s="230"/>
      <c r="GB29" s="183" t="str">
        <f t="shared" si="170"/>
        <v/>
      </c>
      <c r="GC29" s="203" t="str">
        <f t="shared" si="78"/>
        <v>OK</v>
      </c>
      <c r="GD29" s="226"/>
      <c r="GE29" s="230"/>
      <c r="GF29" s="183" t="str">
        <f t="shared" si="171"/>
        <v/>
      </c>
      <c r="GG29" s="203" t="str">
        <f t="shared" si="80"/>
        <v>OK</v>
      </c>
      <c r="GH29" s="226"/>
      <c r="GI29" s="230"/>
      <c r="GJ29" s="183" t="str">
        <f t="shared" si="172"/>
        <v/>
      </c>
      <c r="GK29" s="203" t="str">
        <f t="shared" si="82"/>
        <v>OK</v>
      </c>
      <c r="GL29" s="226"/>
      <c r="GM29" s="230"/>
      <c r="GN29" s="183" t="str">
        <f t="shared" si="173"/>
        <v/>
      </c>
      <c r="GO29" s="203" t="str">
        <f t="shared" si="84"/>
        <v>OK</v>
      </c>
      <c r="GP29" s="376"/>
      <c r="GQ29" s="230"/>
      <c r="GR29" s="183" t="str">
        <f t="shared" si="174"/>
        <v/>
      </c>
      <c r="GS29" s="203" t="str">
        <f t="shared" si="86"/>
        <v>OK</v>
      </c>
      <c r="GT29" s="202"/>
      <c r="GU29" s="202"/>
      <c r="GV29" s="255"/>
      <c r="GW29" s="255"/>
      <c r="GX29" s="255"/>
    </row>
    <row r="30" spans="1:206">
      <c r="A30" s="200" t="s">
        <v>336</v>
      </c>
      <c r="B30" s="225">
        <f t="shared" si="130"/>
        <v>23</v>
      </c>
      <c r="C30" s="229"/>
      <c r="D30" s="229"/>
      <c r="E30" s="229"/>
      <c r="F30" s="224"/>
      <c r="G30" s="221" t="s">
        <v>421</v>
      </c>
      <c r="H30" s="221"/>
      <c r="I30" s="209"/>
      <c r="J30" s="217"/>
      <c r="K30" s="219"/>
      <c r="L30" s="219"/>
      <c r="M30" s="218" t="s">
        <v>420</v>
      </c>
      <c r="N30" s="217"/>
      <c r="O30" s="216"/>
      <c r="P30" s="212"/>
      <c r="Q30" s="212"/>
      <c r="R30" s="215"/>
      <c r="S30" s="214"/>
      <c r="T30" s="212"/>
      <c r="U30" s="213"/>
      <c r="V30" s="212"/>
      <c r="W30" s="225" t="str">
        <f t="shared" si="131"/>
        <v>4</v>
      </c>
      <c r="X30" s="210" t="s">
        <v>419</v>
      </c>
      <c r="Y30" s="210">
        <v>8</v>
      </c>
      <c r="Z30" s="210">
        <v>15</v>
      </c>
      <c r="AA30" s="209" t="s">
        <v>54</v>
      </c>
      <c r="AB30" s="209" t="s">
        <v>306</v>
      </c>
      <c r="AC30" s="256"/>
      <c r="AD30" s="226"/>
      <c r="AE30" s="230"/>
      <c r="AF30" s="183" t="str">
        <f t="shared" si="132"/>
        <v/>
      </c>
      <c r="AG30" s="203" t="str">
        <f t="shared" si="2"/>
        <v>OK</v>
      </c>
      <c r="AH30" s="226"/>
      <c r="AI30" s="230"/>
      <c r="AJ30" s="183" t="str">
        <f t="shared" si="133"/>
        <v/>
      </c>
      <c r="AK30" s="203" t="str">
        <f t="shared" si="4"/>
        <v>OK</v>
      </c>
      <c r="AL30" s="226"/>
      <c r="AM30" s="230"/>
      <c r="AN30" s="183" t="str">
        <f t="shared" si="134"/>
        <v/>
      </c>
      <c r="AO30" s="203" t="str">
        <f t="shared" si="6"/>
        <v>OK</v>
      </c>
      <c r="AP30" s="226"/>
      <c r="AQ30" s="230"/>
      <c r="AR30" s="183" t="str">
        <f t="shared" si="135"/>
        <v/>
      </c>
      <c r="AS30" s="203" t="str">
        <f t="shared" si="8"/>
        <v>OK</v>
      </c>
      <c r="AT30" s="226"/>
      <c r="AU30" s="230"/>
      <c r="AV30" s="183" t="str">
        <f t="shared" si="136"/>
        <v/>
      </c>
      <c r="AW30" s="203" t="str">
        <f t="shared" si="10"/>
        <v>OK</v>
      </c>
      <c r="AX30" s="226"/>
      <c r="AY30" s="230"/>
      <c r="AZ30" s="183" t="str">
        <f t="shared" si="137"/>
        <v/>
      </c>
      <c r="BA30" s="203" t="str">
        <f t="shared" si="12"/>
        <v>OK</v>
      </c>
      <c r="BB30" s="226"/>
      <c r="BC30" s="230"/>
      <c r="BD30" s="183" t="str">
        <f t="shared" si="138"/>
        <v/>
      </c>
      <c r="BE30" s="203" t="str">
        <f t="shared" si="14"/>
        <v>OK</v>
      </c>
      <c r="BF30" s="226"/>
      <c r="BG30" s="230"/>
      <c r="BH30" s="183" t="str">
        <f t="shared" si="139"/>
        <v/>
      </c>
      <c r="BI30" s="203" t="str">
        <f t="shared" si="16"/>
        <v>OK</v>
      </c>
      <c r="BJ30" s="226"/>
      <c r="BK30" s="230"/>
      <c r="BL30" s="183" t="str">
        <f t="shared" si="140"/>
        <v/>
      </c>
      <c r="BM30" s="203" t="str">
        <f t="shared" si="18"/>
        <v>OK</v>
      </c>
      <c r="BN30" s="226"/>
      <c r="BO30" s="230"/>
      <c r="BP30" s="183" t="str">
        <f t="shared" si="141"/>
        <v/>
      </c>
      <c r="BQ30" s="203" t="str">
        <f t="shared" si="20"/>
        <v>OK</v>
      </c>
      <c r="BR30" s="226"/>
      <c r="BS30" s="230"/>
      <c r="BT30" s="183" t="str">
        <f t="shared" si="142"/>
        <v/>
      </c>
      <c r="BU30" s="203" t="str">
        <f t="shared" si="22"/>
        <v>OK</v>
      </c>
      <c r="BV30" s="226"/>
      <c r="BW30" s="230"/>
      <c r="BX30" s="183" t="str">
        <f t="shared" si="143"/>
        <v/>
      </c>
      <c r="BY30" s="203" t="str">
        <f t="shared" si="24"/>
        <v>OK</v>
      </c>
      <c r="BZ30" s="226"/>
      <c r="CA30" s="230"/>
      <c r="CB30" s="183" t="str">
        <f t="shared" si="144"/>
        <v/>
      </c>
      <c r="CC30" s="203" t="str">
        <f t="shared" si="26"/>
        <v>OK</v>
      </c>
      <c r="CD30" s="226"/>
      <c r="CE30" s="230"/>
      <c r="CF30" s="183" t="str">
        <f t="shared" si="145"/>
        <v/>
      </c>
      <c r="CG30" s="203" t="str">
        <f t="shared" si="28"/>
        <v>OK</v>
      </c>
      <c r="CH30" s="226"/>
      <c r="CI30" s="230"/>
      <c r="CJ30" s="183" t="str">
        <f t="shared" si="146"/>
        <v/>
      </c>
      <c r="CK30" s="203" t="str">
        <f t="shared" si="30"/>
        <v>OK</v>
      </c>
      <c r="CL30" s="226"/>
      <c r="CM30" s="230"/>
      <c r="CN30" s="183" t="str">
        <f t="shared" si="147"/>
        <v/>
      </c>
      <c r="CO30" s="203" t="str">
        <f t="shared" si="32"/>
        <v>OK</v>
      </c>
      <c r="CP30" s="226"/>
      <c r="CQ30" s="230"/>
      <c r="CR30" s="183" t="str">
        <f t="shared" si="148"/>
        <v/>
      </c>
      <c r="CS30" s="203" t="str">
        <f t="shared" si="34"/>
        <v>OK</v>
      </c>
      <c r="CT30" s="226"/>
      <c r="CU30" s="230"/>
      <c r="CV30" s="183" t="str">
        <f t="shared" si="149"/>
        <v/>
      </c>
      <c r="CW30" s="203" t="str">
        <f t="shared" si="36"/>
        <v>OK</v>
      </c>
      <c r="CX30" s="226"/>
      <c r="CY30" s="230"/>
      <c r="CZ30" s="183" t="str">
        <f t="shared" si="150"/>
        <v/>
      </c>
      <c r="DA30" s="203" t="str">
        <f t="shared" si="38"/>
        <v>OK</v>
      </c>
      <c r="DB30" s="226"/>
      <c r="DC30" s="230"/>
      <c r="DD30" s="183" t="str">
        <f t="shared" si="151"/>
        <v/>
      </c>
      <c r="DE30" s="203" t="str">
        <f t="shared" si="40"/>
        <v>OK</v>
      </c>
      <c r="DF30" s="226"/>
      <c r="DG30" s="230"/>
      <c r="DH30" s="183" t="str">
        <f t="shared" si="152"/>
        <v/>
      </c>
      <c r="DI30" s="203" t="str">
        <f t="shared" si="42"/>
        <v>OK</v>
      </c>
      <c r="DJ30" s="226"/>
      <c r="DK30" s="230"/>
      <c r="DL30" s="183" t="str">
        <f t="shared" si="153"/>
        <v/>
      </c>
      <c r="DM30" s="203" t="str">
        <f t="shared" si="44"/>
        <v>OK</v>
      </c>
      <c r="DN30" s="226"/>
      <c r="DO30" s="230"/>
      <c r="DP30" s="183" t="str">
        <f t="shared" si="154"/>
        <v/>
      </c>
      <c r="DQ30" s="203" t="str">
        <f t="shared" si="46"/>
        <v>OK</v>
      </c>
      <c r="DR30" s="226"/>
      <c r="DS30" s="230"/>
      <c r="DT30" s="183" t="str">
        <f t="shared" si="155"/>
        <v/>
      </c>
      <c r="DU30" s="203" t="str">
        <f t="shared" si="48"/>
        <v>OK</v>
      </c>
      <c r="DV30" s="226"/>
      <c r="DW30" s="230"/>
      <c r="DX30" s="183" t="str">
        <f t="shared" si="156"/>
        <v/>
      </c>
      <c r="DY30" s="203" t="str">
        <f t="shared" si="50"/>
        <v>OK</v>
      </c>
      <c r="DZ30" s="226"/>
      <c r="EA30" s="230"/>
      <c r="EB30" s="183" t="str">
        <f t="shared" si="157"/>
        <v/>
      </c>
      <c r="EC30" s="203" t="str">
        <f t="shared" si="52"/>
        <v>OK</v>
      </c>
      <c r="ED30" s="226"/>
      <c r="EE30" s="230"/>
      <c r="EF30" s="183" t="str">
        <f t="shared" si="158"/>
        <v/>
      </c>
      <c r="EG30" s="203" t="str">
        <f t="shared" si="54"/>
        <v>OK</v>
      </c>
      <c r="EH30" s="226"/>
      <c r="EI30" s="230"/>
      <c r="EJ30" s="183" t="str">
        <f t="shared" si="159"/>
        <v/>
      </c>
      <c r="EK30" s="203" t="str">
        <f t="shared" si="56"/>
        <v>OK</v>
      </c>
      <c r="EL30" s="226"/>
      <c r="EM30" s="230"/>
      <c r="EN30" s="183" t="str">
        <f t="shared" si="160"/>
        <v/>
      </c>
      <c r="EO30" s="203" t="str">
        <f t="shared" si="58"/>
        <v>OK</v>
      </c>
      <c r="EP30" s="226"/>
      <c r="EQ30" s="230"/>
      <c r="ER30" s="183" t="str">
        <f t="shared" si="161"/>
        <v/>
      </c>
      <c r="ES30" s="203" t="str">
        <f t="shared" si="60"/>
        <v>OK</v>
      </c>
      <c r="ET30" s="226"/>
      <c r="EU30" s="230"/>
      <c r="EV30" s="183" t="str">
        <f t="shared" si="162"/>
        <v/>
      </c>
      <c r="EW30" s="203" t="str">
        <f t="shared" si="62"/>
        <v>OK</v>
      </c>
      <c r="EX30" s="226"/>
      <c r="EY30" s="230"/>
      <c r="EZ30" s="183" t="str">
        <f t="shared" si="163"/>
        <v/>
      </c>
      <c r="FA30" s="203" t="str">
        <f t="shared" si="64"/>
        <v>OK</v>
      </c>
      <c r="FB30" s="226"/>
      <c r="FC30" s="230"/>
      <c r="FD30" s="183" t="str">
        <f t="shared" si="164"/>
        <v/>
      </c>
      <c r="FE30" s="203" t="str">
        <f t="shared" si="66"/>
        <v>OK</v>
      </c>
      <c r="FF30" s="226"/>
      <c r="FG30" s="230"/>
      <c r="FH30" s="183" t="str">
        <f t="shared" si="165"/>
        <v/>
      </c>
      <c r="FI30" s="203" t="str">
        <f t="shared" si="68"/>
        <v>OK</v>
      </c>
      <c r="FJ30" s="226"/>
      <c r="FK30" s="230"/>
      <c r="FL30" s="183" t="str">
        <f t="shared" si="166"/>
        <v/>
      </c>
      <c r="FM30" s="203" t="str">
        <f t="shared" si="70"/>
        <v>OK</v>
      </c>
      <c r="FN30" s="226"/>
      <c r="FO30" s="230"/>
      <c r="FP30" s="183" t="str">
        <f t="shared" si="167"/>
        <v/>
      </c>
      <c r="FQ30" s="203" t="str">
        <f t="shared" si="72"/>
        <v>OK</v>
      </c>
      <c r="FR30" s="226"/>
      <c r="FS30" s="230"/>
      <c r="FT30" s="183" t="str">
        <f t="shared" si="168"/>
        <v/>
      </c>
      <c r="FU30" s="203" t="str">
        <f t="shared" si="74"/>
        <v>OK</v>
      </c>
      <c r="FV30" s="226"/>
      <c r="FW30" s="230"/>
      <c r="FX30" s="183" t="str">
        <f t="shared" si="169"/>
        <v/>
      </c>
      <c r="FY30" s="203" t="str">
        <f t="shared" si="76"/>
        <v>OK</v>
      </c>
      <c r="FZ30" s="226"/>
      <c r="GA30" s="230"/>
      <c r="GB30" s="183" t="str">
        <f t="shared" si="170"/>
        <v/>
      </c>
      <c r="GC30" s="203" t="str">
        <f t="shared" si="78"/>
        <v>OK</v>
      </c>
      <c r="GD30" s="226"/>
      <c r="GE30" s="230"/>
      <c r="GF30" s="183" t="str">
        <f t="shared" si="171"/>
        <v/>
      </c>
      <c r="GG30" s="203" t="str">
        <f t="shared" si="80"/>
        <v>OK</v>
      </c>
      <c r="GH30" s="226"/>
      <c r="GI30" s="230"/>
      <c r="GJ30" s="183" t="str">
        <f t="shared" si="172"/>
        <v/>
      </c>
      <c r="GK30" s="203" t="str">
        <f t="shared" si="82"/>
        <v>OK</v>
      </c>
      <c r="GL30" s="226"/>
      <c r="GM30" s="230"/>
      <c r="GN30" s="183" t="str">
        <f t="shared" si="173"/>
        <v/>
      </c>
      <c r="GO30" s="203" t="str">
        <f t="shared" si="84"/>
        <v>OK</v>
      </c>
      <c r="GP30" s="226"/>
      <c r="GQ30" s="230"/>
      <c r="GR30" s="183" t="str">
        <f t="shared" si="174"/>
        <v/>
      </c>
      <c r="GS30" s="203" t="str">
        <f t="shared" si="86"/>
        <v>OK</v>
      </c>
      <c r="GT30" s="202"/>
      <c r="GU30" s="202"/>
      <c r="GV30" s="255"/>
      <c r="GW30" s="255"/>
      <c r="GX30" s="255"/>
    </row>
    <row r="31" spans="1:206">
      <c r="A31" s="200" t="s">
        <v>336</v>
      </c>
      <c r="B31" s="225">
        <f t="shared" si="130"/>
        <v>24</v>
      </c>
      <c r="C31" s="229"/>
      <c r="D31" s="229"/>
      <c r="E31" s="234" t="s">
        <v>418</v>
      </c>
      <c r="F31" s="233"/>
      <c r="G31" s="233"/>
      <c r="H31" s="232"/>
      <c r="I31" s="209"/>
      <c r="J31" s="217" t="s">
        <v>23</v>
      </c>
      <c r="K31" s="219"/>
      <c r="L31" s="219"/>
      <c r="M31" s="218"/>
      <c r="N31" s="217"/>
      <c r="O31" s="216"/>
      <c r="P31" s="212"/>
      <c r="Q31" s="212"/>
      <c r="R31" s="215"/>
      <c r="S31" s="214"/>
      <c r="T31" s="212"/>
      <c r="U31" s="213"/>
      <c r="V31" s="212"/>
      <c r="W31" s="211" t="str">
        <f t="shared" si="131"/>
        <v>2</v>
      </c>
      <c r="X31" s="210" t="s">
        <v>417</v>
      </c>
      <c r="Y31" s="210"/>
      <c r="Z31" s="210"/>
      <c r="AA31" s="209"/>
      <c r="AB31" s="209" t="s">
        <v>306</v>
      </c>
      <c r="AC31" s="252"/>
      <c r="AD31" s="226"/>
      <c r="AE31" s="230"/>
      <c r="AF31" s="183" t="str">
        <f t="shared" si="132"/>
        <v/>
      </c>
      <c r="AG31" s="203" t="str">
        <f t="shared" si="2"/>
        <v>OK</v>
      </c>
      <c r="AH31" s="226"/>
      <c r="AI31" s="230"/>
      <c r="AJ31" s="183" t="str">
        <f t="shared" si="133"/>
        <v/>
      </c>
      <c r="AK31" s="203" t="str">
        <f t="shared" si="4"/>
        <v>OK</v>
      </c>
      <c r="AL31" s="226"/>
      <c r="AM31" s="230"/>
      <c r="AN31" s="183" t="str">
        <f t="shared" si="134"/>
        <v/>
      </c>
      <c r="AO31" s="203" t="str">
        <f t="shared" si="6"/>
        <v>OK</v>
      </c>
      <c r="AP31" s="226"/>
      <c r="AQ31" s="230"/>
      <c r="AR31" s="183" t="str">
        <f t="shared" si="135"/>
        <v/>
      </c>
      <c r="AS31" s="203" t="str">
        <f t="shared" si="8"/>
        <v>OK</v>
      </c>
      <c r="AT31" s="226"/>
      <c r="AU31" s="230"/>
      <c r="AV31" s="183" t="str">
        <f t="shared" si="136"/>
        <v/>
      </c>
      <c r="AW31" s="203" t="str">
        <f t="shared" si="10"/>
        <v>OK</v>
      </c>
      <c r="AX31" s="226"/>
      <c r="AY31" s="230"/>
      <c r="AZ31" s="183" t="str">
        <f t="shared" si="137"/>
        <v/>
      </c>
      <c r="BA31" s="203" t="str">
        <f t="shared" si="12"/>
        <v>OK</v>
      </c>
      <c r="BB31" s="226"/>
      <c r="BC31" s="230"/>
      <c r="BD31" s="183" t="str">
        <f t="shared" si="138"/>
        <v/>
      </c>
      <c r="BE31" s="203" t="str">
        <f t="shared" si="14"/>
        <v>OK</v>
      </c>
      <c r="BF31" s="226"/>
      <c r="BG31" s="230"/>
      <c r="BH31" s="183" t="str">
        <f t="shared" si="139"/>
        <v/>
      </c>
      <c r="BI31" s="203" t="str">
        <f t="shared" si="16"/>
        <v>OK</v>
      </c>
      <c r="BJ31" s="226"/>
      <c r="BK31" s="230"/>
      <c r="BL31" s="183" t="str">
        <f t="shared" si="140"/>
        <v/>
      </c>
      <c r="BM31" s="203" t="str">
        <f t="shared" si="18"/>
        <v>OK</v>
      </c>
      <c r="BN31" s="226"/>
      <c r="BO31" s="230"/>
      <c r="BP31" s="183" t="str">
        <f t="shared" si="141"/>
        <v/>
      </c>
      <c r="BQ31" s="203" t="str">
        <f t="shared" si="20"/>
        <v>OK</v>
      </c>
      <c r="BR31" s="226"/>
      <c r="BS31" s="230"/>
      <c r="BT31" s="183" t="str">
        <f t="shared" si="142"/>
        <v/>
      </c>
      <c r="BU31" s="203" t="str">
        <f t="shared" si="22"/>
        <v>OK</v>
      </c>
      <c r="BV31" s="226"/>
      <c r="BW31" s="230"/>
      <c r="BX31" s="183" t="str">
        <f t="shared" si="143"/>
        <v/>
      </c>
      <c r="BY31" s="203" t="str">
        <f t="shared" si="24"/>
        <v>OK</v>
      </c>
      <c r="BZ31" s="226"/>
      <c r="CA31" s="230"/>
      <c r="CB31" s="183" t="str">
        <f t="shared" si="144"/>
        <v/>
      </c>
      <c r="CC31" s="203" t="str">
        <f t="shared" si="26"/>
        <v>OK</v>
      </c>
      <c r="CD31" s="226"/>
      <c r="CE31" s="230"/>
      <c r="CF31" s="183" t="str">
        <f t="shared" si="145"/>
        <v/>
      </c>
      <c r="CG31" s="203" t="str">
        <f t="shared" si="28"/>
        <v>OK</v>
      </c>
      <c r="CH31" s="226"/>
      <c r="CI31" s="230"/>
      <c r="CJ31" s="183" t="str">
        <f t="shared" si="146"/>
        <v/>
      </c>
      <c r="CK31" s="203" t="str">
        <f t="shared" si="30"/>
        <v>OK</v>
      </c>
      <c r="CL31" s="226"/>
      <c r="CM31" s="230"/>
      <c r="CN31" s="183" t="str">
        <f t="shared" si="147"/>
        <v/>
      </c>
      <c r="CO31" s="203" t="str">
        <f t="shared" si="32"/>
        <v>OK</v>
      </c>
      <c r="CP31" s="226"/>
      <c r="CQ31" s="230"/>
      <c r="CR31" s="183" t="str">
        <f t="shared" si="148"/>
        <v/>
      </c>
      <c r="CS31" s="203" t="str">
        <f t="shared" si="34"/>
        <v>OK</v>
      </c>
      <c r="CT31" s="226"/>
      <c r="CU31" s="230"/>
      <c r="CV31" s="183" t="str">
        <f t="shared" si="149"/>
        <v/>
      </c>
      <c r="CW31" s="203" t="str">
        <f t="shared" si="36"/>
        <v>OK</v>
      </c>
      <c r="CX31" s="226"/>
      <c r="CY31" s="230"/>
      <c r="CZ31" s="183" t="str">
        <f t="shared" si="150"/>
        <v/>
      </c>
      <c r="DA31" s="203" t="str">
        <f t="shared" si="38"/>
        <v>OK</v>
      </c>
      <c r="DB31" s="226"/>
      <c r="DC31" s="230"/>
      <c r="DD31" s="183" t="str">
        <f t="shared" si="151"/>
        <v/>
      </c>
      <c r="DE31" s="203" t="str">
        <f t="shared" si="40"/>
        <v>OK</v>
      </c>
      <c r="DF31" s="226"/>
      <c r="DG31" s="230"/>
      <c r="DH31" s="183" t="str">
        <f t="shared" si="152"/>
        <v/>
      </c>
      <c r="DI31" s="203" t="str">
        <f t="shared" si="42"/>
        <v>OK</v>
      </c>
      <c r="DJ31" s="226"/>
      <c r="DK31" s="230"/>
      <c r="DL31" s="183" t="str">
        <f t="shared" si="153"/>
        <v/>
      </c>
      <c r="DM31" s="203" t="str">
        <f t="shared" si="44"/>
        <v>OK</v>
      </c>
      <c r="DN31" s="226"/>
      <c r="DO31" s="230"/>
      <c r="DP31" s="183" t="str">
        <f t="shared" si="154"/>
        <v/>
      </c>
      <c r="DQ31" s="203" t="str">
        <f t="shared" si="46"/>
        <v>OK</v>
      </c>
      <c r="DR31" s="226"/>
      <c r="DS31" s="230"/>
      <c r="DT31" s="183" t="str">
        <f t="shared" si="155"/>
        <v/>
      </c>
      <c r="DU31" s="203" t="str">
        <f t="shared" si="48"/>
        <v>OK</v>
      </c>
      <c r="DV31" s="226"/>
      <c r="DW31" s="230"/>
      <c r="DX31" s="183" t="str">
        <f t="shared" si="156"/>
        <v/>
      </c>
      <c r="DY31" s="203" t="str">
        <f t="shared" si="50"/>
        <v>OK</v>
      </c>
      <c r="DZ31" s="226"/>
      <c r="EA31" s="230"/>
      <c r="EB31" s="183" t="str">
        <f t="shared" si="157"/>
        <v/>
      </c>
      <c r="EC31" s="203" t="str">
        <f t="shared" si="52"/>
        <v>OK</v>
      </c>
      <c r="ED31" s="226"/>
      <c r="EE31" s="230"/>
      <c r="EF31" s="183" t="str">
        <f t="shared" si="158"/>
        <v/>
      </c>
      <c r="EG31" s="203" t="str">
        <f t="shared" si="54"/>
        <v>OK</v>
      </c>
      <c r="EH31" s="226"/>
      <c r="EI31" s="230"/>
      <c r="EJ31" s="183" t="str">
        <f t="shared" si="159"/>
        <v/>
      </c>
      <c r="EK31" s="203" t="str">
        <f t="shared" si="56"/>
        <v>OK</v>
      </c>
      <c r="EL31" s="226"/>
      <c r="EM31" s="230"/>
      <c r="EN31" s="183" t="str">
        <f t="shared" si="160"/>
        <v/>
      </c>
      <c r="EO31" s="203" t="str">
        <f t="shared" si="58"/>
        <v>OK</v>
      </c>
      <c r="EP31" s="226"/>
      <c r="EQ31" s="230"/>
      <c r="ER31" s="183" t="str">
        <f t="shared" si="161"/>
        <v/>
      </c>
      <c r="ES31" s="203" t="str">
        <f t="shared" si="60"/>
        <v>OK</v>
      </c>
      <c r="ET31" s="226"/>
      <c r="EU31" s="230"/>
      <c r="EV31" s="183" t="str">
        <f t="shared" si="162"/>
        <v/>
      </c>
      <c r="EW31" s="203" t="str">
        <f t="shared" si="62"/>
        <v>OK</v>
      </c>
      <c r="EX31" s="226"/>
      <c r="EY31" s="230"/>
      <c r="EZ31" s="183" t="str">
        <f t="shared" si="163"/>
        <v/>
      </c>
      <c r="FA31" s="203" t="str">
        <f t="shared" si="64"/>
        <v>OK</v>
      </c>
      <c r="FB31" s="226"/>
      <c r="FC31" s="230"/>
      <c r="FD31" s="183" t="str">
        <f t="shared" si="164"/>
        <v/>
      </c>
      <c r="FE31" s="203" t="str">
        <f t="shared" si="66"/>
        <v>OK</v>
      </c>
      <c r="FF31" s="226"/>
      <c r="FG31" s="230"/>
      <c r="FH31" s="183" t="str">
        <f t="shared" si="165"/>
        <v/>
      </c>
      <c r="FI31" s="203" t="str">
        <f t="shared" si="68"/>
        <v>OK</v>
      </c>
      <c r="FJ31" s="226"/>
      <c r="FK31" s="230"/>
      <c r="FL31" s="183" t="str">
        <f t="shared" si="166"/>
        <v/>
      </c>
      <c r="FM31" s="203" t="str">
        <f t="shared" si="70"/>
        <v>OK</v>
      </c>
      <c r="FN31" s="226"/>
      <c r="FO31" s="230"/>
      <c r="FP31" s="183" t="str">
        <f t="shared" si="167"/>
        <v/>
      </c>
      <c r="FQ31" s="203" t="str">
        <f t="shared" si="72"/>
        <v>OK</v>
      </c>
      <c r="FR31" s="226"/>
      <c r="FS31" s="230"/>
      <c r="FT31" s="183" t="str">
        <f t="shared" si="168"/>
        <v/>
      </c>
      <c r="FU31" s="203" t="str">
        <f t="shared" si="74"/>
        <v>OK</v>
      </c>
      <c r="FV31" s="226"/>
      <c r="FW31" s="230"/>
      <c r="FX31" s="183" t="str">
        <f t="shared" si="169"/>
        <v/>
      </c>
      <c r="FY31" s="203" t="str">
        <f t="shared" si="76"/>
        <v>OK</v>
      </c>
      <c r="FZ31" s="226"/>
      <c r="GA31" s="230"/>
      <c r="GB31" s="183" t="str">
        <f t="shared" si="170"/>
        <v/>
      </c>
      <c r="GC31" s="203" t="str">
        <f t="shared" si="78"/>
        <v>OK</v>
      </c>
      <c r="GD31" s="226"/>
      <c r="GE31" s="230"/>
      <c r="GF31" s="183" t="str">
        <f t="shared" si="171"/>
        <v/>
      </c>
      <c r="GG31" s="203" t="str">
        <f t="shared" si="80"/>
        <v>OK</v>
      </c>
      <c r="GH31" s="226"/>
      <c r="GI31" s="230"/>
      <c r="GJ31" s="183" t="str">
        <f t="shared" si="172"/>
        <v/>
      </c>
      <c r="GK31" s="203" t="str">
        <f t="shared" si="82"/>
        <v>OK</v>
      </c>
      <c r="GL31" s="226"/>
      <c r="GM31" s="230"/>
      <c r="GN31" s="183" t="str">
        <f t="shared" si="173"/>
        <v/>
      </c>
      <c r="GO31" s="203" t="str">
        <f t="shared" si="84"/>
        <v>OK</v>
      </c>
      <c r="GP31" s="226"/>
      <c r="GQ31" s="230"/>
      <c r="GR31" s="183" t="str">
        <f t="shared" si="174"/>
        <v/>
      </c>
      <c r="GS31" s="203" t="str">
        <f t="shared" si="86"/>
        <v>OK</v>
      </c>
      <c r="GT31" s="202"/>
      <c r="GU31" s="202"/>
      <c r="GV31" s="255"/>
      <c r="GW31" s="255"/>
      <c r="GX31" s="255"/>
    </row>
    <row r="32" spans="1:206">
      <c r="A32" s="200" t="s">
        <v>336</v>
      </c>
      <c r="B32" s="225">
        <f t="shared" si="130"/>
        <v>25</v>
      </c>
      <c r="C32" s="229"/>
      <c r="D32" s="229"/>
      <c r="E32" s="228"/>
      <c r="F32" s="222" t="s">
        <v>416</v>
      </c>
      <c r="G32" s="221"/>
      <c r="H32" s="220"/>
      <c r="I32" s="209"/>
      <c r="J32" s="217" t="s">
        <v>23</v>
      </c>
      <c r="K32" s="219"/>
      <c r="L32" s="219"/>
      <c r="M32" s="218" t="s">
        <v>415</v>
      </c>
      <c r="N32" s="217"/>
      <c r="O32" s="216"/>
      <c r="P32" s="212"/>
      <c r="Q32" s="212"/>
      <c r="R32" s="215"/>
      <c r="S32" s="214"/>
      <c r="T32" s="212"/>
      <c r="U32" s="213"/>
      <c r="V32" s="212"/>
      <c r="W32" s="211" t="str">
        <f t="shared" si="131"/>
        <v>3</v>
      </c>
      <c r="X32" s="210" t="s">
        <v>414</v>
      </c>
      <c r="Y32" s="210">
        <v>8</v>
      </c>
      <c r="Z32" s="210">
        <v>8</v>
      </c>
      <c r="AA32" s="209">
        <v>9</v>
      </c>
      <c r="AB32" s="209" t="s">
        <v>306</v>
      </c>
      <c r="AC32" s="207"/>
      <c r="AD32" s="226" t="s">
        <v>570</v>
      </c>
      <c r="AE32" s="230"/>
      <c r="AF32" s="183" t="str">
        <f t="shared" si="132"/>
        <v/>
      </c>
      <c r="AG32" s="203" t="str">
        <f t="shared" si="2"/>
        <v>OK</v>
      </c>
      <c r="AH32" s="226" t="s">
        <v>570</v>
      </c>
      <c r="AI32" s="230"/>
      <c r="AJ32" s="183" t="str">
        <f t="shared" si="133"/>
        <v/>
      </c>
      <c r="AK32" s="203" t="str">
        <f t="shared" si="4"/>
        <v>OK</v>
      </c>
      <c r="AL32" s="226" t="s">
        <v>570</v>
      </c>
      <c r="AM32" s="230"/>
      <c r="AN32" s="183" t="str">
        <f t="shared" si="134"/>
        <v/>
      </c>
      <c r="AO32" s="203" t="str">
        <f t="shared" si="6"/>
        <v>OK</v>
      </c>
      <c r="AP32" s="226" t="s">
        <v>570</v>
      </c>
      <c r="AQ32" s="230"/>
      <c r="AR32" s="183" t="str">
        <f t="shared" si="135"/>
        <v/>
      </c>
      <c r="AS32" s="203" t="str">
        <f t="shared" si="8"/>
        <v>OK</v>
      </c>
      <c r="AT32" s="226" t="s">
        <v>570</v>
      </c>
      <c r="AU32" s="230"/>
      <c r="AV32" s="183" t="str">
        <f t="shared" si="136"/>
        <v/>
      </c>
      <c r="AW32" s="203" t="str">
        <f t="shared" si="10"/>
        <v>OK</v>
      </c>
      <c r="AX32" s="226" t="s">
        <v>570</v>
      </c>
      <c r="AY32" s="230"/>
      <c r="AZ32" s="183" t="str">
        <f t="shared" si="137"/>
        <v/>
      </c>
      <c r="BA32" s="203" t="str">
        <f t="shared" si="12"/>
        <v>OK</v>
      </c>
      <c r="BB32" s="226" t="s">
        <v>570</v>
      </c>
      <c r="BC32" s="230"/>
      <c r="BD32" s="183" t="str">
        <f t="shared" si="138"/>
        <v/>
      </c>
      <c r="BE32" s="203" t="str">
        <f t="shared" si="14"/>
        <v>OK</v>
      </c>
      <c r="BF32" s="226" t="s">
        <v>570</v>
      </c>
      <c r="BG32" s="230"/>
      <c r="BH32" s="183" t="str">
        <f t="shared" si="139"/>
        <v/>
      </c>
      <c r="BI32" s="203" t="str">
        <f t="shared" si="16"/>
        <v>OK</v>
      </c>
      <c r="BJ32" s="226" t="s">
        <v>570</v>
      </c>
      <c r="BK32" s="230"/>
      <c r="BL32" s="183" t="str">
        <f t="shared" si="140"/>
        <v/>
      </c>
      <c r="BM32" s="203" t="str">
        <f t="shared" si="18"/>
        <v>OK</v>
      </c>
      <c r="BN32" s="226" t="s">
        <v>570</v>
      </c>
      <c r="BO32" s="230"/>
      <c r="BP32" s="183" t="str">
        <f t="shared" si="141"/>
        <v/>
      </c>
      <c r="BQ32" s="203" t="str">
        <f t="shared" si="20"/>
        <v>OK</v>
      </c>
      <c r="BR32" s="226" t="s">
        <v>570</v>
      </c>
      <c r="BS32" s="230"/>
      <c r="BT32" s="183" t="str">
        <f t="shared" si="142"/>
        <v/>
      </c>
      <c r="BU32" s="203" t="str">
        <f t="shared" si="22"/>
        <v>OK</v>
      </c>
      <c r="BV32" s="226" t="s">
        <v>570</v>
      </c>
      <c r="BW32" s="230"/>
      <c r="BX32" s="183" t="str">
        <f t="shared" si="143"/>
        <v/>
      </c>
      <c r="BY32" s="203" t="str">
        <f t="shared" si="24"/>
        <v>OK</v>
      </c>
      <c r="BZ32" s="226" t="s">
        <v>570</v>
      </c>
      <c r="CA32" s="230"/>
      <c r="CB32" s="183" t="str">
        <f t="shared" si="144"/>
        <v/>
      </c>
      <c r="CC32" s="203" t="str">
        <f t="shared" si="26"/>
        <v>OK</v>
      </c>
      <c r="CD32" s="226" t="s">
        <v>570</v>
      </c>
      <c r="CE32" s="230"/>
      <c r="CF32" s="183" t="str">
        <f t="shared" si="145"/>
        <v/>
      </c>
      <c r="CG32" s="203" t="str">
        <f t="shared" si="28"/>
        <v>OK</v>
      </c>
      <c r="CH32" s="226" t="s">
        <v>570</v>
      </c>
      <c r="CI32" s="230"/>
      <c r="CJ32" s="183" t="str">
        <f t="shared" si="146"/>
        <v/>
      </c>
      <c r="CK32" s="203" t="str">
        <f t="shared" si="30"/>
        <v>OK</v>
      </c>
      <c r="CL32" s="226" t="s">
        <v>570</v>
      </c>
      <c r="CM32" s="230"/>
      <c r="CN32" s="183" t="str">
        <f t="shared" si="147"/>
        <v/>
      </c>
      <c r="CO32" s="203" t="str">
        <f t="shared" si="32"/>
        <v>OK</v>
      </c>
      <c r="CP32" s="226" t="s">
        <v>570</v>
      </c>
      <c r="CQ32" s="230"/>
      <c r="CR32" s="183" t="str">
        <f t="shared" si="148"/>
        <v/>
      </c>
      <c r="CS32" s="203" t="str">
        <f t="shared" si="34"/>
        <v>OK</v>
      </c>
      <c r="CT32" s="226" t="s">
        <v>570</v>
      </c>
      <c r="CU32" s="230"/>
      <c r="CV32" s="183" t="str">
        <f t="shared" si="149"/>
        <v/>
      </c>
      <c r="CW32" s="203" t="str">
        <f t="shared" si="36"/>
        <v>OK</v>
      </c>
      <c r="CX32" s="226" t="s">
        <v>570</v>
      </c>
      <c r="CY32" s="230"/>
      <c r="CZ32" s="183" t="str">
        <f t="shared" si="150"/>
        <v/>
      </c>
      <c r="DA32" s="203" t="str">
        <f t="shared" si="38"/>
        <v>OK</v>
      </c>
      <c r="DB32" s="226" t="s">
        <v>570</v>
      </c>
      <c r="DC32" s="230"/>
      <c r="DD32" s="183" t="str">
        <f t="shared" si="151"/>
        <v/>
      </c>
      <c r="DE32" s="203" t="str">
        <f t="shared" si="40"/>
        <v>OK</v>
      </c>
      <c r="DF32" s="226" t="s">
        <v>570</v>
      </c>
      <c r="DG32" s="230"/>
      <c r="DH32" s="183" t="str">
        <f t="shared" si="152"/>
        <v/>
      </c>
      <c r="DI32" s="203" t="str">
        <f t="shared" si="42"/>
        <v>OK</v>
      </c>
      <c r="DJ32" s="226" t="s">
        <v>570</v>
      </c>
      <c r="DK32" s="230"/>
      <c r="DL32" s="183" t="str">
        <f t="shared" si="153"/>
        <v/>
      </c>
      <c r="DM32" s="203" t="str">
        <f t="shared" si="44"/>
        <v>OK</v>
      </c>
      <c r="DN32" s="226" t="s">
        <v>570</v>
      </c>
      <c r="DO32" s="230"/>
      <c r="DP32" s="183" t="str">
        <f t="shared" si="154"/>
        <v/>
      </c>
      <c r="DQ32" s="203" t="str">
        <f t="shared" si="46"/>
        <v>OK</v>
      </c>
      <c r="DR32" s="226" t="s">
        <v>570</v>
      </c>
      <c r="DS32" s="230"/>
      <c r="DT32" s="183" t="str">
        <f t="shared" si="155"/>
        <v/>
      </c>
      <c r="DU32" s="203" t="str">
        <f t="shared" si="48"/>
        <v>OK</v>
      </c>
      <c r="DV32" s="226" t="s">
        <v>570</v>
      </c>
      <c r="DW32" s="230"/>
      <c r="DX32" s="183" t="str">
        <f t="shared" si="156"/>
        <v/>
      </c>
      <c r="DY32" s="203" t="str">
        <f t="shared" si="50"/>
        <v>OK</v>
      </c>
      <c r="DZ32" s="226" t="s">
        <v>570</v>
      </c>
      <c r="EA32" s="230"/>
      <c r="EB32" s="183" t="str">
        <f t="shared" si="157"/>
        <v/>
      </c>
      <c r="EC32" s="203" t="str">
        <f t="shared" si="52"/>
        <v>OK</v>
      </c>
      <c r="ED32" s="226" t="s">
        <v>570</v>
      </c>
      <c r="EE32" s="230"/>
      <c r="EF32" s="183" t="str">
        <f t="shared" si="158"/>
        <v/>
      </c>
      <c r="EG32" s="203" t="str">
        <f t="shared" si="54"/>
        <v>OK</v>
      </c>
      <c r="EH32" s="226" t="s">
        <v>570</v>
      </c>
      <c r="EI32" s="230"/>
      <c r="EJ32" s="183" t="str">
        <f t="shared" si="159"/>
        <v/>
      </c>
      <c r="EK32" s="203" t="str">
        <f t="shared" si="56"/>
        <v>OK</v>
      </c>
      <c r="EL32" s="226" t="s">
        <v>570</v>
      </c>
      <c r="EM32" s="230"/>
      <c r="EN32" s="183" t="str">
        <f t="shared" si="160"/>
        <v/>
      </c>
      <c r="EO32" s="203" t="str">
        <f t="shared" si="58"/>
        <v>OK</v>
      </c>
      <c r="EP32" s="226" t="s">
        <v>570</v>
      </c>
      <c r="EQ32" s="230"/>
      <c r="ER32" s="183" t="str">
        <f t="shared" si="161"/>
        <v/>
      </c>
      <c r="ES32" s="203" t="str">
        <f t="shared" si="60"/>
        <v>OK</v>
      </c>
      <c r="ET32" s="226" t="s">
        <v>570</v>
      </c>
      <c r="EU32" s="230"/>
      <c r="EV32" s="183" t="str">
        <f t="shared" si="162"/>
        <v/>
      </c>
      <c r="EW32" s="203" t="str">
        <f t="shared" si="62"/>
        <v>OK</v>
      </c>
      <c r="EX32" s="226" t="s">
        <v>570</v>
      </c>
      <c r="EY32" s="230"/>
      <c r="EZ32" s="183" t="str">
        <f t="shared" si="163"/>
        <v/>
      </c>
      <c r="FA32" s="203" t="str">
        <f t="shared" si="64"/>
        <v>OK</v>
      </c>
      <c r="FB32" s="226" t="s">
        <v>570</v>
      </c>
      <c r="FC32" s="230"/>
      <c r="FD32" s="183" t="str">
        <f t="shared" si="164"/>
        <v/>
      </c>
      <c r="FE32" s="203" t="str">
        <f t="shared" si="66"/>
        <v>OK</v>
      </c>
      <c r="FF32" s="226" t="s">
        <v>570</v>
      </c>
      <c r="FG32" s="230"/>
      <c r="FH32" s="183" t="str">
        <f t="shared" si="165"/>
        <v/>
      </c>
      <c r="FI32" s="203" t="str">
        <f t="shared" si="68"/>
        <v>OK</v>
      </c>
      <c r="FJ32" s="226" t="s">
        <v>570</v>
      </c>
      <c r="FK32" s="230"/>
      <c r="FL32" s="183" t="str">
        <f t="shared" si="166"/>
        <v/>
      </c>
      <c r="FM32" s="203" t="str">
        <f t="shared" si="70"/>
        <v>OK</v>
      </c>
      <c r="FN32" s="226" t="s">
        <v>570</v>
      </c>
      <c r="FO32" s="230"/>
      <c r="FP32" s="183" t="str">
        <f t="shared" si="167"/>
        <v/>
      </c>
      <c r="FQ32" s="203" t="str">
        <f t="shared" si="72"/>
        <v>OK</v>
      </c>
      <c r="FR32" s="226" t="s">
        <v>570</v>
      </c>
      <c r="FS32" s="230"/>
      <c r="FT32" s="183" t="str">
        <f t="shared" si="168"/>
        <v/>
      </c>
      <c r="FU32" s="203" t="str">
        <f t="shared" si="74"/>
        <v>OK</v>
      </c>
      <c r="FV32" s="226" t="s">
        <v>570</v>
      </c>
      <c r="FW32" s="230"/>
      <c r="FX32" s="183" t="str">
        <f t="shared" si="169"/>
        <v/>
      </c>
      <c r="FY32" s="203" t="str">
        <f t="shared" si="76"/>
        <v>OK</v>
      </c>
      <c r="FZ32" s="226" t="s">
        <v>570</v>
      </c>
      <c r="GA32" s="230"/>
      <c r="GB32" s="183" t="str">
        <f t="shared" si="170"/>
        <v/>
      </c>
      <c r="GC32" s="203" t="str">
        <f t="shared" si="78"/>
        <v>OK</v>
      </c>
      <c r="GD32" s="226" t="s">
        <v>570</v>
      </c>
      <c r="GE32" s="230"/>
      <c r="GF32" s="183" t="str">
        <f t="shared" si="171"/>
        <v/>
      </c>
      <c r="GG32" s="203" t="str">
        <f t="shared" si="80"/>
        <v>OK</v>
      </c>
      <c r="GH32" s="226" t="s">
        <v>570</v>
      </c>
      <c r="GI32" s="230"/>
      <c r="GJ32" s="183" t="str">
        <f t="shared" si="172"/>
        <v/>
      </c>
      <c r="GK32" s="203" t="str">
        <f t="shared" si="82"/>
        <v>OK</v>
      </c>
      <c r="GL32" s="226" t="s">
        <v>570</v>
      </c>
      <c r="GM32" s="230"/>
      <c r="GN32" s="183" t="str">
        <f t="shared" si="173"/>
        <v/>
      </c>
      <c r="GO32" s="203" t="str">
        <f t="shared" si="84"/>
        <v>OK</v>
      </c>
      <c r="GP32" s="226" t="s">
        <v>570</v>
      </c>
      <c r="GQ32" s="230"/>
      <c r="GR32" s="183" t="str">
        <f t="shared" si="174"/>
        <v/>
      </c>
      <c r="GS32" s="203" t="str">
        <f t="shared" si="86"/>
        <v>OK</v>
      </c>
      <c r="GT32" s="202"/>
      <c r="GU32" s="202"/>
      <c r="GV32" s="255"/>
      <c r="GW32" s="255"/>
      <c r="GX32" s="255"/>
    </row>
    <row r="33" spans="1:206">
      <c r="A33" s="200" t="s">
        <v>336</v>
      </c>
      <c r="B33" s="225">
        <f t="shared" si="130"/>
        <v>26</v>
      </c>
      <c r="C33" s="229"/>
      <c r="D33" s="229"/>
      <c r="E33" s="228"/>
      <c r="F33" s="222" t="s">
        <v>413</v>
      </c>
      <c r="G33" s="221"/>
      <c r="H33" s="220"/>
      <c r="I33" s="209"/>
      <c r="J33" s="217" t="s">
        <v>23</v>
      </c>
      <c r="K33" s="219"/>
      <c r="L33" s="219"/>
      <c r="M33" s="218" t="s">
        <v>412</v>
      </c>
      <c r="N33" s="217"/>
      <c r="O33" s="216"/>
      <c r="P33" s="212"/>
      <c r="Q33" s="212"/>
      <c r="R33" s="215"/>
      <c r="S33" s="214"/>
      <c r="T33" s="212"/>
      <c r="U33" s="213"/>
      <c r="V33" s="212"/>
      <c r="W33" s="211" t="str">
        <f t="shared" si="131"/>
        <v>3</v>
      </c>
      <c r="X33" s="210" t="s">
        <v>411</v>
      </c>
      <c r="Y33" s="210">
        <v>6</v>
      </c>
      <c r="Z33" s="210">
        <v>6</v>
      </c>
      <c r="AA33" s="209">
        <v>9</v>
      </c>
      <c r="AB33" s="209" t="s">
        <v>306</v>
      </c>
      <c r="AC33" s="207"/>
      <c r="AD33" s="226" t="s">
        <v>268</v>
      </c>
      <c r="AE33" s="230"/>
      <c r="AF33" s="183" t="str">
        <f t="shared" si="132"/>
        <v/>
      </c>
      <c r="AG33" s="203" t="str">
        <f t="shared" si="2"/>
        <v>OK</v>
      </c>
      <c r="AH33" s="226" t="s">
        <v>268</v>
      </c>
      <c r="AI33" s="230"/>
      <c r="AJ33" s="183" t="str">
        <f t="shared" si="133"/>
        <v/>
      </c>
      <c r="AK33" s="203" t="str">
        <f t="shared" si="4"/>
        <v>OK</v>
      </c>
      <c r="AL33" s="226" t="s">
        <v>268</v>
      </c>
      <c r="AM33" s="230"/>
      <c r="AN33" s="183" t="str">
        <f t="shared" si="134"/>
        <v/>
      </c>
      <c r="AO33" s="203" t="str">
        <f t="shared" si="6"/>
        <v>OK</v>
      </c>
      <c r="AP33" s="226" t="s">
        <v>268</v>
      </c>
      <c r="AQ33" s="230"/>
      <c r="AR33" s="183" t="str">
        <f t="shared" si="135"/>
        <v/>
      </c>
      <c r="AS33" s="203" t="str">
        <f t="shared" si="8"/>
        <v>OK</v>
      </c>
      <c r="AT33" s="226" t="s">
        <v>268</v>
      </c>
      <c r="AU33" s="230"/>
      <c r="AV33" s="183" t="str">
        <f t="shared" si="136"/>
        <v/>
      </c>
      <c r="AW33" s="203" t="str">
        <f t="shared" si="10"/>
        <v>OK</v>
      </c>
      <c r="AX33" s="226" t="s">
        <v>268</v>
      </c>
      <c r="AY33" s="230"/>
      <c r="AZ33" s="183" t="str">
        <f t="shared" si="137"/>
        <v/>
      </c>
      <c r="BA33" s="203" t="str">
        <f t="shared" si="12"/>
        <v>OK</v>
      </c>
      <c r="BB33" s="226" t="s">
        <v>268</v>
      </c>
      <c r="BC33" s="230"/>
      <c r="BD33" s="183" t="str">
        <f t="shared" si="138"/>
        <v/>
      </c>
      <c r="BE33" s="203" t="str">
        <f t="shared" si="14"/>
        <v>OK</v>
      </c>
      <c r="BF33" s="226" t="s">
        <v>268</v>
      </c>
      <c r="BG33" s="230"/>
      <c r="BH33" s="183" t="str">
        <f t="shared" si="139"/>
        <v/>
      </c>
      <c r="BI33" s="203" t="str">
        <f t="shared" si="16"/>
        <v>OK</v>
      </c>
      <c r="BJ33" s="226" t="s">
        <v>268</v>
      </c>
      <c r="BK33" s="230"/>
      <c r="BL33" s="183" t="str">
        <f t="shared" si="140"/>
        <v/>
      </c>
      <c r="BM33" s="203" t="str">
        <f t="shared" si="18"/>
        <v>OK</v>
      </c>
      <c r="BN33" s="226" t="s">
        <v>268</v>
      </c>
      <c r="BO33" s="230"/>
      <c r="BP33" s="183" t="str">
        <f t="shared" si="141"/>
        <v/>
      </c>
      <c r="BQ33" s="203" t="str">
        <f t="shared" si="20"/>
        <v>OK</v>
      </c>
      <c r="BR33" s="226" t="s">
        <v>268</v>
      </c>
      <c r="BS33" s="230"/>
      <c r="BT33" s="183" t="str">
        <f t="shared" si="142"/>
        <v/>
      </c>
      <c r="BU33" s="203" t="str">
        <f t="shared" si="22"/>
        <v>OK</v>
      </c>
      <c r="BV33" s="226" t="s">
        <v>268</v>
      </c>
      <c r="BW33" s="230"/>
      <c r="BX33" s="183" t="str">
        <f t="shared" si="143"/>
        <v/>
      </c>
      <c r="BY33" s="203" t="str">
        <f t="shared" si="24"/>
        <v>OK</v>
      </c>
      <c r="BZ33" s="226" t="s">
        <v>268</v>
      </c>
      <c r="CA33" s="230"/>
      <c r="CB33" s="183" t="str">
        <f t="shared" si="144"/>
        <v/>
      </c>
      <c r="CC33" s="203" t="str">
        <f t="shared" si="26"/>
        <v>OK</v>
      </c>
      <c r="CD33" s="226" t="s">
        <v>268</v>
      </c>
      <c r="CE33" s="230"/>
      <c r="CF33" s="183" t="str">
        <f t="shared" si="145"/>
        <v/>
      </c>
      <c r="CG33" s="203" t="str">
        <f t="shared" si="28"/>
        <v>OK</v>
      </c>
      <c r="CH33" s="226" t="s">
        <v>268</v>
      </c>
      <c r="CI33" s="230"/>
      <c r="CJ33" s="183" t="str">
        <f t="shared" si="146"/>
        <v/>
      </c>
      <c r="CK33" s="203" t="str">
        <f t="shared" si="30"/>
        <v>OK</v>
      </c>
      <c r="CL33" s="226" t="s">
        <v>268</v>
      </c>
      <c r="CM33" s="230"/>
      <c r="CN33" s="183" t="str">
        <f t="shared" si="147"/>
        <v/>
      </c>
      <c r="CO33" s="203" t="str">
        <f t="shared" si="32"/>
        <v>OK</v>
      </c>
      <c r="CP33" s="226" t="s">
        <v>268</v>
      </c>
      <c r="CQ33" s="230"/>
      <c r="CR33" s="183" t="str">
        <f t="shared" si="148"/>
        <v/>
      </c>
      <c r="CS33" s="203" t="str">
        <f t="shared" si="34"/>
        <v>OK</v>
      </c>
      <c r="CT33" s="226" t="s">
        <v>268</v>
      </c>
      <c r="CU33" s="230"/>
      <c r="CV33" s="183" t="str">
        <f t="shared" si="149"/>
        <v/>
      </c>
      <c r="CW33" s="203" t="str">
        <f t="shared" si="36"/>
        <v>OK</v>
      </c>
      <c r="CX33" s="226" t="s">
        <v>268</v>
      </c>
      <c r="CY33" s="230"/>
      <c r="CZ33" s="183" t="str">
        <f t="shared" si="150"/>
        <v/>
      </c>
      <c r="DA33" s="203" t="str">
        <f t="shared" si="38"/>
        <v>OK</v>
      </c>
      <c r="DB33" s="226" t="s">
        <v>268</v>
      </c>
      <c r="DC33" s="230"/>
      <c r="DD33" s="183" t="str">
        <f t="shared" si="151"/>
        <v/>
      </c>
      <c r="DE33" s="203" t="str">
        <f t="shared" si="40"/>
        <v>OK</v>
      </c>
      <c r="DF33" s="226" t="s">
        <v>268</v>
      </c>
      <c r="DG33" s="230"/>
      <c r="DH33" s="183" t="str">
        <f t="shared" si="152"/>
        <v/>
      </c>
      <c r="DI33" s="203" t="str">
        <f t="shared" si="42"/>
        <v>OK</v>
      </c>
      <c r="DJ33" s="226" t="s">
        <v>268</v>
      </c>
      <c r="DK33" s="230"/>
      <c r="DL33" s="183" t="str">
        <f t="shared" si="153"/>
        <v/>
      </c>
      <c r="DM33" s="203" t="str">
        <f t="shared" si="44"/>
        <v>OK</v>
      </c>
      <c r="DN33" s="226" t="s">
        <v>268</v>
      </c>
      <c r="DO33" s="230"/>
      <c r="DP33" s="183" t="str">
        <f t="shared" si="154"/>
        <v/>
      </c>
      <c r="DQ33" s="203" t="str">
        <f t="shared" si="46"/>
        <v>OK</v>
      </c>
      <c r="DR33" s="226" t="s">
        <v>268</v>
      </c>
      <c r="DS33" s="230"/>
      <c r="DT33" s="183" t="str">
        <f t="shared" si="155"/>
        <v/>
      </c>
      <c r="DU33" s="203" t="str">
        <f t="shared" si="48"/>
        <v>OK</v>
      </c>
      <c r="DV33" s="226" t="s">
        <v>268</v>
      </c>
      <c r="DW33" s="230"/>
      <c r="DX33" s="183" t="str">
        <f t="shared" si="156"/>
        <v/>
      </c>
      <c r="DY33" s="203" t="str">
        <f t="shared" si="50"/>
        <v>OK</v>
      </c>
      <c r="DZ33" s="226" t="s">
        <v>268</v>
      </c>
      <c r="EA33" s="230"/>
      <c r="EB33" s="183" t="str">
        <f t="shared" si="157"/>
        <v/>
      </c>
      <c r="EC33" s="203" t="str">
        <f t="shared" si="52"/>
        <v>OK</v>
      </c>
      <c r="ED33" s="226" t="s">
        <v>268</v>
      </c>
      <c r="EE33" s="230"/>
      <c r="EF33" s="183" t="str">
        <f t="shared" si="158"/>
        <v/>
      </c>
      <c r="EG33" s="203" t="str">
        <f t="shared" si="54"/>
        <v>OK</v>
      </c>
      <c r="EH33" s="226" t="s">
        <v>268</v>
      </c>
      <c r="EI33" s="230"/>
      <c r="EJ33" s="183" t="str">
        <f t="shared" si="159"/>
        <v/>
      </c>
      <c r="EK33" s="203" t="str">
        <f t="shared" si="56"/>
        <v>OK</v>
      </c>
      <c r="EL33" s="226" t="s">
        <v>268</v>
      </c>
      <c r="EM33" s="230"/>
      <c r="EN33" s="183" t="str">
        <f t="shared" si="160"/>
        <v/>
      </c>
      <c r="EO33" s="203" t="str">
        <f t="shared" si="58"/>
        <v>OK</v>
      </c>
      <c r="EP33" s="226" t="s">
        <v>268</v>
      </c>
      <c r="EQ33" s="230"/>
      <c r="ER33" s="183" t="str">
        <f t="shared" si="161"/>
        <v/>
      </c>
      <c r="ES33" s="203" t="str">
        <f t="shared" si="60"/>
        <v>OK</v>
      </c>
      <c r="ET33" s="226" t="s">
        <v>268</v>
      </c>
      <c r="EU33" s="230"/>
      <c r="EV33" s="183" t="str">
        <f t="shared" si="162"/>
        <v/>
      </c>
      <c r="EW33" s="203" t="str">
        <f t="shared" si="62"/>
        <v>OK</v>
      </c>
      <c r="EX33" s="226" t="s">
        <v>268</v>
      </c>
      <c r="EY33" s="230"/>
      <c r="EZ33" s="183" t="str">
        <f t="shared" si="163"/>
        <v/>
      </c>
      <c r="FA33" s="203" t="str">
        <f t="shared" si="64"/>
        <v>OK</v>
      </c>
      <c r="FB33" s="226" t="s">
        <v>268</v>
      </c>
      <c r="FC33" s="230"/>
      <c r="FD33" s="183" t="str">
        <f t="shared" si="164"/>
        <v/>
      </c>
      <c r="FE33" s="203" t="str">
        <f t="shared" si="66"/>
        <v>OK</v>
      </c>
      <c r="FF33" s="226" t="s">
        <v>268</v>
      </c>
      <c r="FG33" s="230"/>
      <c r="FH33" s="183" t="str">
        <f t="shared" si="165"/>
        <v/>
      </c>
      <c r="FI33" s="203" t="str">
        <f t="shared" si="68"/>
        <v>OK</v>
      </c>
      <c r="FJ33" s="226" t="s">
        <v>268</v>
      </c>
      <c r="FK33" s="230"/>
      <c r="FL33" s="183" t="str">
        <f t="shared" si="166"/>
        <v/>
      </c>
      <c r="FM33" s="203" t="str">
        <f t="shared" si="70"/>
        <v>OK</v>
      </c>
      <c r="FN33" s="226" t="s">
        <v>268</v>
      </c>
      <c r="FO33" s="230"/>
      <c r="FP33" s="183" t="str">
        <f t="shared" si="167"/>
        <v/>
      </c>
      <c r="FQ33" s="203" t="str">
        <f t="shared" si="72"/>
        <v>OK</v>
      </c>
      <c r="FR33" s="226" t="s">
        <v>268</v>
      </c>
      <c r="FS33" s="230"/>
      <c r="FT33" s="183" t="str">
        <f t="shared" si="168"/>
        <v/>
      </c>
      <c r="FU33" s="203" t="str">
        <f t="shared" si="74"/>
        <v>OK</v>
      </c>
      <c r="FV33" s="226" t="s">
        <v>268</v>
      </c>
      <c r="FW33" s="230"/>
      <c r="FX33" s="183" t="str">
        <f t="shared" si="169"/>
        <v/>
      </c>
      <c r="FY33" s="203" t="str">
        <f t="shared" si="76"/>
        <v>OK</v>
      </c>
      <c r="FZ33" s="226" t="s">
        <v>268</v>
      </c>
      <c r="GA33" s="230"/>
      <c r="GB33" s="183" t="str">
        <f t="shared" si="170"/>
        <v/>
      </c>
      <c r="GC33" s="203" t="str">
        <f t="shared" si="78"/>
        <v>OK</v>
      </c>
      <c r="GD33" s="226" t="s">
        <v>268</v>
      </c>
      <c r="GE33" s="230"/>
      <c r="GF33" s="183" t="str">
        <f t="shared" si="171"/>
        <v/>
      </c>
      <c r="GG33" s="203" t="str">
        <f t="shared" si="80"/>
        <v>OK</v>
      </c>
      <c r="GH33" s="226" t="s">
        <v>268</v>
      </c>
      <c r="GI33" s="230"/>
      <c r="GJ33" s="183" t="str">
        <f t="shared" si="172"/>
        <v/>
      </c>
      <c r="GK33" s="203" t="str">
        <f t="shared" si="82"/>
        <v>OK</v>
      </c>
      <c r="GL33" s="226" t="s">
        <v>268</v>
      </c>
      <c r="GM33" s="230"/>
      <c r="GN33" s="183" t="str">
        <f t="shared" si="173"/>
        <v/>
      </c>
      <c r="GO33" s="203" t="str">
        <f t="shared" si="84"/>
        <v>OK</v>
      </c>
      <c r="GP33" s="226" t="s">
        <v>268</v>
      </c>
      <c r="GQ33" s="230"/>
      <c r="GR33" s="183" t="str">
        <f t="shared" si="174"/>
        <v/>
      </c>
      <c r="GS33" s="203" t="str">
        <f t="shared" si="86"/>
        <v>OK</v>
      </c>
      <c r="GT33" s="202"/>
      <c r="GU33" s="202"/>
      <c r="GV33" s="255"/>
      <c r="GW33" s="255"/>
      <c r="GX33" s="255"/>
    </row>
    <row r="34" spans="1:206">
      <c r="A34" s="200" t="s">
        <v>336</v>
      </c>
      <c r="B34" s="225">
        <f t="shared" si="130"/>
        <v>27</v>
      </c>
      <c r="C34" s="229"/>
      <c r="D34" s="229"/>
      <c r="E34" s="228"/>
      <c r="F34" s="222" t="s">
        <v>196</v>
      </c>
      <c r="G34" s="221"/>
      <c r="H34" s="220"/>
      <c r="I34" s="209"/>
      <c r="J34" s="217" t="s">
        <v>23</v>
      </c>
      <c r="K34" s="219"/>
      <c r="L34" s="219"/>
      <c r="M34" s="218"/>
      <c r="N34" s="217"/>
      <c r="O34" s="216"/>
      <c r="P34" s="212"/>
      <c r="Q34" s="212"/>
      <c r="R34" s="215"/>
      <c r="S34" s="214"/>
      <c r="T34" s="212"/>
      <c r="U34" s="213"/>
      <c r="V34" s="212"/>
      <c r="W34" s="211" t="str">
        <f t="shared" si="131"/>
        <v>3</v>
      </c>
      <c r="X34" s="254" t="s">
        <v>410</v>
      </c>
      <c r="Y34" s="210">
        <v>5</v>
      </c>
      <c r="Z34" s="210">
        <v>5</v>
      </c>
      <c r="AA34" s="209" t="s">
        <v>54</v>
      </c>
      <c r="AB34" s="209" t="s">
        <v>306</v>
      </c>
      <c r="AC34" s="207"/>
      <c r="AD34" s="253" t="s">
        <v>266</v>
      </c>
      <c r="AE34" s="230"/>
      <c r="AF34" s="183" t="str">
        <f t="shared" si="132"/>
        <v/>
      </c>
      <c r="AG34" s="203" t="str">
        <f t="shared" si="2"/>
        <v>OK</v>
      </c>
      <c r="AH34" s="253" t="s">
        <v>266</v>
      </c>
      <c r="AI34" s="230"/>
      <c r="AJ34" s="183" t="str">
        <f t="shared" si="133"/>
        <v/>
      </c>
      <c r="AK34" s="203" t="str">
        <f t="shared" si="4"/>
        <v>OK</v>
      </c>
      <c r="AL34" s="253" t="s">
        <v>266</v>
      </c>
      <c r="AM34" s="230"/>
      <c r="AN34" s="183" t="str">
        <f t="shared" si="134"/>
        <v/>
      </c>
      <c r="AO34" s="203" t="str">
        <f t="shared" si="6"/>
        <v>OK</v>
      </c>
      <c r="AP34" s="253" t="s">
        <v>266</v>
      </c>
      <c r="AQ34" s="230"/>
      <c r="AR34" s="183" t="str">
        <f t="shared" si="135"/>
        <v/>
      </c>
      <c r="AS34" s="203" t="str">
        <f t="shared" si="8"/>
        <v>OK</v>
      </c>
      <c r="AT34" s="253" t="s">
        <v>266</v>
      </c>
      <c r="AU34" s="230"/>
      <c r="AV34" s="183" t="str">
        <f t="shared" si="136"/>
        <v/>
      </c>
      <c r="AW34" s="203" t="str">
        <f t="shared" si="10"/>
        <v>OK</v>
      </c>
      <c r="AX34" s="253" t="s">
        <v>266</v>
      </c>
      <c r="AY34" s="230"/>
      <c r="AZ34" s="183" t="str">
        <f t="shared" si="137"/>
        <v/>
      </c>
      <c r="BA34" s="203" t="str">
        <f t="shared" si="12"/>
        <v>OK</v>
      </c>
      <c r="BB34" s="253" t="s">
        <v>266</v>
      </c>
      <c r="BC34" s="230"/>
      <c r="BD34" s="183" t="str">
        <f t="shared" si="138"/>
        <v/>
      </c>
      <c r="BE34" s="203" t="str">
        <f t="shared" si="14"/>
        <v>OK</v>
      </c>
      <c r="BF34" s="253" t="s">
        <v>266</v>
      </c>
      <c r="BG34" s="230"/>
      <c r="BH34" s="183" t="str">
        <f t="shared" si="139"/>
        <v/>
      </c>
      <c r="BI34" s="203" t="str">
        <f t="shared" si="16"/>
        <v>OK</v>
      </c>
      <c r="BJ34" s="253" t="s">
        <v>266</v>
      </c>
      <c r="BK34" s="230"/>
      <c r="BL34" s="183" t="str">
        <f t="shared" si="140"/>
        <v/>
      </c>
      <c r="BM34" s="203" t="str">
        <f t="shared" si="18"/>
        <v>OK</v>
      </c>
      <c r="BN34" s="253" t="s">
        <v>266</v>
      </c>
      <c r="BO34" s="230"/>
      <c r="BP34" s="183" t="str">
        <f t="shared" si="141"/>
        <v/>
      </c>
      <c r="BQ34" s="203" t="str">
        <f t="shared" si="20"/>
        <v>OK</v>
      </c>
      <c r="BR34" s="253" t="s">
        <v>266</v>
      </c>
      <c r="BS34" s="230"/>
      <c r="BT34" s="183" t="str">
        <f t="shared" si="142"/>
        <v/>
      </c>
      <c r="BU34" s="203" t="str">
        <f t="shared" si="22"/>
        <v>OK</v>
      </c>
      <c r="BV34" s="253" t="s">
        <v>266</v>
      </c>
      <c r="BW34" s="230"/>
      <c r="BX34" s="183" t="str">
        <f t="shared" si="143"/>
        <v/>
      </c>
      <c r="BY34" s="203" t="str">
        <f t="shared" si="24"/>
        <v>OK</v>
      </c>
      <c r="BZ34" s="253" t="s">
        <v>266</v>
      </c>
      <c r="CA34" s="230"/>
      <c r="CB34" s="183" t="str">
        <f t="shared" si="144"/>
        <v/>
      </c>
      <c r="CC34" s="203" t="str">
        <f t="shared" si="26"/>
        <v>OK</v>
      </c>
      <c r="CD34" s="253" t="s">
        <v>266</v>
      </c>
      <c r="CE34" s="230"/>
      <c r="CF34" s="183" t="str">
        <f t="shared" si="145"/>
        <v/>
      </c>
      <c r="CG34" s="203" t="str">
        <f t="shared" si="28"/>
        <v>OK</v>
      </c>
      <c r="CH34" s="253" t="s">
        <v>266</v>
      </c>
      <c r="CI34" s="230"/>
      <c r="CJ34" s="183" t="str">
        <f t="shared" si="146"/>
        <v/>
      </c>
      <c r="CK34" s="203" t="str">
        <f t="shared" si="30"/>
        <v>OK</v>
      </c>
      <c r="CL34" s="253" t="s">
        <v>266</v>
      </c>
      <c r="CM34" s="230"/>
      <c r="CN34" s="183" t="str">
        <f t="shared" si="147"/>
        <v/>
      </c>
      <c r="CO34" s="203" t="str">
        <f t="shared" si="32"/>
        <v>OK</v>
      </c>
      <c r="CP34" s="253" t="s">
        <v>266</v>
      </c>
      <c r="CQ34" s="230"/>
      <c r="CR34" s="183" t="str">
        <f t="shared" si="148"/>
        <v/>
      </c>
      <c r="CS34" s="203" t="str">
        <f t="shared" si="34"/>
        <v>OK</v>
      </c>
      <c r="CT34" s="253" t="s">
        <v>266</v>
      </c>
      <c r="CU34" s="230"/>
      <c r="CV34" s="183" t="str">
        <f t="shared" si="149"/>
        <v/>
      </c>
      <c r="CW34" s="203" t="str">
        <f t="shared" si="36"/>
        <v>OK</v>
      </c>
      <c r="CX34" s="253" t="s">
        <v>266</v>
      </c>
      <c r="CY34" s="230"/>
      <c r="CZ34" s="183" t="str">
        <f t="shared" si="150"/>
        <v/>
      </c>
      <c r="DA34" s="203" t="str">
        <f t="shared" si="38"/>
        <v>OK</v>
      </c>
      <c r="DB34" s="253" t="s">
        <v>266</v>
      </c>
      <c r="DC34" s="230"/>
      <c r="DD34" s="183" t="str">
        <f t="shared" si="151"/>
        <v/>
      </c>
      <c r="DE34" s="203" t="str">
        <f t="shared" si="40"/>
        <v>OK</v>
      </c>
      <c r="DF34" s="253" t="s">
        <v>266</v>
      </c>
      <c r="DG34" s="230"/>
      <c r="DH34" s="183" t="str">
        <f t="shared" si="152"/>
        <v/>
      </c>
      <c r="DI34" s="203" t="str">
        <f t="shared" si="42"/>
        <v>OK</v>
      </c>
      <c r="DJ34" s="253" t="s">
        <v>266</v>
      </c>
      <c r="DK34" s="230"/>
      <c r="DL34" s="183" t="str">
        <f t="shared" si="153"/>
        <v/>
      </c>
      <c r="DM34" s="203" t="str">
        <f t="shared" si="44"/>
        <v>OK</v>
      </c>
      <c r="DN34" s="253" t="s">
        <v>266</v>
      </c>
      <c r="DO34" s="230"/>
      <c r="DP34" s="183" t="str">
        <f t="shared" si="154"/>
        <v/>
      </c>
      <c r="DQ34" s="203" t="str">
        <f t="shared" si="46"/>
        <v>OK</v>
      </c>
      <c r="DR34" s="253" t="s">
        <v>266</v>
      </c>
      <c r="DS34" s="230"/>
      <c r="DT34" s="183" t="str">
        <f t="shared" si="155"/>
        <v/>
      </c>
      <c r="DU34" s="203" t="str">
        <f t="shared" si="48"/>
        <v>OK</v>
      </c>
      <c r="DV34" s="253" t="s">
        <v>266</v>
      </c>
      <c r="DW34" s="230"/>
      <c r="DX34" s="183" t="str">
        <f t="shared" si="156"/>
        <v/>
      </c>
      <c r="DY34" s="203" t="str">
        <f t="shared" si="50"/>
        <v>OK</v>
      </c>
      <c r="DZ34" s="253" t="s">
        <v>266</v>
      </c>
      <c r="EA34" s="230"/>
      <c r="EB34" s="183" t="str">
        <f t="shared" si="157"/>
        <v/>
      </c>
      <c r="EC34" s="203" t="str">
        <f t="shared" si="52"/>
        <v>OK</v>
      </c>
      <c r="ED34" s="253" t="s">
        <v>266</v>
      </c>
      <c r="EE34" s="230"/>
      <c r="EF34" s="183" t="str">
        <f t="shared" si="158"/>
        <v/>
      </c>
      <c r="EG34" s="203" t="str">
        <f t="shared" si="54"/>
        <v>OK</v>
      </c>
      <c r="EH34" s="253" t="s">
        <v>266</v>
      </c>
      <c r="EI34" s="230"/>
      <c r="EJ34" s="183" t="str">
        <f t="shared" si="159"/>
        <v/>
      </c>
      <c r="EK34" s="203" t="str">
        <f t="shared" si="56"/>
        <v>OK</v>
      </c>
      <c r="EL34" s="253" t="s">
        <v>266</v>
      </c>
      <c r="EM34" s="230"/>
      <c r="EN34" s="183" t="str">
        <f t="shared" si="160"/>
        <v/>
      </c>
      <c r="EO34" s="203" t="str">
        <f t="shared" si="58"/>
        <v>OK</v>
      </c>
      <c r="EP34" s="253" t="s">
        <v>266</v>
      </c>
      <c r="EQ34" s="230"/>
      <c r="ER34" s="183" t="str">
        <f t="shared" si="161"/>
        <v/>
      </c>
      <c r="ES34" s="203" t="str">
        <f t="shared" si="60"/>
        <v>OK</v>
      </c>
      <c r="ET34" s="253" t="s">
        <v>266</v>
      </c>
      <c r="EU34" s="230"/>
      <c r="EV34" s="183" t="str">
        <f t="shared" si="162"/>
        <v/>
      </c>
      <c r="EW34" s="203" t="str">
        <f t="shared" si="62"/>
        <v>OK</v>
      </c>
      <c r="EX34" s="253" t="s">
        <v>266</v>
      </c>
      <c r="EY34" s="230"/>
      <c r="EZ34" s="183" t="str">
        <f t="shared" si="163"/>
        <v/>
      </c>
      <c r="FA34" s="203" t="str">
        <f t="shared" si="64"/>
        <v>OK</v>
      </c>
      <c r="FB34" s="253" t="s">
        <v>266</v>
      </c>
      <c r="FC34" s="230"/>
      <c r="FD34" s="183" t="str">
        <f t="shared" si="164"/>
        <v/>
      </c>
      <c r="FE34" s="203" t="str">
        <f t="shared" si="66"/>
        <v>OK</v>
      </c>
      <c r="FF34" s="253" t="s">
        <v>266</v>
      </c>
      <c r="FG34" s="230"/>
      <c r="FH34" s="183" t="str">
        <f t="shared" si="165"/>
        <v/>
      </c>
      <c r="FI34" s="203" t="str">
        <f t="shared" si="68"/>
        <v>OK</v>
      </c>
      <c r="FJ34" s="253" t="s">
        <v>266</v>
      </c>
      <c r="FK34" s="230"/>
      <c r="FL34" s="183" t="str">
        <f t="shared" si="166"/>
        <v/>
      </c>
      <c r="FM34" s="203" t="str">
        <f t="shared" si="70"/>
        <v>OK</v>
      </c>
      <c r="FN34" s="253" t="s">
        <v>266</v>
      </c>
      <c r="FO34" s="230"/>
      <c r="FP34" s="183" t="str">
        <f t="shared" si="167"/>
        <v/>
      </c>
      <c r="FQ34" s="203" t="str">
        <f t="shared" si="72"/>
        <v>OK</v>
      </c>
      <c r="FR34" s="253" t="s">
        <v>266</v>
      </c>
      <c r="FS34" s="230"/>
      <c r="FT34" s="183" t="str">
        <f t="shared" si="168"/>
        <v/>
      </c>
      <c r="FU34" s="203" t="str">
        <f t="shared" si="74"/>
        <v>OK</v>
      </c>
      <c r="FV34" s="253" t="s">
        <v>266</v>
      </c>
      <c r="FW34" s="230"/>
      <c r="FX34" s="183" t="str">
        <f t="shared" si="169"/>
        <v/>
      </c>
      <c r="FY34" s="203" t="str">
        <f t="shared" si="76"/>
        <v>OK</v>
      </c>
      <c r="FZ34" s="253" t="s">
        <v>266</v>
      </c>
      <c r="GA34" s="230"/>
      <c r="GB34" s="183" t="str">
        <f t="shared" si="170"/>
        <v/>
      </c>
      <c r="GC34" s="203" t="str">
        <f t="shared" si="78"/>
        <v>OK</v>
      </c>
      <c r="GD34" s="253" t="s">
        <v>266</v>
      </c>
      <c r="GE34" s="230"/>
      <c r="GF34" s="183" t="str">
        <f t="shared" si="171"/>
        <v/>
      </c>
      <c r="GG34" s="203" t="str">
        <f t="shared" si="80"/>
        <v>OK</v>
      </c>
      <c r="GH34" s="253" t="s">
        <v>266</v>
      </c>
      <c r="GI34" s="230"/>
      <c r="GJ34" s="183" t="str">
        <f t="shared" si="172"/>
        <v/>
      </c>
      <c r="GK34" s="203" t="str">
        <f t="shared" si="82"/>
        <v>OK</v>
      </c>
      <c r="GL34" s="253" t="s">
        <v>266</v>
      </c>
      <c r="GM34" s="230"/>
      <c r="GN34" s="183" t="str">
        <f t="shared" si="173"/>
        <v/>
      </c>
      <c r="GO34" s="203" t="str">
        <f t="shared" si="84"/>
        <v>OK</v>
      </c>
      <c r="GP34" s="253" t="s">
        <v>266</v>
      </c>
      <c r="GQ34" s="230"/>
      <c r="GR34" s="183" t="str">
        <f t="shared" si="174"/>
        <v/>
      </c>
      <c r="GS34" s="203" t="str">
        <f t="shared" si="86"/>
        <v>OK</v>
      </c>
      <c r="GT34" s="202"/>
      <c r="GU34" s="202"/>
      <c r="GV34" s="255"/>
      <c r="GW34" s="255"/>
      <c r="GX34" s="255"/>
    </row>
    <row r="35" spans="1:206">
      <c r="A35" s="200" t="s">
        <v>336</v>
      </c>
      <c r="B35" s="225">
        <f t="shared" si="130"/>
        <v>28</v>
      </c>
      <c r="C35" s="229"/>
      <c r="D35" s="229"/>
      <c r="E35" s="228"/>
      <c r="F35" s="222" t="s">
        <v>68</v>
      </c>
      <c r="G35" s="221"/>
      <c r="H35" s="220"/>
      <c r="I35" s="209"/>
      <c r="J35" s="217" t="s">
        <v>23</v>
      </c>
      <c r="K35" s="219"/>
      <c r="L35" s="219"/>
      <c r="M35" s="218"/>
      <c r="N35" s="217"/>
      <c r="O35" s="216"/>
      <c r="P35" s="212"/>
      <c r="Q35" s="212"/>
      <c r="R35" s="215"/>
      <c r="S35" s="214"/>
      <c r="T35" s="212"/>
      <c r="U35" s="213"/>
      <c r="V35" s="212"/>
      <c r="W35" s="211" t="str">
        <f t="shared" si="131"/>
        <v>3</v>
      </c>
      <c r="X35" s="254" t="s">
        <v>409</v>
      </c>
      <c r="Y35" s="210">
        <v>6</v>
      </c>
      <c r="Z35" s="210">
        <v>6</v>
      </c>
      <c r="AA35" s="209" t="s">
        <v>54</v>
      </c>
      <c r="AB35" s="209" t="s">
        <v>306</v>
      </c>
      <c r="AC35" s="207"/>
      <c r="AD35" s="253" t="s">
        <v>264</v>
      </c>
      <c r="AE35" s="230"/>
      <c r="AF35" s="183" t="str">
        <f t="shared" si="132"/>
        <v/>
      </c>
      <c r="AG35" s="203" t="str">
        <f t="shared" si="2"/>
        <v>OK</v>
      </c>
      <c r="AH35" s="253" t="s">
        <v>585</v>
      </c>
      <c r="AI35" s="230"/>
      <c r="AJ35" s="183" t="str">
        <f t="shared" si="133"/>
        <v/>
      </c>
      <c r="AK35" s="203" t="str">
        <f t="shared" si="4"/>
        <v>OK</v>
      </c>
      <c r="AL35" s="253" t="s">
        <v>586</v>
      </c>
      <c r="AM35" s="230"/>
      <c r="AN35" s="183" t="str">
        <f t="shared" si="134"/>
        <v/>
      </c>
      <c r="AO35" s="203" t="str">
        <f t="shared" si="6"/>
        <v>OK</v>
      </c>
      <c r="AP35" s="253" t="s">
        <v>587</v>
      </c>
      <c r="AQ35" s="230"/>
      <c r="AR35" s="183" t="str">
        <f t="shared" si="135"/>
        <v/>
      </c>
      <c r="AS35" s="203" t="str">
        <f t="shared" si="8"/>
        <v>OK</v>
      </c>
      <c r="AT35" s="253" t="s">
        <v>588</v>
      </c>
      <c r="AU35" s="230"/>
      <c r="AV35" s="183" t="str">
        <f t="shared" si="136"/>
        <v/>
      </c>
      <c r="AW35" s="203" t="str">
        <f t="shared" si="10"/>
        <v>OK</v>
      </c>
      <c r="AX35" s="253" t="s">
        <v>589</v>
      </c>
      <c r="AY35" s="230"/>
      <c r="AZ35" s="183" t="str">
        <f t="shared" si="137"/>
        <v/>
      </c>
      <c r="BA35" s="203" t="str">
        <f t="shared" si="12"/>
        <v>OK</v>
      </c>
      <c r="BB35" s="253" t="s">
        <v>590</v>
      </c>
      <c r="BC35" s="230"/>
      <c r="BD35" s="183" t="str">
        <f t="shared" si="138"/>
        <v/>
      </c>
      <c r="BE35" s="203" t="str">
        <f t="shared" si="14"/>
        <v>OK</v>
      </c>
      <c r="BF35" s="253" t="s">
        <v>591</v>
      </c>
      <c r="BG35" s="230"/>
      <c r="BH35" s="183" t="str">
        <f t="shared" si="139"/>
        <v/>
      </c>
      <c r="BI35" s="203" t="str">
        <f t="shared" si="16"/>
        <v>OK</v>
      </c>
      <c r="BJ35" s="253" t="s">
        <v>592</v>
      </c>
      <c r="BK35" s="230"/>
      <c r="BL35" s="183" t="str">
        <f t="shared" si="140"/>
        <v/>
      </c>
      <c r="BM35" s="203" t="str">
        <f t="shared" si="18"/>
        <v>OK</v>
      </c>
      <c r="BN35" s="253" t="s">
        <v>626</v>
      </c>
      <c r="BO35" s="230"/>
      <c r="BP35" s="183" t="str">
        <f t="shared" si="141"/>
        <v/>
      </c>
      <c r="BQ35" s="203" t="str">
        <f t="shared" si="20"/>
        <v>OK</v>
      </c>
      <c r="BR35" s="253" t="s">
        <v>593</v>
      </c>
      <c r="BS35" s="230"/>
      <c r="BT35" s="183" t="str">
        <f t="shared" si="142"/>
        <v/>
      </c>
      <c r="BU35" s="203" t="str">
        <f t="shared" si="22"/>
        <v>OK</v>
      </c>
      <c r="BV35" s="253" t="s">
        <v>594</v>
      </c>
      <c r="BW35" s="230"/>
      <c r="BX35" s="183" t="str">
        <f t="shared" si="143"/>
        <v/>
      </c>
      <c r="BY35" s="203" t="str">
        <f t="shared" si="24"/>
        <v>OK</v>
      </c>
      <c r="BZ35" s="253" t="s">
        <v>595</v>
      </c>
      <c r="CA35" s="230"/>
      <c r="CB35" s="183" t="str">
        <f t="shared" si="144"/>
        <v/>
      </c>
      <c r="CC35" s="203" t="str">
        <f t="shared" si="26"/>
        <v>OK</v>
      </c>
      <c r="CD35" s="253" t="s">
        <v>596</v>
      </c>
      <c r="CE35" s="230"/>
      <c r="CF35" s="183" t="str">
        <f t="shared" si="145"/>
        <v/>
      </c>
      <c r="CG35" s="203" t="str">
        <f t="shared" si="28"/>
        <v>OK</v>
      </c>
      <c r="CH35" s="253" t="s">
        <v>597</v>
      </c>
      <c r="CI35" s="230"/>
      <c r="CJ35" s="183" t="str">
        <f t="shared" si="146"/>
        <v/>
      </c>
      <c r="CK35" s="203" t="str">
        <f t="shared" si="30"/>
        <v>OK</v>
      </c>
      <c r="CL35" s="253" t="s">
        <v>598</v>
      </c>
      <c r="CM35" s="230"/>
      <c r="CN35" s="183" t="str">
        <f t="shared" si="147"/>
        <v/>
      </c>
      <c r="CO35" s="203" t="str">
        <f t="shared" si="32"/>
        <v>OK</v>
      </c>
      <c r="CP35" s="253" t="s">
        <v>599</v>
      </c>
      <c r="CQ35" s="230"/>
      <c r="CR35" s="183" t="str">
        <f t="shared" si="148"/>
        <v/>
      </c>
      <c r="CS35" s="203" t="str">
        <f t="shared" si="34"/>
        <v>OK</v>
      </c>
      <c r="CT35" s="253" t="s">
        <v>600</v>
      </c>
      <c r="CU35" s="230"/>
      <c r="CV35" s="183" t="str">
        <f t="shared" si="149"/>
        <v/>
      </c>
      <c r="CW35" s="203" t="str">
        <f t="shared" si="36"/>
        <v>OK</v>
      </c>
      <c r="CX35" s="253" t="s">
        <v>601</v>
      </c>
      <c r="CY35" s="230"/>
      <c r="CZ35" s="183" t="str">
        <f t="shared" si="150"/>
        <v/>
      </c>
      <c r="DA35" s="203" t="str">
        <f t="shared" si="38"/>
        <v>OK</v>
      </c>
      <c r="DB35" s="253" t="s">
        <v>602</v>
      </c>
      <c r="DC35" s="230"/>
      <c r="DD35" s="183" t="str">
        <f t="shared" si="151"/>
        <v/>
      </c>
      <c r="DE35" s="203" t="str">
        <f t="shared" si="40"/>
        <v>OK</v>
      </c>
      <c r="DF35" s="253" t="s">
        <v>603</v>
      </c>
      <c r="DG35" s="230"/>
      <c r="DH35" s="183" t="str">
        <f t="shared" si="152"/>
        <v/>
      </c>
      <c r="DI35" s="203" t="str">
        <f t="shared" si="42"/>
        <v>OK</v>
      </c>
      <c r="DJ35" s="253" t="s">
        <v>604</v>
      </c>
      <c r="DK35" s="230"/>
      <c r="DL35" s="183" t="str">
        <f t="shared" si="153"/>
        <v/>
      </c>
      <c r="DM35" s="203" t="str">
        <f t="shared" si="44"/>
        <v>OK</v>
      </c>
      <c r="DN35" s="253" t="s">
        <v>605</v>
      </c>
      <c r="DO35" s="230"/>
      <c r="DP35" s="183" t="str">
        <f t="shared" si="154"/>
        <v/>
      </c>
      <c r="DQ35" s="203" t="str">
        <f t="shared" si="46"/>
        <v>OK</v>
      </c>
      <c r="DR35" s="253" t="s">
        <v>606</v>
      </c>
      <c r="DS35" s="230"/>
      <c r="DT35" s="183" t="str">
        <f t="shared" si="155"/>
        <v/>
      </c>
      <c r="DU35" s="203" t="str">
        <f t="shared" si="48"/>
        <v>OK</v>
      </c>
      <c r="DV35" s="253" t="s">
        <v>607</v>
      </c>
      <c r="DW35" s="230"/>
      <c r="DX35" s="183" t="str">
        <f t="shared" si="156"/>
        <v/>
      </c>
      <c r="DY35" s="203" t="str">
        <f t="shared" si="50"/>
        <v>OK</v>
      </c>
      <c r="DZ35" s="253" t="s">
        <v>608</v>
      </c>
      <c r="EA35" s="230"/>
      <c r="EB35" s="183" t="str">
        <f t="shared" si="157"/>
        <v/>
      </c>
      <c r="EC35" s="203" t="str">
        <f t="shared" si="52"/>
        <v>OK</v>
      </c>
      <c r="ED35" s="253" t="s">
        <v>609</v>
      </c>
      <c r="EE35" s="230"/>
      <c r="EF35" s="183" t="str">
        <f t="shared" si="158"/>
        <v/>
      </c>
      <c r="EG35" s="203" t="str">
        <f t="shared" si="54"/>
        <v>OK</v>
      </c>
      <c r="EH35" s="253" t="s">
        <v>610</v>
      </c>
      <c r="EI35" s="230"/>
      <c r="EJ35" s="183" t="str">
        <f t="shared" si="159"/>
        <v/>
      </c>
      <c r="EK35" s="203" t="str">
        <f t="shared" si="56"/>
        <v>OK</v>
      </c>
      <c r="EL35" s="253" t="s">
        <v>611</v>
      </c>
      <c r="EM35" s="230"/>
      <c r="EN35" s="183" t="str">
        <f t="shared" si="160"/>
        <v/>
      </c>
      <c r="EO35" s="203" t="str">
        <f t="shared" si="58"/>
        <v>OK</v>
      </c>
      <c r="EP35" s="253" t="s">
        <v>612</v>
      </c>
      <c r="EQ35" s="230"/>
      <c r="ER35" s="183" t="str">
        <f t="shared" si="161"/>
        <v/>
      </c>
      <c r="ES35" s="203" t="str">
        <f t="shared" si="60"/>
        <v>OK</v>
      </c>
      <c r="ET35" s="253" t="s">
        <v>613</v>
      </c>
      <c r="EU35" s="230"/>
      <c r="EV35" s="183" t="str">
        <f t="shared" si="162"/>
        <v/>
      </c>
      <c r="EW35" s="203" t="str">
        <f t="shared" si="62"/>
        <v>OK</v>
      </c>
      <c r="EX35" s="253" t="s">
        <v>614</v>
      </c>
      <c r="EY35" s="230"/>
      <c r="EZ35" s="183" t="str">
        <f t="shared" si="163"/>
        <v/>
      </c>
      <c r="FA35" s="203" t="str">
        <f t="shared" si="64"/>
        <v>OK</v>
      </c>
      <c r="FB35" s="253" t="s">
        <v>615</v>
      </c>
      <c r="FC35" s="230"/>
      <c r="FD35" s="183" t="str">
        <f t="shared" si="164"/>
        <v/>
      </c>
      <c r="FE35" s="203" t="str">
        <f t="shared" si="66"/>
        <v>OK</v>
      </c>
      <c r="FF35" s="253" t="s">
        <v>616</v>
      </c>
      <c r="FG35" s="230"/>
      <c r="FH35" s="183" t="str">
        <f t="shared" si="165"/>
        <v/>
      </c>
      <c r="FI35" s="203" t="str">
        <f t="shared" si="68"/>
        <v>OK</v>
      </c>
      <c r="FJ35" s="253" t="s">
        <v>617</v>
      </c>
      <c r="FK35" s="230"/>
      <c r="FL35" s="183" t="str">
        <f t="shared" si="166"/>
        <v/>
      </c>
      <c r="FM35" s="203" t="str">
        <f t="shared" si="70"/>
        <v>OK</v>
      </c>
      <c r="FN35" s="253" t="s">
        <v>618</v>
      </c>
      <c r="FO35" s="230"/>
      <c r="FP35" s="183" t="str">
        <f t="shared" si="167"/>
        <v/>
      </c>
      <c r="FQ35" s="203" t="str">
        <f t="shared" si="72"/>
        <v>OK</v>
      </c>
      <c r="FR35" s="253" t="s">
        <v>619</v>
      </c>
      <c r="FS35" s="230"/>
      <c r="FT35" s="183" t="str">
        <f t="shared" si="168"/>
        <v/>
      </c>
      <c r="FU35" s="203" t="str">
        <f t="shared" si="74"/>
        <v>OK</v>
      </c>
      <c r="FV35" s="253" t="s">
        <v>620</v>
      </c>
      <c r="FW35" s="230"/>
      <c r="FX35" s="183" t="str">
        <f t="shared" si="169"/>
        <v/>
      </c>
      <c r="FY35" s="203" t="str">
        <f t="shared" si="76"/>
        <v>OK</v>
      </c>
      <c r="FZ35" s="253" t="s">
        <v>621</v>
      </c>
      <c r="GA35" s="230"/>
      <c r="GB35" s="183" t="str">
        <f t="shared" si="170"/>
        <v/>
      </c>
      <c r="GC35" s="203" t="str">
        <f t="shared" si="78"/>
        <v>OK</v>
      </c>
      <c r="GD35" s="253" t="s">
        <v>622</v>
      </c>
      <c r="GE35" s="230"/>
      <c r="GF35" s="183" t="str">
        <f t="shared" si="171"/>
        <v/>
      </c>
      <c r="GG35" s="203" t="str">
        <f t="shared" si="80"/>
        <v>OK</v>
      </c>
      <c r="GH35" s="253" t="s">
        <v>623</v>
      </c>
      <c r="GI35" s="230"/>
      <c r="GJ35" s="183" t="str">
        <f t="shared" si="172"/>
        <v/>
      </c>
      <c r="GK35" s="203" t="str">
        <f t="shared" si="82"/>
        <v>OK</v>
      </c>
      <c r="GL35" s="253" t="s">
        <v>624</v>
      </c>
      <c r="GM35" s="230"/>
      <c r="GN35" s="183" t="str">
        <f t="shared" si="173"/>
        <v/>
      </c>
      <c r="GO35" s="203" t="str">
        <f t="shared" si="84"/>
        <v>OK</v>
      </c>
      <c r="GP35" s="253" t="s">
        <v>625</v>
      </c>
      <c r="GQ35" s="230"/>
      <c r="GR35" s="183" t="str">
        <f t="shared" si="174"/>
        <v/>
      </c>
      <c r="GS35" s="203" t="str">
        <f t="shared" si="86"/>
        <v>OK</v>
      </c>
      <c r="GT35" s="202"/>
      <c r="GU35" s="202"/>
      <c r="GV35" s="201"/>
      <c r="GW35" s="201"/>
      <c r="GX35" s="201"/>
    </row>
    <row r="36" spans="1:206">
      <c r="A36" s="200" t="s">
        <v>336</v>
      </c>
      <c r="B36" s="225">
        <f t="shared" si="130"/>
        <v>29</v>
      </c>
      <c r="C36" s="229"/>
      <c r="D36" s="229"/>
      <c r="E36" s="228"/>
      <c r="F36" s="234" t="s">
        <v>408</v>
      </c>
      <c r="G36" s="233"/>
      <c r="H36" s="232"/>
      <c r="I36" s="209"/>
      <c r="J36" s="217" t="s">
        <v>23</v>
      </c>
      <c r="K36" s="219"/>
      <c r="L36" s="219"/>
      <c r="M36" s="218"/>
      <c r="N36" s="217"/>
      <c r="O36" s="216"/>
      <c r="P36" s="212"/>
      <c r="Q36" s="212"/>
      <c r="R36" s="215"/>
      <c r="S36" s="214"/>
      <c r="T36" s="212"/>
      <c r="U36" s="213"/>
      <c r="V36" s="212"/>
      <c r="W36" s="211" t="str">
        <f t="shared" si="131"/>
        <v>3</v>
      </c>
      <c r="X36" s="210" t="s">
        <v>407</v>
      </c>
      <c r="Y36" s="210"/>
      <c r="Z36" s="210"/>
      <c r="AA36" s="209"/>
      <c r="AB36" s="209" t="s">
        <v>306</v>
      </c>
      <c r="AC36" s="207"/>
      <c r="AD36" s="206"/>
      <c r="AE36" s="230"/>
      <c r="AF36" s="183" t="str">
        <f t="shared" si="132"/>
        <v/>
      </c>
      <c r="AG36" s="203" t="str">
        <f t="shared" si="2"/>
        <v>OK</v>
      </c>
      <c r="AH36" s="206"/>
      <c r="AI36" s="230"/>
      <c r="AJ36" s="183" t="str">
        <f t="shared" si="133"/>
        <v/>
      </c>
      <c r="AK36" s="203" t="str">
        <f t="shared" si="4"/>
        <v>OK</v>
      </c>
      <c r="AL36" s="206"/>
      <c r="AM36" s="230"/>
      <c r="AN36" s="183" t="str">
        <f t="shared" si="134"/>
        <v/>
      </c>
      <c r="AO36" s="203" t="str">
        <f t="shared" si="6"/>
        <v>OK</v>
      </c>
      <c r="AP36" s="206"/>
      <c r="AQ36" s="230"/>
      <c r="AR36" s="183" t="str">
        <f t="shared" si="135"/>
        <v/>
      </c>
      <c r="AS36" s="203" t="str">
        <f t="shared" si="8"/>
        <v>OK</v>
      </c>
      <c r="AT36" s="206"/>
      <c r="AU36" s="230"/>
      <c r="AV36" s="183" t="str">
        <f t="shared" si="136"/>
        <v/>
      </c>
      <c r="AW36" s="203" t="str">
        <f t="shared" si="10"/>
        <v>OK</v>
      </c>
      <c r="AX36" s="206"/>
      <c r="AY36" s="230"/>
      <c r="AZ36" s="183" t="str">
        <f t="shared" si="137"/>
        <v/>
      </c>
      <c r="BA36" s="203" t="str">
        <f t="shared" si="12"/>
        <v>OK</v>
      </c>
      <c r="BB36" s="206"/>
      <c r="BC36" s="230"/>
      <c r="BD36" s="183" t="str">
        <f t="shared" si="138"/>
        <v/>
      </c>
      <c r="BE36" s="203" t="str">
        <f t="shared" si="14"/>
        <v>OK</v>
      </c>
      <c r="BF36" s="206"/>
      <c r="BG36" s="230"/>
      <c r="BH36" s="183" t="str">
        <f t="shared" si="139"/>
        <v/>
      </c>
      <c r="BI36" s="203" t="str">
        <f t="shared" si="16"/>
        <v>OK</v>
      </c>
      <c r="BJ36" s="206"/>
      <c r="BK36" s="230"/>
      <c r="BL36" s="183" t="str">
        <f t="shared" si="140"/>
        <v/>
      </c>
      <c r="BM36" s="203" t="str">
        <f t="shared" si="18"/>
        <v>OK</v>
      </c>
      <c r="BN36" s="206"/>
      <c r="BO36" s="230"/>
      <c r="BP36" s="183" t="str">
        <f t="shared" si="141"/>
        <v/>
      </c>
      <c r="BQ36" s="203" t="str">
        <f t="shared" si="20"/>
        <v>OK</v>
      </c>
      <c r="BR36" s="206"/>
      <c r="BS36" s="230"/>
      <c r="BT36" s="183" t="str">
        <f t="shared" si="142"/>
        <v/>
      </c>
      <c r="BU36" s="203" t="str">
        <f t="shared" si="22"/>
        <v>OK</v>
      </c>
      <c r="BV36" s="206"/>
      <c r="BW36" s="230"/>
      <c r="BX36" s="183" t="str">
        <f t="shared" si="143"/>
        <v/>
      </c>
      <c r="BY36" s="203" t="str">
        <f t="shared" si="24"/>
        <v>OK</v>
      </c>
      <c r="BZ36" s="206"/>
      <c r="CA36" s="230"/>
      <c r="CB36" s="183" t="str">
        <f t="shared" si="144"/>
        <v/>
      </c>
      <c r="CC36" s="203" t="str">
        <f t="shared" si="26"/>
        <v>OK</v>
      </c>
      <c r="CD36" s="206"/>
      <c r="CE36" s="230"/>
      <c r="CF36" s="183" t="str">
        <f t="shared" si="145"/>
        <v/>
      </c>
      <c r="CG36" s="203" t="str">
        <f t="shared" si="28"/>
        <v>OK</v>
      </c>
      <c r="CH36" s="206"/>
      <c r="CI36" s="230"/>
      <c r="CJ36" s="183" t="str">
        <f t="shared" si="146"/>
        <v/>
      </c>
      <c r="CK36" s="203" t="str">
        <f t="shared" si="30"/>
        <v>OK</v>
      </c>
      <c r="CL36" s="206"/>
      <c r="CM36" s="230"/>
      <c r="CN36" s="183" t="str">
        <f t="shared" si="147"/>
        <v/>
      </c>
      <c r="CO36" s="203" t="str">
        <f t="shared" si="32"/>
        <v>OK</v>
      </c>
      <c r="CP36" s="206"/>
      <c r="CQ36" s="230"/>
      <c r="CR36" s="183" t="str">
        <f t="shared" si="148"/>
        <v/>
      </c>
      <c r="CS36" s="203" t="str">
        <f t="shared" si="34"/>
        <v>OK</v>
      </c>
      <c r="CT36" s="206"/>
      <c r="CU36" s="230"/>
      <c r="CV36" s="183" t="str">
        <f t="shared" si="149"/>
        <v/>
      </c>
      <c r="CW36" s="203" t="str">
        <f t="shared" si="36"/>
        <v>OK</v>
      </c>
      <c r="CX36" s="206"/>
      <c r="CY36" s="230"/>
      <c r="CZ36" s="183" t="str">
        <f t="shared" si="150"/>
        <v/>
      </c>
      <c r="DA36" s="203" t="str">
        <f t="shared" si="38"/>
        <v>OK</v>
      </c>
      <c r="DB36" s="206"/>
      <c r="DC36" s="230"/>
      <c r="DD36" s="183" t="str">
        <f t="shared" si="151"/>
        <v/>
      </c>
      <c r="DE36" s="203" t="str">
        <f t="shared" si="40"/>
        <v>OK</v>
      </c>
      <c r="DF36" s="206"/>
      <c r="DG36" s="230"/>
      <c r="DH36" s="183" t="str">
        <f t="shared" si="152"/>
        <v/>
      </c>
      <c r="DI36" s="203" t="str">
        <f t="shared" si="42"/>
        <v>OK</v>
      </c>
      <c r="DJ36" s="206"/>
      <c r="DK36" s="230"/>
      <c r="DL36" s="183" t="str">
        <f t="shared" si="153"/>
        <v/>
      </c>
      <c r="DM36" s="203" t="str">
        <f t="shared" si="44"/>
        <v>OK</v>
      </c>
      <c r="DN36" s="206"/>
      <c r="DO36" s="230"/>
      <c r="DP36" s="183" t="str">
        <f t="shared" si="154"/>
        <v/>
      </c>
      <c r="DQ36" s="203" t="str">
        <f t="shared" si="46"/>
        <v>OK</v>
      </c>
      <c r="DR36" s="206"/>
      <c r="DS36" s="230"/>
      <c r="DT36" s="183" t="str">
        <f t="shared" si="155"/>
        <v/>
      </c>
      <c r="DU36" s="203" t="str">
        <f t="shared" si="48"/>
        <v>OK</v>
      </c>
      <c r="DV36" s="206"/>
      <c r="DW36" s="230"/>
      <c r="DX36" s="183" t="str">
        <f t="shared" si="156"/>
        <v/>
      </c>
      <c r="DY36" s="203" t="str">
        <f t="shared" si="50"/>
        <v>OK</v>
      </c>
      <c r="DZ36" s="206"/>
      <c r="EA36" s="230"/>
      <c r="EB36" s="183" t="str">
        <f t="shared" si="157"/>
        <v/>
      </c>
      <c r="EC36" s="203" t="str">
        <f t="shared" si="52"/>
        <v>OK</v>
      </c>
      <c r="ED36" s="206"/>
      <c r="EE36" s="230"/>
      <c r="EF36" s="183" t="str">
        <f t="shared" si="158"/>
        <v/>
      </c>
      <c r="EG36" s="203" t="str">
        <f t="shared" si="54"/>
        <v>OK</v>
      </c>
      <c r="EH36" s="206"/>
      <c r="EI36" s="230"/>
      <c r="EJ36" s="183" t="str">
        <f t="shared" si="159"/>
        <v/>
      </c>
      <c r="EK36" s="203" t="str">
        <f t="shared" si="56"/>
        <v>OK</v>
      </c>
      <c r="EL36" s="206"/>
      <c r="EM36" s="230"/>
      <c r="EN36" s="183" t="str">
        <f t="shared" si="160"/>
        <v/>
      </c>
      <c r="EO36" s="203" t="str">
        <f t="shared" si="58"/>
        <v>OK</v>
      </c>
      <c r="EP36" s="206"/>
      <c r="EQ36" s="230"/>
      <c r="ER36" s="183" t="str">
        <f t="shared" si="161"/>
        <v/>
      </c>
      <c r="ES36" s="203" t="str">
        <f t="shared" si="60"/>
        <v>OK</v>
      </c>
      <c r="ET36" s="206"/>
      <c r="EU36" s="230"/>
      <c r="EV36" s="183" t="str">
        <f t="shared" si="162"/>
        <v/>
      </c>
      <c r="EW36" s="203" t="str">
        <f t="shared" si="62"/>
        <v>OK</v>
      </c>
      <c r="EX36" s="206"/>
      <c r="EY36" s="230"/>
      <c r="EZ36" s="183" t="str">
        <f t="shared" si="163"/>
        <v/>
      </c>
      <c r="FA36" s="203" t="str">
        <f t="shared" si="64"/>
        <v>OK</v>
      </c>
      <c r="FB36" s="206"/>
      <c r="FC36" s="230"/>
      <c r="FD36" s="183" t="str">
        <f t="shared" si="164"/>
        <v/>
      </c>
      <c r="FE36" s="203" t="str">
        <f t="shared" si="66"/>
        <v>OK</v>
      </c>
      <c r="FF36" s="206"/>
      <c r="FG36" s="230"/>
      <c r="FH36" s="183" t="str">
        <f t="shared" si="165"/>
        <v/>
      </c>
      <c r="FI36" s="203" t="str">
        <f t="shared" si="68"/>
        <v>OK</v>
      </c>
      <c r="FJ36" s="206"/>
      <c r="FK36" s="230"/>
      <c r="FL36" s="183" t="str">
        <f t="shared" si="166"/>
        <v/>
      </c>
      <c r="FM36" s="203" t="str">
        <f t="shared" si="70"/>
        <v>OK</v>
      </c>
      <c r="FN36" s="206"/>
      <c r="FO36" s="230"/>
      <c r="FP36" s="183" t="str">
        <f t="shared" si="167"/>
        <v/>
      </c>
      <c r="FQ36" s="203" t="str">
        <f t="shared" si="72"/>
        <v>OK</v>
      </c>
      <c r="FR36" s="206"/>
      <c r="FS36" s="230"/>
      <c r="FT36" s="183" t="str">
        <f t="shared" si="168"/>
        <v/>
      </c>
      <c r="FU36" s="203" t="str">
        <f t="shared" si="74"/>
        <v>OK</v>
      </c>
      <c r="FV36" s="206"/>
      <c r="FW36" s="230"/>
      <c r="FX36" s="183" t="str">
        <f t="shared" si="169"/>
        <v/>
      </c>
      <c r="FY36" s="203" t="str">
        <f t="shared" si="76"/>
        <v>OK</v>
      </c>
      <c r="FZ36" s="206"/>
      <c r="GA36" s="230"/>
      <c r="GB36" s="183" t="str">
        <f t="shared" si="170"/>
        <v/>
      </c>
      <c r="GC36" s="203" t="str">
        <f t="shared" si="78"/>
        <v>OK</v>
      </c>
      <c r="GD36" s="206"/>
      <c r="GE36" s="230"/>
      <c r="GF36" s="183" t="str">
        <f t="shared" si="171"/>
        <v/>
      </c>
      <c r="GG36" s="203" t="str">
        <f t="shared" si="80"/>
        <v>OK</v>
      </c>
      <c r="GH36" s="206"/>
      <c r="GI36" s="230"/>
      <c r="GJ36" s="183" t="str">
        <f t="shared" si="172"/>
        <v/>
      </c>
      <c r="GK36" s="203" t="str">
        <f t="shared" si="82"/>
        <v>OK</v>
      </c>
      <c r="GL36" s="206"/>
      <c r="GM36" s="230"/>
      <c r="GN36" s="183" t="str">
        <f t="shared" si="173"/>
        <v/>
      </c>
      <c r="GO36" s="203" t="str">
        <f t="shared" si="84"/>
        <v>OK</v>
      </c>
      <c r="GP36" s="206"/>
      <c r="GQ36" s="230"/>
      <c r="GR36" s="183" t="str">
        <f t="shared" si="174"/>
        <v/>
      </c>
      <c r="GS36" s="203" t="str">
        <f t="shared" si="86"/>
        <v>OK</v>
      </c>
      <c r="GT36" s="202"/>
      <c r="GU36" s="202"/>
      <c r="GV36" s="201"/>
      <c r="GW36" s="201"/>
      <c r="GX36" s="201"/>
    </row>
    <row r="37" spans="1:206">
      <c r="A37" s="200" t="s">
        <v>336</v>
      </c>
      <c r="B37" s="225">
        <f t="shared" si="130"/>
        <v>30</v>
      </c>
      <c r="C37" s="229"/>
      <c r="D37" s="229"/>
      <c r="E37" s="228"/>
      <c r="F37" s="228"/>
      <c r="G37" s="222" t="s">
        <v>406</v>
      </c>
      <c r="H37" s="220"/>
      <c r="I37" s="209"/>
      <c r="J37" s="217" t="s">
        <v>23</v>
      </c>
      <c r="K37" s="219"/>
      <c r="L37" s="219"/>
      <c r="M37" s="218"/>
      <c r="N37" s="217"/>
      <c r="O37" s="216"/>
      <c r="P37" s="212"/>
      <c r="Q37" s="212"/>
      <c r="R37" s="215"/>
      <c r="S37" s="214"/>
      <c r="T37" s="212"/>
      <c r="U37" s="213"/>
      <c r="V37" s="212"/>
      <c r="W37" s="211" t="str">
        <f t="shared" si="131"/>
        <v>4</v>
      </c>
      <c r="X37" s="210" t="s">
        <v>405</v>
      </c>
      <c r="Y37" s="210">
        <v>1</v>
      </c>
      <c r="Z37" s="210">
        <v>30</v>
      </c>
      <c r="AA37" s="209" t="s">
        <v>69</v>
      </c>
      <c r="AB37" s="209" t="s">
        <v>306</v>
      </c>
      <c r="AC37" s="207"/>
      <c r="AD37" s="376" t="s">
        <v>571</v>
      </c>
      <c r="AE37" s="230"/>
      <c r="AF37" s="183" t="str">
        <f t="shared" si="132"/>
        <v/>
      </c>
      <c r="AG37" s="203" t="str">
        <f t="shared" si="2"/>
        <v>OK</v>
      </c>
      <c r="AH37" s="376" t="s">
        <v>571</v>
      </c>
      <c r="AI37" s="230"/>
      <c r="AJ37" s="183" t="str">
        <f t="shared" si="133"/>
        <v/>
      </c>
      <c r="AK37" s="203" t="str">
        <f t="shared" si="4"/>
        <v>OK</v>
      </c>
      <c r="AL37" s="376" t="s">
        <v>571</v>
      </c>
      <c r="AM37" s="230"/>
      <c r="AN37" s="183" t="str">
        <f t="shared" si="134"/>
        <v/>
      </c>
      <c r="AO37" s="203" t="str">
        <f t="shared" si="6"/>
        <v>OK</v>
      </c>
      <c r="AP37" s="376" t="s">
        <v>571</v>
      </c>
      <c r="AQ37" s="230"/>
      <c r="AR37" s="183" t="str">
        <f t="shared" si="135"/>
        <v/>
      </c>
      <c r="AS37" s="203" t="str">
        <f t="shared" si="8"/>
        <v>OK</v>
      </c>
      <c r="AT37" s="376" t="s">
        <v>571</v>
      </c>
      <c r="AU37" s="230"/>
      <c r="AV37" s="183" t="str">
        <f t="shared" si="136"/>
        <v/>
      </c>
      <c r="AW37" s="203" t="str">
        <f t="shared" si="10"/>
        <v>OK</v>
      </c>
      <c r="AX37" s="376" t="s">
        <v>571</v>
      </c>
      <c r="AY37" s="230"/>
      <c r="AZ37" s="183" t="str">
        <f t="shared" si="137"/>
        <v/>
      </c>
      <c r="BA37" s="203" t="str">
        <f t="shared" si="12"/>
        <v>OK</v>
      </c>
      <c r="BB37" s="376" t="s">
        <v>571</v>
      </c>
      <c r="BC37" s="230"/>
      <c r="BD37" s="183" t="str">
        <f t="shared" si="138"/>
        <v/>
      </c>
      <c r="BE37" s="203" t="str">
        <f t="shared" si="14"/>
        <v>OK</v>
      </c>
      <c r="BF37" s="376" t="s">
        <v>571</v>
      </c>
      <c r="BG37" s="230"/>
      <c r="BH37" s="183" t="str">
        <f t="shared" si="139"/>
        <v/>
      </c>
      <c r="BI37" s="203" t="str">
        <f t="shared" si="16"/>
        <v>OK</v>
      </c>
      <c r="BJ37" s="376" t="s">
        <v>571</v>
      </c>
      <c r="BK37" s="230"/>
      <c r="BL37" s="183" t="str">
        <f t="shared" si="140"/>
        <v/>
      </c>
      <c r="BM37" s="203" t="str">
        <f t="shared" si="18"/>
        <v>OK</v>
      </c>
      <c r="BN37" s="376" t="s">
        <v>571</v>
      </c>
      <c r="BO37" s="230"/>
      <c r="BP37" s="183" t="str">
        <f t="shared" si="141"/>
        <v/>
      </c>
      <c r="BQ37" s="203" t="str">
        <f t="shared" si="20"/>
        <v>OK</v>
      </c>
      <c r="BR37" s="376" t="s">
        <v>571</v>
      </c>
      <c r="BS37" s="230"/>
      <c r="BT37" s="183" t="str">
        <f t="shared" si="142"/>
        <v/>
      </c>
      <c r="BU37" s="203" t="str">
        <f t="shared" si="22"/>
        <v>OK</v>
      </c>
      <c r="BV37" s="376" t="s">
        <v>571</v>
      </c>
      <c r="BW37" s="230"/>
      <c r="BX37" s="183" t="str">
        <f t="shared" si="143"/>
        <v/>
      </c>
      <c r="BY37" s="203" t="str">
        <f t="shared" si="24"/>
        <v>OK</v>
      </c>
      <c r="BZ37" s="376" t="s">
        <v>571</v>
      </c>
      <c r="CA37" s="230"/>
      <c r="CB37" s="183" t="str">
        <f t="shared" si="144"/>
        <v/>
      </c>
      <c r="CC37" s="203" t="str">
        <f t="shared" si="26"/>
        <v>OK</v>
      </c>
      <c r="CD37" s="376" t="s">
        <v>571</v>
      </c>
      <c r="CE37" s="230"/>
      <c r="CF37" s="183" t="str">
        <f t="shared" si="145"/>
        <v/>
      </c>
      <c r="CG37" s="203" t="str">
        <f t="shared" si="28"/>
        <v>OK</v>
      </c>
      <c r="CH37" s="376" t="s">
        <v>571</v>
      </c>
      <c r="CI37" s="230"/>
      <c r="CJ37" s="183" t="str">
        <f t="shared" si="146"/>
        <v/>
      </c>
      <c r="CK37" s="203" t="str">
        <f t="shared" si="30"/>
        <v>OK</v>
      </c>
      <c r="CL37" s="376" t="s">
        <v>571</v>
      </c>
      <c r="CM37" s="230"/>
      <c r="CN37" s="183" t="str">
        <f t="shared" si="147"/>
        <v/>
      </c>
      <c r="CO37" s="203" t="str">
        <f t="shared" si="32"/>
        <v>OK</v>
      </c>
      <c r="CP37" s="376" t="s">
        <v>571</v>
      </c>
      <c r="CQ37" s="230"/>
      <c r="CR37" s="183" t="str">
        <f t="shared" si="148"/>
        <v/>
      </c>
      <c r="CS37" s="203" t="str">
        <f t="shared" si="34"/>
        <v>OK</v>
      </c>
      <c r="CT37" s="376" t="s">
        <v>571</v>
      </c>
      <c r="CU37" s="230"/>
      <c r="CV37" s="183" t="str">
        <f t="shared" si="149"/>
        <v/>
      </c>
      <c r="CW37" s="203" t="str">
        <f t="shared" si="36"/>
        <v>OK</v>
      </c>
      <c r="CX37" s="376" t="s">
        <v>571</v>
      </c>
      <c r="CY37" s="230"/>
      <c r="CZ37" s="183" t="str">
        <f t="shared" si="150"/>
        <v/>
      </c>
      <c r="DA37" s="203" t="str">
        <f t="shared" si="38"/>
        <v>OK</v>
      </c>
      <c r="DB37" s="376" t="s">
        <v>571</v>
      </c>
      <c r="DC37" s="230"/>
      <c r="DD37" s="183" t="str">
        <f t="shared" si="151"/>
        <v/>
      </c>
      <c r="DE37" s="203" t="str">
        <f t="shared" si="40"/>
        <v>OK</v>
      </c>
      <c r="DF37" s="376" t="s">
        <v>571</v>
      </c>
      <c r="DG37" s="230"/>
      <c r="DH37" s="183" t="str">
        <f t="shared" si="152"/>
        <v/>
      </c>
      <c r="DI37" s="203" t="str">
        <f t="shared" si="42"/>
        <v>OK</v>
      </c>
      <c r="DJ37" s="376" t="s">
        <v>571</v>
      </c>
      <c r="DK37" s="230"/>
      <c r="DL37" s="183" t="str">
        <f t="shared" si="153"/>
        <v/>
      </c>
      <c r="DM37" s="203" t="str">
        <f t="shared" si="44"/>
        <v>OK</v>
      </c>
      <c r="DN37" s="376" t="s">
        <v>571</v>
      </c>
      <c r="DO37" s="230"/>
      <c r="DP37" s="183" t="str">
        <f t="shared" si="154"/>
        <v/>
      </c>
      <c r="DQ37" s="203" t="str">
        <f t="shared" si="46"/>
        <v>OK</v>
      </c>
      <c r="DR37" s="376" t="s">
        <v>571</v>
      </c>
      <c r="DS37" s="230"/>
      <c r="DT37" s="183" t="str">
        <f t="shared" si="155"/>
        <v/>
      </c>
      <c r="DU37" s="203" t="str">
        <f t="shared" si="48"/>
        <v>OK</v>
      </c>
      <c r="DV37" s="376" t="s">
        <v>571</v>
      </c>
      <c r="DW37" s="230"/>
      <c r="DX37" s="183" t="str">
        <f t="shared" si="156"/>
        <v/>
      </c>
      <c r="DY37" s="203" t="str">
        <f t="shared" si="50"/>
        <v>OK</v>
      </c>
      <c r="DZ37" s="376" t="s">
        <v>571</v>
      </c>
      <c r="EA37" s="230"/>
      <c r="EB37" s="183" t="str">
        <f t="shared" si="157"/>
        <v/>
      </c>
      <c r="EC37" s="203" t="str">
        <f t="shared" si="52"/>
        <v>OK</v>
      </c>
      <c r="ED37" s="376" t="s">
        <v>571</v>
      </c>
      <c r="EE37" s="230"/>
      <c r="EF37" s="183" t="str">
        <f t="shared" si="158"/>
        <v/>
      </c>
      <c r="EG37" s="203" t="str">
        <f t="shared" si="54"/>
        <v>OK</v>
      </c>
      <c r="EH37" s="376" t="s">
        <v>571</v>
      </c>
      <c r="EI37" s="230"/>
      <c r="EJ37" s="183" t="str">
        <f t="shared" si="159"/>
        <v/>
      </c>
      <c r="EK37" s="203" t="str">
        <f t="shared" si="56"/>
        <v>OK</v>
      </c>
      <c r="EL37" s="376" t="s">
        <v>571</v>
      </c>
      <c r="EM37" s="230"/>
      <c r="EN37" s="183" t="str">
        <f t="shared" si="160"/>
        <v/>
      </c>
      <c r="EO37" s="203" t="str">
        <f t="shared" si="58"/>
        <v>OK</v>
      </c>
      <c r="EP37" s="376" t="s">
        <v>571</v>
      </c>
      <c r="EQ37" s="230"/>
      <c r="ER37" s="183" t="str">
        <f t="shared" si="161"/>
        <v/>
      </c>
      <c r="ES37" s="203" t="str">
        <f t="shared" si="60"/>
        <v>OK</v>
      </c>
      <c r="ET37" s="376" t="s">
        <v>571</v>
      </c>
      <c r="EU37" s="230"/>
      <c r="EV37" s="183" t="str">
        <f t="shared" si="162"/>
        <v/>
      </c>
      <c r="EW37" s="203" t="str">
        <f t="shared" si="62"/>
        <v>OK</v>
      </c>
      <c r="EX37" s="376" t="s">
        <v>571</v>
      </c>
      <c r="EY37" s="230"/>
      <c r="EZ37" s="183" t="str">
        <f t="shared" si="163"/>
        <v/>
      </c>
      <c r="FA37" s="203" t="str">
        <f t="shared" si="64"/>
        <v>OK</v>
      </c>
      <c r="FB37" s="376" t="s">
        <v>571</v>
      </c>
      <c r="FC37" s="230"/>
      <c r="FD37" s="183" t="str">
        <f t="shared" si="164"/>
        <v/>
      </c>
      <c r="FE37" s="203" t="str">
        <f t="shared" si="66"/>
        <v>OK</v>
      </c>
      <c r="FF37" s="376" t="s">
        <v>571</v>
      </c>
      <c r="FG37" s="230"/>
      <c r="FH37" s="183" t="str">
        <f t="shared" si="165"/>
        <v/>
      </c>
      <c r="FI37" s="203" t="str">
        <f t="shared" si="68"/>
        <v>OK</v>
      </c>
      <c r="FJ37" s="376" t="s">
        <v>571</v>
      </c>
      <c r="FK37" s="230"/>
      <c r="FL37" s="183" t="str">
        <f t="shared" si="166"/>
        <v/>
      </c>
      <c r="FM37" s="203" t="str">
        <f t="shared" si="70"/>
        <v>OK</v>
      </c>
      <c r="FN37" s="376" t="s">
        <v>571</v>
      </c>
      <c r="FO37" s="230"/>
      <c r="FP37" s="183" t="str">
        <f t="shared" si="167"/>
        <v/>
      </c>
      <c r="FQ37" s="203" t="str">
        <f t="shared" si="72"/>
        <v>OK</v>
      </c>
      <c r="FR37" s="376" t="s">
        <v>571</v>
      </c>
      <c r="FS37" s="230"/>
      <c r="FT37" s="183" t="str">
        <f t="shared" si="168"/>
        <v/>
      </c>
      <c r="FU37" s="203" t="str">
        <f t="shared" si="74"/>
        <v>OK</v>
      </c>
      <c r="FV37" s="376" t="s">
        <v>571</v>
      </c>
      <c r="FW37" s="230"/>
      <c r="FX37" s="183" t="str">
        <f t="shared" si="169"/>
        <v/>
      </c>
      <c r="FY37" s="203" t="str">
        <f t="shared" si="76"/>
        <v>OK</v>
      </c>
      <c r="FZ37" s="376" t="s">
        <v>571</v>
      </c>
      <c r="GA37" s="230"/>
      <c r="GB37" s="183" t="str">
        <f t="shared" si="170"/>
        <v/>
      </c>
      <c r="GC37" s="203" t="str">
        <f t="shared" si="78"/>
        <v>OK</v>
      </c>
      <c r="GD37" s="376" t="s">
        <v>571</v>
      </c>
      <c r="GE37" s="230"/>
      <c r="GF37" s="183" t="str">
        <f t="shared" si="171"/>
        <v/>
      </c>
      <c r="GG37" s="203" t="str">
        <f t="shared" si="80"/>
        <v>OK</v>
      </c>
      <c r="GH37" s="376" t="s">
        <v>571</v>
      </c>
      <c r="GI37" s="230"/>
      <c r="GJ37" s="183" t="str">
        <f t="shared" si="172"/>
        <v/>
      </c>
      <c r="GK37" s="203" t="str">
        <f t="shared" si="82"/>
        <v>OK</v>
      </c>
      <c r="GL37" s="376" t="s">
        <v>571</v>
      </c>
      <c r="GM37" s="230"/>
      <c r="GN37" s="183" t="str">
        <f t="shared" si="173"/>
        <v/>
      </c>
      <c r="GO37" s="203" t="str">
        <f t="shared" si="84"/>
        <v>OK</v>
      </c>
      <c r="GP37" s="376" t="s">
        <v>571</v>
      </c>
      <c r="GQ37" s="230"/>
      <c r="GR37" s="183" t="str">
        <f t="shared" si="174"/>
        <v/>
      </c>
      <c r="GS37" s="203" t="str">
        <f t="shared" si="86"/>
        <v>OK</v>
      </c>
      <c r="GT37" s="202"/>
      <c r="GU37" s="202"/>
      <c r="GV37" s="201"/>
      <c r="GW37" s="201"/>
      <c r="GX37" s="201"/>
    </row>
    <row r="38" spans="1:206">
      <c r="A38" s="200" t="s">
        <v>336</v>
      </c>
      <c r="B38" s="225">
        <f t="shared" si="130"/>
        <v>31</v>
      </c>
      <c r="C38" s="229"/>
      <c r="D38" s="229"/>
      <c r="E38" s="228"/>
      <c r="F38" s="223"/>
      <c r="G38" s="222" t="s">
        <v>404</v>
      </c>
      <c r="H38" s="220"/>
      <c r="I38" s="209"/>
      <c r="J38" s="217" t="s">
        <v>23</v>
      </c>
      <c r="K38" s="219"/>
      <c r="L38" s="219"/>
      <c r="M38" s="218"/>
      <c r="N38" s="217"/>
      <c r="O38" s="216"/>
      <c r="P38" s="212"/>
      <c r="Q38" s="212"/>
      <c r="R38" s="215"/>
      <c r="S38" s="214"/>
      <c r="T38" s="212"/>
      <c r="U38" s="213"/>
      <c r="V38" s="212"/>
      <c r="W38" s="211" t="str">
        <f t="shared" si="131"/>
        <v>4</v>
      </c>
      <c r="X38" s="210" t="s">
        <v>403</v>
      </c>
      <c r="Y38" s="210">
        <v>1</v>
      </c>
      <c r="Z38" s="210">
        <v>30</v>
      </c>
      <c r="AA38" s="209" t="s">
        <v>69</v>
      </c>
      <c r="AB38" s="209" t="s">
        <v>306</v>
      </c>
      <c r="AC38" s="207"/>
      <c r="AD38" s="376" t="s">
        <v>572</v>
      </c>
      <c r="AE38" s="230"/>
      <c r="AF38" s="183" t="str">
        <f t="shared" si="132"/>
        <v/>
      </c>
      <c r="AG38" s="203" t="str">
        <f t="shared" si="2"/>
        <v>OK</v>
      </c>
      <c r="AH38" s="376" t="s">
        <v>572</v>
      </c>
      <c r="AI38" s="230"/>
      <c r="AJ38" s="183" t="str">
        <f t="shared" si="133"/>
        <v/>
      </c>
      <c r="AK38" s="203" t="str">
        <f t="shared" si="4"/>
        <v>OK</v>
      </c>
      <c r="AL38" s="376" t="s">
        <v>572</v>
      </c>
      <c r="AM38" s="230"/>
      <c r="AN38" s="183" t="str">
        <f t="shared" si="134"/>
        <v/>
      </c>
      <c r="AO38" s="203" t="str">
        <f t="shared" si="6"/>
        <v>OK</v>
      </c>
      <c r="AP38" s="376" t="s">
        <v>572</v>
      </c>
      <c r="AQ38" s="230"/>
      <c r="AR38" s="183" t="str">
        <f t="shared" si="135"/>
        <v/>
      </c>
      <c r="AS38" s="203" t="str">
        <f t="shared" si="8"/>
        <v>OK</v>
      </c>
      <c r="AT38" s="376" t="s">
        <v>572</v>
      </c>
      <c r="AU38" s="230"/>
      <c r="AV38" s="183" t="str">
        <f t="shared" si="136"/>
        <v/>
      </c>
      <c r="AW38" s="203" t="str">
        <f t="shared" si="10"/>
        <v>OK</v>
      </c>
      <c r="AX38" s="376" t="s">
        <v>572</v>
      </c>
      <c r="AY38" s="230"/>
      <c r="AZ38" s="183" t="str">
        <f t="shared" si="137"/>
        <v/>
      </c>
      <c r="BA38" s="203" t="str">
        <f t="shared" si="12"/>
        <v>OK</v>
      </c>
      <c r="BB38" s="376" t="s">
        <v>572</v>
      </c>
      <c r="BC38" s="230"/>
      <c r="BD38" s="183" t="str">
        <f t="shared" si="138"/>
        <v/>
      </c>
      <c r="BE38" s="203" t="str">
        <f t="shared" si="14"/>
        <v>OK</v>
      </c>
      <c r="BF38" s="376" t="s">
        <v>572</v>
      </c>
      <c r="BG38" s="230"/>
      <c r="BH38" s="183" t="str">
        <f t="shared" si="139"/>
        <v/>
      </c>
      <c r="BI38" s="203" t="str">
        <f t="shared" si="16"/>
        <v>OK</v>
      </c>
      <c r="BJ38" s="376" t="s">
        <v>572</v>
      </c>
      <c r="BK38" s="230"/>
      <c r="BL38" s="183" t="str">
        <f t="shared" si="140"/>
        <v/>
      </c>
      <c r="BM38" s="203" t="str">
        <f t="shared" si="18"/>
        <v>OK</v>
      </c>
      <c r="BN38" s="376" t="s">
        <v>572</v>
      </c>
      <c r="BO38" s="230"/>
      <c r="BP38" s="183" t="str">
        <f t="shared" si="141"/>
        <v/>
      </c>
      <c r="BQ38" s="203" t="str">
        <f t="shared" si="20"/>
        <v>OK</v>
      </c>
      <c r="BR38" s="376" t="s">
        <v>572</v>
      </c>
      <c r="BS38" s="230"/>
      <c r="BT38" s="183" t="str">
        <f t="shared" si="142"/>
        <v/>
      </c>
      <c r="BU38" s="203" t="str">
        <f t="shared" si="22"/>
        <v>OK</v>
      </c>
      <c r="BV38" s="376" t="s">
        <v>572</v>
      </c>
      <c r="BW38" s="230"/>
      <c r="BX38" s="183" t="str">
        <f t="shared" si="143"/>
        <v/>
      </c>
      <c r="BY38" s="203" t="str">
        <f t="shared" si="24"/>
        <v>OK</v>
      </c>
      <c r="BZ38" s="376" t="s">
        <v>572</v>
      </c>
      <c r="CA38" s="230"/>
      <c r="CB38" s="183" t="str">
        <f t="shared" si="144"/>
        <v/>
      </c>
      <c r="CC38" s="203" t="str">
        <f t="shared" si="26"/>
        <v>OK</v>
      </c>
      <c r="CD38" s="376" t="s">
        <v>572</v>
      </c>
      <c r="CE38" s="230"/>
      <c r="CF38" s="183" t="str">
        <f t="shared" si="145"/>
        <v/>
      </c>
      <c r="CG38" s="203" t="str">
        <f t="shared" si="28"/>
        <v>OK</v>
      </c>
      <c r="CH38" s="376" t="s">
        <v>572</v>
      </c>
      <c r="CI38" s="230"/>
      <c r="CJ38" s="183" t="str">
        <f t="shared" si="146"/>
        <v/>
      </c>
      <c r="CK38" s="203" t="str">
        <f t="shared" si="30"/>
        <v>OK</v>
      </c>
      <c r="CL38" s="376" t="s">
        <v>572</v>
      </c>
      <c r="CM38" s="230"/>
      <c r="CN38" s="183" t="str">
        <f t="shared" si="147"/>
        <v/>
      </c>
      <c r="CO38" s="203" t="str">
        <f t="shared" si="32"/>
        <v>OK</v>
      </c>
      <c r="CP38" s="376" t="s">
        <v>572</v>
      </c>
      <c r="CQ38" s="230"/>
      <c r="CR38" s="183" t="str">
        <f t="shared" si="148"/>
        <v/>
      </c>
      <c r="CS38" s="203" t="str">
        <f t="shared" si="34"/>
        <v>OK</v>
      </c>
      <c r="CT38" s="376" t="s">
        <v>572</v>
      </c>
      <c r="CU38" s="230"/>
      <c r="CV38" s="183" t="str">
        <f t="shared" si="149"/>
        <v/>
      </c>
      <c r="CW38" s="203" t="str">
        <f t="shared" si="36"/>
        <v>OK</v>
      </c>
      <c r="CX38" s="376" t="s">
        <v>572</v>
      </c>
      <c r="CY38" s="230"/>
      <c r="CZ38" s="183" t="str">
        <f t="shared" si="150"/>
        <v/>
      </c>
      <c r="DA38" s="203" t="str">
        <f t="shared" si="38"/>
        <v>OK</v>
      </c>
      <c r="DB38" s="376" t="s">
        <v>572</v>
      </c>
      <c r="DC38" s="230"/>
      <c r="DD38" s="183" t="str">
        <f t="shared" si="151"/>
        <v/>
      </c>
      <c r="DE38" s="203" t="str">
        <f t="shared" si="40"/>
        <v>OK</v>
      </c>
      <c r="DF38" s="376" t="s">
        <v>572</v>
      </c>
      <c r="DG38" s="230"/>
      <c r="DH38" s="183" t="str">
        <f t="shared" si="152"/>
        <v/>
      </c>
      <c r="DI38" s="203" t="str">
        <f t="shared" si="42"/>
        <v>OK</v>
      </c>
      <c r="DJ38" s="376" t="s">
        <v>572</v>
      </c>
      <c r="DK38" s="230"/>
      <c r="DL38" s="183" t="str">
        <f t="shared" si="153"/>
        <v/>
      </c>
      <c r="DM38" s="203" t="str">
        <f t="shared" si="44"/>
        <v>OK</v>
      </c>
      <c r="DN38" s="376" t="s">
        <v>572</v>
      </c>
      <c r="DO38" s="230"/>
      <c r="DP38" s="183" t="str">
        <f t="shared" si="154"/>
        <v/>
      </c>
      <c r="DQ38" s="203" t="str">
        <f t="shared" si="46"/>
        <v>OK</v>
      </c>
      <c r="DR38" s="376" t="s">
        <v>572</v>
      </c>
      <c r="DS38" s="230"/>
      <c r="DT38" s="183" t="str">
        <f t="shared" si="155"/>
        <v/>
      </c>
      <c r="DU38" s="203" t="str">
        <f t="shared" si="48"/>
        <v>OK</v>
      </c>
      <c r="DV38" s="376" t="s">
        <v>572</v>
      </c>
      <c r="DW38" s="230"/>
      <c r="DX38" s="183" t="str">
        <f t="shared" si="156"/>
        <v/>
      </c>
      <c r="DY38" s="203" t="str">
        <f t="shared" si="50"/>
        <v>OK</v>
      </c>
      <c r="DZ38" s="376" t="s">
        <v>572</v>
      </c>
      <c r="EA38" s="230"/>
      <c r="EB38" s="183" t="str">
        <f t="shared" si="157"/>
        <v/>
      </c>
      <c r="EC38" s="203" t="str">
        <f t="shared" si="52"/>
        <v>OK</v>
      </c>
      <c r="ED38" s="376" t="s">
        <v>572</v>
      </c>
      <c r="EE38" s="230"/>
      <c r="EF38" s="183" t="str">
        <f t="shared" si="158"/>
        <v/>
      </c>
      <c r="EG38" s="203" t="str">
        <f t="shared" si="54"/>
        <v>OK</v>
      </c>
      <c r="EH38" s="376" t="s">
        <v>572</v>
      </c>
      <c r="EI38" s="230"/>
      <c r="EJ38" s="183" t="str">
        <f t="shared" si="159"/>
        <v/>
      </c>
      <c r="EK38" s="203" t="str">
        <f t="shared" si="56"/>
        <v>OK</v>
      </c>
      <c r="EL38" s="376" t="s">
        <v>572</v>
      </c>
      <c r="EM38" s="230"/>
      <c r="EN38" s="183" t="str">
        <f t="shared" si="160"/>
        <v/>
      </c>
      <c r="EO38" s="203" t="str">
        <f t="shared" si="58"/>
        <v>OK</v>
      </c>
      <c r="EP38" s="376" t="s">
        <v>572</v>
      </c>
      <c r="EQ38" s="230"/>
      <c r="ER38" s="183" t="str">
        <f t="shared" si="161"/>
        <v/>
      </c>
      <c r="ES38" s="203" t="str">
        <f t="shared" si="60"/>
        <v>OK</v>
      </c>
      <c r="ET38" s="376" t="s">
        <v>572</v>
      </c>
      <c r="EU38" s="230"/>
      <c r="EV38" s="183" t="str">
        <f t="shared" si="162"/>
        <v/>
      </c>
      <c r="EW38" s="203" t="str">
        <f t="shared" si="62"/>
        <v>OK</v>
      </c>
      <c r="EX38" s="376" t="s">
        <v>572</v>
      </c>
      <c r="EY38" s="230"/>
      <c r="EZ38" s="183" t="str">
        <f t="shared" si="163"/>
        <v/>
      </c>
      <c r="FA38" s="203" t="str">
        <f t="shared" si="64"/>
        <v>OK</v>
      </c>
      <c r="FB38" s="376" t="s">
        <v>572</v>
      </c>
      <c r="FC38" s="230"/>
      <c r="FD38" s="183" t="str">
        <f t="shared" si="164"/>
        <v/>
      </c>
      <c r="FE38" s="203" t="str">
        <f t="shared" si="66"/>
        <v>OK</v>
      </c>
      <c r="FF38" s="376" t="s">
        <v>572</v>
      </c>
      <c r="FG38" s="230"/>
      <c r="FH38" s="183" t="str">
        <f t="shared" si="165"/>
        <v/>
      </c>
      <c r="FI38" s="203" t="str">
        <f t="shared" si="68"/>
        <v>OK</v>
      </c>
      <c r="FJ38" s="376" t="s">
        <v>572</v>
      </c>
      <c r="FK38" s="230"/>
      <c r="FL38" s="183" t="str">
        <f t="shared" si="166"/>
        <v/>
      </c>
      <c r="FM38" s="203" t="str">
        <f t="shared" si="70"/>
        <v>OK</v>
      </c>
      <c r="FN38" s="376" t="s">
        <v>572</v>
      </c>
      <c r="FO38" s="230"/>
      <c r="FP38" s="183" t="str">
        <f t="shared" si="167"/>
        <v/>
      </c>
      <c r="FQ38" s="203" t="str">
        <f t="shared" si="72"/>
        <v>OK</v>
      </c>
      <c r="FR38" s="376" t="s">
        <v>572</v>
      </c>
      <c r="FS38" s="230"/>
      <c r="FT38" s="183" t="str">
        <f t="shared" si="168"/>
        <v/>
      </c>
      <c r="FU38" s="203" t="str">
        <f t="shared" si="74"/>
        <v>OK</v>
      </c>
      <c r="FV38" s="376" t="s">
        <v>572</v>
      </c>
      <c r="FW38" s="230"/>
      <c r="FX38" s="183" t="str">
        <f t="shared" si="169"/>
        <v/>
      </c>
      <c r="FY38" s="203" t="str">
        <f t="shared" si="76"/>
        <v>OK</v>
      </c>
      <c r="FZ38" s="376" t="s">
        <v>572</v>
      </c>
      <c r="GA38" s="230"/>
      <c r="GB38" s="183" t="str">
        <f t="shared" si="170"/>
        <v/>
      </c>
      <c r="GC38" s="203" t="str">
        <f t="shared" si="78"/>
        <v>OK</v>
      </c>
      <c r="GD38" s="376" t="s">
        <v>572</v>
      </c>
      <c r="GE38" s="230"/>
      <c r="GF38" s="183" t="str">
        <f t="shared" si="171"/>
        <v/>
      </c>
      <c r="GG38" s="203" t="str">
        <f t="shared" si="80"/>
        <v>OK</v>
      </c>
      <c r="GH38" s="376" t="s">
        <v>572</v>
      </c>
      <c r="GI38" s="230"/>
      <c r="GJ38" s="183" t="str">
        <f t="shared" si="172"/>
        <v/>
      </c>
      <c r="GK38" s="203" t="str">
        <f t="shared" si="82"/>
        <v>OK</v>
      </c>
      <c r="GL38" s="376" t="s">
        <v>572</v>
      </c>
      <c r="GM38" s="230"/>
      <c r="GN38" s="183" t="str">
        <f t="shared" si="173"/>
        <v/>
      </c>
      <c r="GO38" s="203" t="str">
        <f t="shared" si="84"/>
        <v>OK</v>
      </c>
      <c r="GP38" s="376" t="s">
        <v>572</v>
      </c>
      <c r="GQ38" s="230"/>
      <c r="GR38" s="183" t="str">
        <f t="shared" si="174"/>
        <v/>
      </c>
      <c r="GS38" s="203" t="str">
        <f t="shared" si="86"/>
        <v>OK</v>
      </c>
      <c r="GT38" s="202"/>
      <c r="GU38" s="202"/>
      <c r="GV38" s="201"/>
      <c r="GW38" s="201"/>
      <c r="GX38" s="201"/>
    </row>
    <row r="39" spans="1:206">
      <c r="A39" s="200" t="s">
        <v>336</v>
      </c>
      <c r="B39" s="225">
        <f t="shared" si="130"/>
        <v>32</v>
      </c>
      <c r="C39" s="229"/>
      <c r="D39" s="229"/>
      <c r="E39" s="228"/>
      <c r="F39" s="234" t="s">
        <v>402</v>
      </c>
      <c r="G39" s="233"/>
      <c r="H39" s="232"/>
      <c r="I39" s="209"/>
      <c r="J39" s="217" t="s">
        <v>23</v>
      </c>
      <c r="K39" s="219"/>
      <c r="L39" s="219"/>
      <c r="M39" s="218" t="s">
        <v>401</v>
      </c>
      <c r="N39" s="217"/>
      <c r="O39" s="216"/>
      <c r="P39" s="212"/>
      <c r="Q39" s="212"/>
      <c r="R39" s="215"/>
      <c r="S39" s="214"/>
      <c r="T39" s="212"/>
      <c r="U39" s="213"/>
      <c r="V39" s="212"/>
      <c r="W39" s="211" t="str">
        <f t="shared" si="131"/>
        <v>3</v>
      </c>
      <c r="X39" s="210" t="s">
        <v>400</v>
      </c>
      <c r="Y39" s="210"/>
      <c r="Z39" s="210"/>
      <c r="AA39" s="209"/>
      <c r="AB39" s="209" t="s">
        <v>306</v>
      </c>
      <c r="AC39" s="207"/>
      <c r="AD39" s="226"/>
      <c r="AE39" s="230"/>
      <c r="AF39" s="183" t="str">
        <f t="shared" si="132"/>
        <v/>
      </c>
      <c r="AG39" s="203" t="str">
        <f t="shared" si="2"/>
        <v>OK</v>
      </c>
      <c r="AH39" s="226"/>
      <c r="AI39" s="230"/>
      <c r="AJ39" s="183" t="str">
        <f t="shared" si="133"/>
        <v/>
      </c>
      <c r="AK39" s="203" t="str">
        <f t="shared" si="4"/>
        <v>OK</v>
      </c>
      <c r="AL39" s="226"/>
      <c r="AM39" s="230"/>
      <c r="AN39" s="183" t="str">
        <f t="shared" si="134"/>
        <v/>
      </c>
      <c r="AO39" s="203" t="str">
        <f t="shared" si="6"/>
        <v>OK</v>
      </c>
      <c r="AP39" s="226"/>
      <c r="AQ39" s="230"/>
      <c r="AR39" s="183" t="str">
        <f t="shared" si="135"/>
        <v/>
      </c>
      <c r="AS39" s="203" t="str">
        <f t="shared" si="8"/>
        <v>OK</v>
      </c>
      <c r="AT39" s="226"/>
      <c r="AU39" s="230"/>
      <c r="AV39" s="183" t="str">
        <f t="shared" si="136"/>
        <v/>
      </c>
      <c r="AW39" s="203" t="str">
        <f t="shared" si="10"/>
        <v>OK</v>
      </c>
      <c r="AX39" s="226"/>
      <c r="AY39" s="230"/>
      <c r="AZ39" s="183" t="str">
        <f t="shared" si="137"/>
        <v/>
      </c>
      <c r="BA39" s="203" t="str">
        <f t="shared" si="12"/>
        <v>OK</v>
      </c>
      <c r="BB39" s="226"/>
      <c r="BC39" s="230"/>
      <c r="BD39" s="183" t="str">
        <f t="shared" si="138"/>
        <v/>
      </c>
      <c r="BE39" s="203" t="str">
        <f t="shared" si="14"/>
        <v>OK</v>
      </c>
      <c r="BF39" s="226"/>
      <c r="BG39" s="230"/>
      <c r="BH39" s="183" t="str">
        <f t="shared" si="139"/>
        <v/>
      </c>
      <c r="BI39" s="203" t="str">
        <f t="shared" si="16"/>
        <v>OK</v>
      </c>
      <c r="BJ39" s="226"/>
      <c r="BK39" s="230"/>
      <c r="BL39" s="183" t="str">
        <f t="shared" si="140"/>
        <v/>
      </c>
      <c r="BM39" s="203" t="str">
        <f t="shared" si="18"/>
        <v>OK</v>
      </c>
      <c r="BN39" s="226"/>
      <c r="BO39" s="230"/>
      <c r="BP39" s="183" t="str">
        <f t="shared" si="141"/>
        <v/>
      </c>
      <c r="BQ39" s="203" t="str">
        <f t="shared" si="20"/>
        <v>OK</v>
      </c>
      <c r="BR39" s="226"/>
      <c r="BS39" s="230"/>
      <c r="BT39" s="183" t="str">
        <f t="shared" si="142"/>
        <v/>
      </c>
      <c r="BU39" s="203" t="str">
        <f t="shared" si="22"/>
        <v>OK</v>
      </c>
      <c r="BV39" s="226"/>
      <c r="BW39" s="230"/>
      <c r="BX39" s="183" t="str">
        <f t="shared" si="143"/>
        <v/>
      </c>
      <c r="BY39" s="203" t="str">
        <f t="shared" si="24"/>
        <v>OK</v>
      </c>
      <c r="BZ39" s="226"/>
      <c r="CA39" s="230"/>
      <c r="CB39" s="183" t="str">
        <f t="shared" si="144"/>
        <v/>
      </c>
      <c r="CC39" s="203" t="str">
        <f t="shared" si="26"/>
        <v>OK</v>
      </c>
      <c r="CD39" s="226"/>
      <c r="CE39" s="230"/>
      <c r="CF39" s="183" t="str">
        <f t="shared" si="145"/>
        <v/>
      </c>
      <c r="CG39" s="203" t="str">
        <f t="shared" si="28"/>
        <v>OK</v>
      </c>
      <c r="CH39" s="226"/>
      <c r="CI39" s="230"/>
      <c r="CJ39" s="183" t="str">
        <f t="shared" si="146"/>
        <v/>
      </c>
      <c r="CK39" s="203" t="str">
        <f t="shared" si="30"/>
        <v>OK</v>
      </c>
      <c r="CL39" s="226"/>
      <c r="CM39" s="230"/>
      <c r="CN39" s="183" t="str">
        <f t="shared" si="147"/>
        <v/>
      </c>
      <c r="CO39" s="203" t="str">
        <f t="shared" si="32"/>
        <v>OK</v>
      </c>
      <c r="CP39" s="226"/>
      <c r="CQ39" s="230"/>
      <c r="CR39" s="183" t="str">
        <f t="shared" si="148"/>
        <v/>
      </c>
      <c r="CS39" s="203" t="str">
        <f t="shared" si="34"/>
        <v>OK</v>
      </c>
      <c r="CT39" s="226"/>
      <c r="CU39" s="230"/>
      <c r="CV39" s="183" t="str">
        <f t="shared" si="149"/>
        <v/>
      </c>
      <c r="CW39" s="203" t="str">
        <f t="shared" si="36"/>
        <v>OK</v>
      </c>
      <c r="CX39" s="226"/>
      <c r="CY39" s="230"/>
      <c r="CZ39" s="183" t="str">
        <f t="shared" si="150"/>
        <v/>
      </c>
      <c r="DA39" s="203" t="str">
        <f t="shared" si="38"/>
        <v>OK</v>
      </c>
      <c r="DB39" s="226"/>
      <c r="DC39" s="230"/>
      <c r="DD39" s="183" t="str">
        <f t="shared" si="151"/>
        <v/>
      </c>
      <c r="DE39" s="203" t="str">
        <f t="shared" si="40"/>
        <v>OK</v>
      </c>
      <c r="DF39" s="226"/>
      <c r="DG39" s="230"/>
      <c r="DH39" s="183" t="str">
        <f t="shared" si="152"/>
        <v/>
      </c>
      <c r="DI39" s="203" t="str">
        <f t="shared" si="42"/>
        <v>OK</v>
      </c>
      <c r="DJ39" s="226"/>
      <c r="DK39" s="230"/>
      <c r="DL39" s="183" t="str">
        <f t="shared" si="153"/>
        <v/>
      </c>
      <c r="DM39" s="203" t="str">
        <f t="shared" si="44"/>
        <v>OK</v>
      </c>
      <c r="DN39" s="226"/>
      <c r="DO39" s="230"/>
      <c r="DP39" s="183" t="str">
        <f t="shared" si="154"/>
        <v/>
      </c>
      <c r="DQ39" s="203" t="str">
        <f t="shared" si="46"/>
        <v>OK</v>
      </c>
      <c r="DR39" s="226"/>
      <c r="DS39" s="230"/>
      <c r="DT39" s="183" t="str">
        <f t="shared" si="155"/>
        <v/>
      </c>
      <c r="DU39" s="203" t="str">
        <f t="shared" si="48"/>
        <v>OK</v>
      </c>
      <c r="DV39" s="226"/>
      <c r="DW39" s="230"/>
      <c r="DX39" s="183" t="str">
        <f t="shared" si="156"/>
        <v/>
      </c>
      <c r="DY39" s="203" t="str">
        <f t="shared" si="50"/>
        <v>OK</v>
      </c>
      <c r="DZ39" s="226"/>
      <c r="EA39" s="230"/>
      <c r="EB39" s="183" t="str">
        <f t="shared" si="157"/>
        <v/>
      </c>
      <c r="EC39" s="203" t="str">
        <f t="shared" si="52"/>
        <v>OK</v>
      </c>
      <c r="ED39" s="226"/>
      <c r="EE39" s="230"/>
      <c r="EF39" s="183" t="str">
        <f t="shared" si="158"/>
        <v/>
      </c>
      <c r="EG39" s="203" t="str">
        <f t="shared" si="54"/>
        <v>OK</v>
      </c>
      <c r="EH39" s="226"/>
      <c r="EI39" s="230"/>
      <c r="EJ39" s="183" t="str">
        <f t="shared" si="159"/>
        <v/>
      </c>
      <c r="EK39" s="203" t="str">
        <f t="shared" si="56"/>
        <v>OK</v>
      </c>
      <c r="EL39" s="226"/>
      <c r="EM39" s="230"/>
      <c r="EN39" s="183" t="str">
        <f t="shared" si="160"/>
        <v/>
      </c>
      <c r="EO39" s="203" t="str">
        <f t="shared" si="58"/>
        <v>OK</v>
      </c>
      <c r="EP39" s="226"/>
      <c r="EQ39" s="230"/>
      <c r="ER39" s="183" t="str">
        <f t="shared" si="161"/>
        <v/>
      </c>
      <c r="ES39" s="203" t="str">
        <f t="shared" si="60"/>
        <v>OK</v>
      </c>
      <c r="ET39" s="226"/>
      <c r="EU39" s="230"/>
      <c r="EV39" s="183" t="str">
        <f t="shared" si="162"/>
        <v/>
      </c>
      <c r="EW39" s="203" t="str">
        <f t="shared" si="62"/>
        <v>OK</v>
      </c>
      <c r="EX39" s="226"/>
      <c r="EY39" s="230"/>
      <c r="EZ39" s="183" t="str">
        <f t="shared" si="163"/>
        <v/>
      </c>
      <c r="FA39" s="203" t="str">
        <f t="shared" si="64"/>
        <v>OK</v>
      </c>
      <c r="FB39" s="226"/>
      <c r="FC39" s="230"/>
      <c r="FD39" s="183" t="str">
        <f t="shared" si="164"/>
        <v/>
      </c>
      <c r="FE39" s="203" t="str">
        <f t="shared" si="66"/>
        <v>OK</v>
      </c>
      <c r="FF39" s="226"/>
      <c r="FG39" s="230"/>
      <c r="FH39" s="183" t="str">
        <f t="shared" si="165"/>
        <v/>
      </c>
      <c r="FI39" s="203" t="str">
        <f t="shared" si="68"/>
        <v>OK</v>
      </c>
      <c r="FJ39" s="226"/>
      <c r="FK39" s="230"/>
      <c r="FL39" s="183" t="str">
        <f t="shared" si="166"/>
        <v/>
      </c>
      <c r="FM39" s="203" t="str">
        <f t="shared" si="70"/>
        <v>OK</v>
      </c>
      <c r="FN39" s="226"/>
      <c r="FO39" s="230"/>
      <c r="FP39" s="183" t="str">
        <f t="shared" si="167"/>
        <v/>
      </c>
      <c r="FQ39" s="203" t="str">
        <f t="shared" si="72"/>
        <v>OK</v>
      </c>
      <c r="FR39" s="226"/>
      <c r="FS39" s="230"/>
      <c r="FT39" s="183" t="str">
        <f t="shared" si="168"/>
        <v/>
      </c>
      <c r="FU39" s="203" t="str">
        <f t="shared" si="74"/>
        <v>OK</v>
      </c>
      <c r="FV39" s="226"/>
      <c r="FW39" s="230"/>
      <c r="FX39" s="183" t="str">
        <f t="shared" si="169"/>
        <v/>
      </c>
      <c r="FY39" s="203" t="str">
        <f t="shared" si="76"/>
        <v>OK</v>
      </c>
      <c r="FZ39" s="226"/>
      <c r="GA39" s="230"/>
      <c r="GB39" s="183" t="str">
        <f t="shared" si="170"/>
        <v/>
      </c>
      <c r="GC39" s="203" t="str">
        <f t="shared" si="78"/>
        <v>OK</v>
      </c>
      <c r="GD39" s="226"/>
      <c r="GE39" s="230"/>
      <c r="GF39" s="183" t="str">
        <f t="shared" si="171"/>
        <v/>
      </c>
      <c r="GG39" s="203" t="str">
        <f t="shared" si="80"/>
        <v>OK</v>
      </c>
      <c r="GH39" s="226"/>
      <c r="GI39" s="230"/>
      <c r="GJ39" s="183" t="str">
        <f t="shared" si="172"/>
        <v/>
      </c>
      <c r="GK39" s="203" t="str">
        <f t="shared" si="82"/>
        <v>OK</v>
      </c>
      <c r="GL39" s="226"/>
      <c r="GM39" s="230"/>
      <c r="GN39" s="183" t="str">
        <f t="shared" si="173"/>
        <v/>
      </c>
      <c r="GO39" s="203" t="str">
        <f t="shared" si="84"/>
        <v>OK</v>
      </c>
      <c r="GP39" s="226"/>
      <c r="GQ39" s="230"/>
      <c r="GR39" s="183" t="str">
        <f t="shared" si="174"/>
        <v/>
      </c>
      <c r="GS39" s="203" t="str">
        <f t="shared" si="86"/>
        <v>OK</v>
      </c>
      <c r="GT39" s="202"/>
      <c r="GU39" s="202"/>
      <c r="GV39" s="201"/>
      <c r="GW39" s="201"/>
      <c r="GX39" s="201"/>
    </row>
    <row r="40" spans="1:206">
      <c r="A40" s="200" t="s">
        <v>336</v>
      </c>
      <c r="B40" s="225">
        <f t="shared" si="130"/>
        <v>33</v>
      </c>
      <c r="C40" s="229"/>
      <c r="D40" s="229"/>
      <c r="E40" s="228"/>
      <c r="F40" s="228"/>
      <c r="G40" s="222" t="s">
        <v>399</v>
      </c>
      <c r="H40" s="220"/>
      <c r="I40" s="209"/>
      <c r="J40" s="217" t="s">
        <v>326</v>
      </c>
      <c r="K40" s="219"/>
      <c r="L40" s="219"/>
      <c r="M40" s="218"/>
      <c r="N40" s="217"/>
      <c r="O40" s="216"/>
      <c r="P40" s="212"/>
      <c r="Q40" s="212"/>
      <c r="R40" s="215"/>
      <c r="S40" s="214"/>
      <c r="T40" s="212"/>
      <c r="U40" s="213"/>
      <c r="V40" s="212"/>
      <c r="W40" s="211" t="str">
        <f t="shared" si="131"/>
        <v>4</v>
      </c>
      <c r="X40" s="210" t="s">
        <v>398</v>
      </c>
      <c r="Y40" s="210">
        <v>9</v>
      </c>
      <c r="Z40" s="210">
        <v>11</v>
      </c>
      <c r="AA40" s="209">
        <v>9</v>
      </c>
      <c r="AB40" s="209" t="s">
        <v>306</v>
      </c>
      <c r="AC40" s="207"/>
      <c r="AD40" s="231" t="s">
        <v>397</v>
      </c>
      <c r="AE40" s="230"/>
      <c r="AF40" s="183" t="str">
        <f t="shared" si="132"/>
        <v/>
      </c>
      <c r="AG40" s="203" t="str">
        <f t="shared" ref="AG40:AG71" si="175">IF(OR(AE$8="判定対象外",AF40="-"),"-",IF(AE40=AF40,"OK","NG"))</f>
        <v>OK</v>
      </c>
      <c r="AH40" s="231" t="s">
        <v>397</v>
      </c>
      <c r="AI40" s="230"/>
      <c r="AJ40" s="183" t="str">
        <f t="shared" si="133"/>
        <v/>
      </c>
      <c r="AK40" s="203" t="str">
        <f t="shared" ref="AK40:AK71" si="176">IF(OR(AI$8="判定対象外",AJ40="-"),"-",IF(AI40=AJ40,"OK","NG"))</f>
        <v>OK</v>
      </c>
      <c r="AL40" s="231" t="s">
        <v>397</v>
      </c>
      <c r="AM40" s="230"/>
      <c r="AN40" s="183" t="str">
        <f t="shared" si="134"/>
        <v/>
      </c>
      <c r="AO40" s="203" t="str">
        <f t="shared" ref="AO40:AO71" si="177">IF(OR(AM$8="判定対象外",AN40="-"),"-",IF(AM40=AN40,"OK","NG"))</f>
        <v>OK</v>
      </c>
      <c r="AP40" s="231" t="s">
        <v>397</v>
      </c>
      <c r="AQ40" s="230"/>
      <c r="AR40" s="183" t="str">
        <f t="shared" si="135"/>
        <v/>
      </c>
      <c r="AS40" s="203" t="str">
        <f t="shared" si="8"/>
        <v>OK</v>
      </c>
      <c r="AT40" s="231" t="s">
        <v>397</v>
      </c>
      <c r="AU40" s="230"/>
      <c r="AV40" s="183" t="str">
        <f t="shared" si="136"/>
        <v/>
      </c>
      <c r="AW40" s="203" t="str">
        <f t="shared" si="10"/>
        <v>OK</v>
      </c>
      <c r="AX40" s="231" t="s">
        <v>397</v>
      </c>
      <c r="AY40" s="230"/>
      <c r="AZ40" s="183" t="str">
        <f t="shared" si="137"/>
        <v/>
      </c>
      <c r="BA40" s="203" t="str">
        <f t="shared" si="12"/>
        <v>OK</v>
      </c>
      <c r="BB40" s="231" t="s">
        <v>397</v>
      </c>
      <c r="BC40" s="230"/>
      <c r="BD40" s="183" t="str">
        <f t="shared" si="138"/>
        <v/>
      </c>
      <c r="BE40" s="203" t="str">
        <f t="shared" si="14"/>
        <v>OK</v>
      </c>
      <c r="BF40" s="231" t="s">
        <v>397</v>
      </c>
      <c r="BG40" s="230"/>
      <c r="BH40" s="183" t="str">
        <f t="shared" si="139"/>
        <v/>
      </c>
      <c r="BI40" s="203" t="str">
        <f t="shared" si="16"/>
        <v>OK</v>
      </c>
      <c r="BJ40" s="231" t="s">
        <v>397</v>
      </c>
      <c r="BK40" s="230"/>
      <c r="BL40" s="183" t="str">
        <f t="shared" si="140"/>
        <v/>
      </c>
      <c r="BM40" s="203" t="str">
        <f t="shared" si="18"/>
        <v>OK</v>
      </c>
      <c r="BN40" s="231" t="s">
        <v>397</v>
      </c>
      <c r="BO40" s="230"/>
      <c r="BP40" s="183" t="str">
        <f t="shared" si="141"/>
        <v/>
      </c>
      <c r="BQ40" s="203" t="str">
        <f t="shared" si="20"/>
        <v>OK</v>
      </c>
      <c r="BR40" s="231" t="s">
        <v>397</v>
      </c>
      <c r="BS40" s="230"/>
      <c r="BT40" s="183" t="str">
        <f t="shared" si="142"/>
        <v/>
      </c>
      <c r="BU40" s="203" t="str">
        <f t="shared" si="22"/>
        <v>OK</v>
      </c>
      <c r="BV40" s="231" t="s">
        <v>397</v>
      </c>
      <c r="BW40" s="230"/>
      <c r="BX40" s="183" t="str">
        <f t="shared" si="143"/>
        <v/>
      </c>
      <c r="BY40" s="203" t="str">
        <f t="shared" si="24"/>
        <v>OK</v>
      </c>
      <c r="BZ40" s="231" t="s">
        <v>397</v>
      </c>
      <c r="CA40" s="230"/>
      <c r="CB40" s="183" t="str">
        <f t="shared" si="144"/>
        <v/>
      </c>
      <c r="CC40" s="203" t="str">
        <f t="shared" si="26"/>
        <v>OK</v>
      </c>
      <c r="CD40" s="231" t="s">
        <v>397</v>
      </c>
      <c r="CE40" s="230"/>
      <c r="CF40" s="183" t="str">
        <f t="shared" si="145"/>
        <v/>
      </c>
      <c r="CG40" s="203" t="str">
        <f t="shared" si="28"/>
        <v>OK</v>
      </c>
      <c r="CH40" s="231" t="s">
        <v>397</v>
      </c>
      <c r="CI40" s="230"/>
      <c r="CJ40" s="183" t="str">
        <f t="shared" si="146"/>
        <v/>
      </c>
      <c r="CK40" s="203" t="str">
        <f t="shared" si="30"/>
        <v>OK</v>
      </c>
      <c r="CL40" s="231" t="s">
        <v>397</v>
      </c>
      <c r="CM40" s="230"/>
      <c r="CN40" s="183" t="str">
        <f t="shared" si="147"/>
        <v/>
      </c>
      <c r="CO40" s="203" t="str">
        <f t="shared" si="32"/>
        <v>OK</v>
      </c>
      <c r="CP40" s="231" t="s">
        <v>397</v>
      </c>
      <c r="CQ40" s="230"/>
      <c r="CR40" s="183" t="str">
        <f t="shared" si="148"/>
        <v/>
      </c>
      <c r="CS40" s="203" t="str">
        <f t="shared" si="34"/>
        <v>OK</v>
      </c>
      <c r="CT40" s="231" t="s">
        <v>397</v>
      </c>
      <c r="CU40" s="230"/>
      <c r="CV40" s="183" t="str">
        <f t="shared" si="149"/>
        <v/>
      </c>
      <c r="CW40" s="203" t="str">
        <f t="shared" si="36"/>
        <v>OK</v>
      </c>
      <c r="CX40" s="231" t="s">
        <v>397</v>
      </c>
      <c r="CY40" s="230"/>
      <c r="CZ40" s="183" t="str">
        <f t="shared" si="150"/>
        <v/>
      </c>
      <c r="DA40" s="203" t="str">
        <f t="shared" si="38"/>
        <v>OK</v>
      </c>
      <c r="DB40" s="231" t="s">
        <v>397</v>
      </c>
      <c r="DC40" s="230"/>
      <c r="DD40" s="183" t="str">
        <f t="shared" si="151"/>
        <v/>
      </c>
      <c r="DE40" s="203" t="str">
        <f t="shared" si="40"/>
        <v>OK</v>
      </c>
      <c r="DF40" s="231" t="s">
        <v>397</v>
      </c>
      <c r="DG40" s="230"/>
      <c r="DH40" s="183" t="str">
        <f t="shared" si="152"/>
        <v/>
      </c>
      <c r="DI40" s="203" t="str">
        <f t="shared" si="42"/>
        <v>OK</v>
      </c>
      <c r="DJ40" s="231" t="s">
        <v>397</v>
      </c>
      <c r="DK40" s="230"/>
      <c r="DL40" s="183" t="str">
        <f t="shared" si="153"/>
        <v/>
      </c>
      <c r="DM40" s="203" t="str">
        <f t="shared" si="44"/>
        <v>OK</v>
      </c>
      <c r="DN40" s="231" t="s">
        <v>397</v>
      </c>
      <c r="DO40" s="230"/>
      <c r="DP40" s="183" t="str">
        <f t="shared" si="154"/>
        <v/>
      </c>
      <c r="DQ40" s="203" t="str">
        <f t="shared" si="46"/>
        <v>OK</v>
      </c>
      <c r="DR40" s="231" t="s">
        <v>397</v>
      </c>
      <c r="DS40" s="230"/>
      <c r="DT40" s="183" t="str">
        <f t="shared" si="155"/>
        <v/>
      </c>
      <c r="DU40" s="203" t="str">
        <f t="shared" si="48"/>
        <v>OK</v>
      </c>
      <c r="DV40" s="231" t="s">
        <v>397</v>
      </c>
      <c r="DW40" s="230"/>
      <c r="DX40" s="183" t="str">
        <f t="shared" si="156"/>
        <v/>
      </c>
      <c r="DY40" s="203" t="str">
        <f t="shared" si="50"/>
        <v>OK</v>
      </c>
      <c r="DZ40" s="231" t="s">
        <v>397</v>
      </c>
      <c r="EA40" s="230"/>
      <c r="EB40" s="183" t="str">
        <f t="shared" si="157"/>
        <v/>
      </c>
      <c r="EC40" s="203" t="str">
        <f t="shared" si="52"/>
        <v>OK</v>
      </c>
      <c r="ED40" s="231" t="s">
        <v>397</v>
      </c>
      <c r="EE40" s="230"/>
      <c r="EF40" s="183" t="str">
        <f t="shared" si="158"/>
        <v/>
      </c>
      <c r="EG40" s="203" t="str">
        <f t="shared" si="54"/>
        <v>OK</v>
      </c>
      <c r="EH40" s="231" t="s">
        <v>397</v>
      </c>
      <c r="EI40" s="230"/>
      <c r="EJ40" s="183" t="str">
        <f t="shared" si="159"/>
        <v/>
      </c>
      <c r="EK40" s="203" t="str">
        <f t="shared" si="56"/>
        <v>OK</v>
      </c>
      <c r="EL40" s="231" t="s">
        <v>397</v>
      </c>
      <c r="EM40" s="230"/>
      <c r="EN40" s="183" t="str">
        <f t="shared" si="160"/>
        <v/>
      </c>
      <c r="EO40" s="203" t="str">
        <f t="shared" si="58"/>
        <v>OK</v>
      </c>
      <c r="EP40" s="231" t="s">
        <v>397</v>
      </c>
      <c r="EQ40" s="230"/>
      <c r="ER40" s="183" t="str">
        <f t="shared" si="161"/>
        <v/>
      </c>
      <c r="ES40" s="203" t="str">
        <f t="shared" si="60"/>
        <v>OK</v>
      </c>
      <c r="ET40" s="231" t="s">
        <v>397</v>
      </c>
      <c r="EU40" s="230"/>
      <c r="EV40" s="183" t="str">
        <f t="shared" si="162"/>
        <v/>
      </c>
      <c r="EW40" s="203" t="str">
        <f t="shared" si="62"/>
        <v>OK</v>
      </c>
      <c r="EX40" s="231" t="s">
        <v>397</v>
      </c>
      <c r="EY40" s="230"/>
      <c r="EZ40" s="183" t="str">
        <f t="shared" si="163"/>
        <v/>
      </c>
      <c r="FA40" s="203" t="str">
        <f t="shared" si="64"/>
        <v>OK</v>
      </c>
      <c r="FB40" s="231" t="s">
        <v>397</v>
      </c>
      <c r="FC40" s="230"/>
      <c r="FD40" s="183" t="str">
        <f t="shared" si="164"/>
        <v/>
      </c>
      <c r="FE40" s="203" t="str">
        <f t="shared" si="66"/>
        <v>OK</v>
      </c>
      <c r="FF40" s="231" t="s">
        <v>397</v>
      </c>
      <c r="FG40" s="230"/>
      <c r="FH40" s="183" t="str">
        <f t="shared" si="165"/>
        <v/>
      </c>
      <c r="FI40" s="203" t="str">
        <f t="shared" si="68"/>
        <v>OK</v>
      </c>
      <c r="FJ40" s="231" t="s">
        <v>397</v>
      </c>
      <c r="FK40" s="230"/>
      <c r="FL40" s="183" t="str">
        <f t="shared" si="166"/>
        <v/>
      </c>
      <c r="FM40" s="203" t="str">
        <f t="shared" si="70"/>
        <v>OK</v>
      </c>
      <c r="FN40" s="231" t="s">
        <v>397</v>
      </c>
      <c r="FO40" s="230"/>
      <c r="FP40" s="183" t="str">
        <f t="shared" si="167"/>
        <v/>
      </c>
      <c r="FQ40" s="203" t="str">
        <f t="shared" si="72"/>
        <v>OK</v>
      </c>
      <c r="FR40" s="231" t="s">
        <v>397</v>
      </c>
      <c r="FS40" s="230"/>
      <c r="FT40" s="183" t="str">
        <f t="shared" si="168"/>
        <v/>
      </c>
      <c r="FU40" s="203" t="str">
        <f t="shared" si="74"/>
        <v>OK</v>
      </c>
      <c r="FV40" s="231" t="s">
        <v>397</v>
      </c>
      <c r="FW40" s="230"/>
      <c r="FX40" s="183" t="str">
        <f t="shared" si="169"/>
        <v/>
      </c>
      <c r="FY40" s="203" t="str">
        <f t="shared" si="76"/>
        <v>OK</v>
      </c>
      <c r="FZ40" s="231" t="s">
        <v>397</v>
      </c>
      <c r="GA40" s="230"/>
      <c r="GB40" s="183" t="str">
        <f t="shared" si="170"/>
        <v/>
      </c>
      <c r="GC40" s="203" t="str">
        <f t="shared" si="78"/>
        <v>OK</v>
      </c>
      <c r="GD40" s="231" t="s">
        <v>397</v>
      </c>
      <c r="GE40" s="230"/>
      <c r="GF40" s="183" t="str">
        <f t="shared" si="171"/>
        <v/>
      </c>
      <c r="GG40" s="203" t="str">
        <f t="shared" si="80"/>
        <v>OK</v>
      </c>
      <c r="GH40" s="231" t="s">
        <v>397</v>
      </c>
      <c r="GI40" s="230"/>
      <c r="GJ40" s="183" t="str">
        <f t="shared" si="172"/>
        <v/>
      </c>
      <c r="GK40" s="203" t="str">
        <f t="shared" si="82"/>
        <v>OK</v>
      </c>
      <c r="GL40" s="231" t="s">
        <v>397</v>
      </c>
      <c r="GM40" s="230"/>
      <c r="GN40" s="183" t="str">
        <f t="shared" si="173"/>
        <v/>
      </c>
      <c r="GO40" s="203" t="str">
        <f t="shared" si="84"/>
        <v>OK</v>
      </c>
      <c r="GP40" s="231" t="s">
        <v>397</v>
      </c>
      <c r="GQ40" s="230"/>
      <c r="GR40" s="183" t="str">
        <f t="shared" si="174"/>
        <v/>
      </c>
      <c r="GS40" s="203" t="str">
        <f t="shared" si="86"/>
        <v>OK</v>
      </c>
      <c r="GT40" s="202"/>
      <c r="GU40" s="202"/>
      <c r="GV40" s="201"/>
      <c r="GW40" s="201"/>
      <c r="GX40" s="201"/>
    </row>
    <row r="41" spans="1:206">
      <c r="A41" s="200"/>
      <c r="B41" s="225">
        <f t="shared" si="130"/>
        <v>34</v>
      </c>
      <c r="C41" s="229"/>
      <c r="D41" s="229"/>
      <c r="E41" s="228"/>
      <c r="F41" s="223"/>
      <c r="G41" s="222" t="s">
        <v>186</v>
      </c>
      <c r="H41" s="220"/>
      <c r="I41" s="209"/>
      <c r="J41" s="217" t="s">
        <v>326</v>
      </c>
      <c r="K41" s="219"/>
      <c r="L41" s="219"/>
      <c r="M41" s="218"/>
      <c r="N41" s="217"/>
      <c r="O41" s="216"/>
      <c r="P41" s="212"/>
      <c r="Q41" s="212"/>
      <c r="R41" s="215"/>
      <c r="S41" s="214"/>
      <c r="T41" s="212"/>
      <c r="U41" s="213"/>
      <c r="V41" s="212"/>
      <c r="W41" s="211" t="str">
        <f t="shared" si="131"/>
        <v>4</v>
      </c>
      <c r="X41" s="210" t="s">
        <v>396</v>
      </c>
      <c r="Y41" s="210">
        <v>9</v>
      </c>
      <c r="Z41" s="210">
        <v>11</v>
      </c>
      <c r="AA41" s="209">
        <v>9</v>
      </c>
      <c r="AB41" s="209" t="s">
        <v>306</v>
      </c>
      <c r="AC41" s="252"/>
      <c r="AD41" s="226"/>
      <c r="AE41" s="230"/>
      <c r="AF41" s="183"/>
      <c r="AG41" s="203" t="str">
        <f t="shared" si="175"/>
        <v>OK</v>
      </c>
      <c r="AH41" s="226"/>
      <c r="AI41" s="230"/>
      <c r="AJ41" s="183"/>
      <c r="AK41" s="203" t="str">
        <f t="shared" si="176"/>
        <v>OK</v>
      </c>
      <c r="AL41" s="226"/>
      <c r="AM41" s="230"/>
      <c r="AN41" s="183"/>
      <c r="AO41" s="203" t="str">
        <f t="shared" si="177"/>
        <v>OK</v>
      </c>
      <c r="AP41" s="226"/>
      <c r="AQ41" s="230"/>
      <c r="AR41" s="183"/>
      <c r="AS41" s="203" t="str">
        <f t="shared" si="8"/>
        <v>OK</v>
      </c>
      <c r="AT41" s="226"/>
      <c r="AU41" s="230"/>
      <c r="AV41" s="183"/>
      <c r="AW41" s="203" t="str">
        <f t="shared" si="10"/>
        <v>OK</v>
      </c>
      <c r="AX41" s="226"/>
      <c r="AY41" s="230"/>
      <c r="AZ41" s="183"/>
      <c r="BA41" s="203" t="str">
        <f t="shared" si="12"/>
        <v>OK</v>
      </c>
      <c r="BB41" s="226"/>
      <c r="BC41" s="230"/>
      <c r="BD41" s="183"/>
      <c r="BE41" s="203" t="str">
        <f t="shared" si="14"/>
        <v>OK</v>
      </c>
      <c r="BF41" s="226"/>
      <c r="BG41" s="230"/>
      <c r="BH41" s="183"/>
      <c r="BI41" s="203" t="str">
        <f t="shared" si="16"/>
        <v>OK</v>
      </c>
      <c r="BJ41" s="226"/>
      <c r="BK41" s="230"/>
      <c r="BL41" s="183"/>
      <c r="BM41" s="203" t="str">
        <f t="shared" si="18"/>
        <v>OK</v>
      </c>
      <c r="BN41" s="226"/>
      <c r="BO41" s="230"/>
      <c r="BP41" s="183"/>
      <c r="BQ41" s="203" t="str">
        <f t="shared" si="20"/>
        <v>OK</v>
      </c>
      <c r="BR41" s="226"/>
      <c r="BS41" s="230"/>
      <c r="BT41" s="183"/>
      <c r="BU41" s="203" t="str">
        <f t="shared" si="22"/>
        <v>OK</v>
      </c>
      <c r="BV41" s="226"/>
      <c r="BW41" s="230"/>
      <c r="BX41" s="183"/>
      <c r="BY41" s="203" t="str">
        <f t="shared" si="24"/>
        <v>OK</v>
      </c>
      <c r="BZ41" s="226"/>
      <c r="CA41" s="230"/>
      <c r="CB41" s="183"/>
      <c r="CC41" s="203" t="str">
        <f t="shared" si="26"/>
        <v>OK</v>
      </c>
      <c r="CD41" s="226"/>
      <c r="CE41" s="230"/>
      <c r="CF41" s="183"/>
      <c r="CG41" s="203" t="str">
        <f t="shared" si="28"/>
        <v>OK</v>
      </c>
      <c r="CH41" s="226"/>
      <c r="CI41" s="230"/>
      <c r="CJ41" s="183"/>
      <c r="CK41" s="203" t="str">
        <f t="shared" si="30"/>
        <v>OK</v>
      </c>
      <c r="CL41" s="226"/>
      <c r="CM41" s="230"/>
      <c r="CN41" s="183"/>
      <c r="CO41" s="203" t="str">
        <f t="shared" si="32"/>
        <v>OK</v>
      </c>
      <c r="CP41" s="226"/>
      <c r="CQ41" s="230"/>
      <c r="CR41" s="183"/>
      <c r="CS41" s="203" t="str">
        <f t="shared" si="34"/>
        <v>OK</v>
      </c>
      <c r="CT41" s="226"/>
      <c r="CU41" s="230"/>
      <c r="CV41" s="183"/>
      <c r="CW41" s="203" t="str">
        <f t="shared" si="36"/>
        <v>OK</v>
      </c>
      <c r="CX41" s="226"/>
      <c r="CY41" s="230"/>
      <c r="CZ41" s="183"/>
      <c r="DA41" s="203" t="str">
        <f t="shared" si="38"/>
        <v>OK</v>
      </c>
      <c r="DB41" s="226"/>
      <c r="DC41" s="230"/>
      <c r="DD41" s="183"/>
      <c r="DE41" s="203" t="str">
        <f t="shared" si="40"/>
        <v>OK</v>
      </c>
      <c r="DF41" s="226"/>
      <c r="DG41" s="230"/>
      <c r="DH41" s="183"/>
      <c r="DI41" s="203" t="str">
        <f t="shared" si="42"/>
        <v>OK</v>
      </c>
      <c r="DJ41" s="226"/>
      <c r="DK41" s="230"/>
      <c r="DL41" s="183"/>
      <c r="DM41" s="203" t="str">
        <f t="shared" si="44"/>
        <v>OK</v>
      </c>
      <c r="DN41" s="226"/>
      <c r="DO41" s="230"/>
      <c r="DP41" s="183"/>
      <c r="DQ41" s="203" t="str">
        <f t="shared" si="46"/>
        <v>OK</v>
      </c>
      <c r="DR41" s="226"/>
      <c r="DS41" s="230"/>
      <c r="DT41" s="183"/>
      <c r="DU41" s="203" t="str">
        <f t="shared" si="48"/>
        <v>OK</v>
      </c>
      <c r="DV41" s="226"/>
      <c r="DW41" s="230"/>
      <c r="DX41" s="183"/>
      <c r="DY41" s="203" t="str">
        <f t="shared" si="50"/>
        <v>OK</v>
      </c>
      <c r="DZ41" s="226"/>
      <c r="EA41" s="230"/>
      <c r="EB41" s="183"/>
      <c r="EC41" s="203" t="str">
        <f t="shared" si="52"/>
        <v>OK</v>
      </c>
      <c r="ED41" s="226"/>
      <c r="EE41" s="230"/>
      <c r="EF41" s="183"/>
      <c r="EG41" s="203" t="str">
        <f t="shared" si="54"/>
        <v>OK</v>
      </c>
      <c r="EH41" s="226"/>
      <c r="EI41" s="230"/>
      <c r="EJ41" s="183"/>
      <c r="EK41" s="203" t="str">
        <f t="shared" si="56"/>
        <v>OK</v>
      </c>
      <c r="EL41" s="226"/>
      <c r="EM41" s="230"/>
      <c r="EN41" s="183"/>
      <c r="EO41" s="203" t="str">
        <f t="shared" si="58"/>
        <v>OK</v>
      </c>
      <c r="EP41" s="226"/>
      <c r="EQ41" s="230"/>
      <c r="ER41" s="183"/>
      <c r="ES41" s="203" t="str">
        <f t="shared" si="60"/>
        <v>OK</v>
      </c>
      <c r="ET41" s="226"/>
      <c r="EU41" s="230"/>
      <c r="EV41" s="183"/>
      <c r="EW41" s="203" t="str">
        <f t="shared" si="62"/>
        <v>OK</v>
      </c>
      <c r="EX41" s="226"/>
      <c r="EY41" s="230"/>
      <c r="EZ41" s="183"/>
      <c r="FA41" s="203" t="str">
        <f t="shared" si="64"/>
        <v>OK</v>
      </c>
      <c r="FB41" s="226"/>
      <c r="FC41" s="230"/>
      <c r="FD41" s="183"/>
      <c r="FE41" s="203" t="str">
        <f t="shared" si="66"/>
        <v>OK</v>
      </c>
      <c r="FF41" s="226"/>
      <c r="FG41" s="230"/>
      <c r="FH41" s="183"/>
      <c r="FI41" s="203" t="str">
        <f t="shared" si="68"/>
        <v>OK</v>
      </c>
      <c r="FJ41" s="226"/>
      <c r="FK41" s="230"/>
      <c r="FL41" s="183"/>
      <c r="FM41" s="203" t="str">
        <f t="shared" si="70"/>
        <v>OK</v>
      </c>
      <c r="FN41" s="226"/>
      <c r="FO41" s="230"/>
      <c r="FP41" s="183"/>
      <c r="FQ41" s="203" t="str">
        <f t="shared" si="72"/>
        <v>OK</v>
      </c>
      <c r="FR41" s="226"/>
      <c r="FS41" s="230"/>
      <c r="FT41" s="183"/>
      <c r="FU41" s="203" t="str">
        <f t="shared" si="74"/>
        <v>OK</v>
      </c>
      <c r="FV41" s="226"/>
      <c r="FW41" s="230"/>
      <c r="FX41" s="183"/>
      <c r="FY41" s="203" t="str">
        <f t="shared" si="76"/>
        <v>OK</v>
      </c>
      <c r="FZ41" s="226"/>
      <c r="GA41" s="230"/>
      <c r="GB41" s="183"/>
      <c r="GC41" s="203" t="str">
        <f t="shared" si="78"/>
        <v>OK</v>
      </c>
      <c r="GD41" s="226"/>
      <c r="GE41" s="230"/>
      <c r="GF41" s="183"/>
      <c r="GG41" s="203" t="str">
        <f t="shared" si="80"/>
        <v>OK</v>
      </c>
      <c r="GH41" s="226"/>
      <c r="GI41" s="230"/>
      <c r="GJ41" s="183"/>
      <c r="GK41" s="203" t="str">
        <f t="shared" si="82"/>
        <v>OK</v>
      </c>
      <c r="GL41" s="226"/>
      <c r="GM41" s="230"/>
      <c r="GN41" s="183"/>
      <c r="GO41" s="203" t="str">
        <f t="shared" si="84"/>
        <v>OK</v>
      </c>
      <c r="GP41" s="226"/>
      <c r="GQ41" s="230"/>
      <c r="GR41" s="183"/>
      <c r="GS41" s="203" t="str">
        <f t="shared" si="86"/>
        <v>OK</v>
      </c>
      <c r="GT41" s="202"/>
      <c r="GU41" s="202"/>
      <c r="GV41" s="201"/>
      <c r="GW41" s="201"/>
      <c r="GX41" s="201"/>
    </row>
    <row r="42" spans="1:206">
      <c r="A42" s="200" t="s">
        <v>336</v>
      </c>
      <c r="B42" s="225">
        <f t="shared" si="130"/>
        <v>35</v>
      </c>
      <c r="C42" s="229"/>
      <c r="D42" s="229"/>
      <c r="E42" s="228"/>
      <c r="F42" s="234" t="s">
        <v>395</v>
      </c>
      <c r="G42" s="233"/>
      <c r="H42" s="232"/>
      <c r="I42" s="251"/>
      <c r="J42" s="217" t="s">
        <v>23</v>
      </c>
      <c r="K42" s="219"/>
      <c r="L42" s="219"/>
      <c r="M42" s="218"/>
      <c r="N42" s="217"/>
      <c r="O42" s="216"/>
      <c r="P42" s="212"/>
      <c r="Q42" s="212"/>
      <c r="R42" s="215"/>
      <c r="S42" s="214"/>
      <c r="T42" s="212"/>
      <c r="U42" s="213"/>
      <c r="V42" s="212"/>
      <c r="W42" s="211" t="str">
        <f t="shared" si="131"/>
        <v>3</v>
      </c>
      <c r="X42" s="210" t="s">
        <v>394</v>
      </c>
      <c r="Y42" s="210"/>
      <c r="Z42" s="210"/>
      <c r="AA42" s="209"/>
      <c r="AB42" s="209" t="s">
        <v>306</v>
      </c>
      <c r="AC42" s="207"/>
      <c r="AD42" s="226"/>
      <c r="AE42" s="230"/>
      <c r="AF42" s="183" t="str">
        <f>IF($AB42="I","",IF($AA42="","",IF(AD42="","",AD42)))</f>
        <v/>
      </c>
      <c r="AG42" s="203" t="str">
        <f t="shared" si="175"/>
        <v>OK</v>
      </c>
      <c r="AH42" s="226"/>
      <c r="AI42" s="230"/>
      <c r="AJ42" s="183" t="str">
        <f>IF($AB42="I","",IF($AA42="","",IF(AH42="","",AH42)))</f>
        <v/>
      </c>
      <c r="AK42" s="203" t="str">
        <f t="shared" si="176"/>
        <v>OK</v>
      </c>
      <c r="AL42" s="226"/>
      <c r="AM42" s="230"/>
      <c r="AN42" s="183" t="str">
        <f>IF($AB42="I","",IF($AA42="","",IF(AL42="","",AL42)))</f>
        <v/>
      </c>
      <c r="AO42" s="203" t="str">
        <f t="shared" si="177"/>
        <v>OK</v>
      </c>
      <c r="AP42" s="226"/>
      <c r="AQ42" s="230"/>
      <c r="AR42" s="183" t="str">
        <f>IF($AB42="I","",IF($AA42="","",IF(AP42="","",AP42)))</f>
        <v/>
      </c>
      <c r="AS42" s="203" t="str">
        <f t="shared" si="8"/>
        <v>OK</v>
      </c>
      <c r="AT42" s="226"/>
      <c r="AU42" s="230"/>
      <c r="AV42" s="183" t="str">
        <f>IF($AB42="I","",IF($AA42="","",IF(AT42="","",AT42)))</f>
        <v/>
      </c>
      <c r="AW42" s="203" t="str">
        <f t="shared" si="10"/>
        <v>OK</v>
      </c>
      <c r="AX42" s="226"/>
      <c r="AY42" s="230"/>
      <c r="AZ42" s="183" t="str">
        <f>IF($AB42="I","",IF($AA42="","",IF(AX42="","",AX42)))</f>
        <v/>
      </c>
      <c r="BA42" s="203" t="str">
        <f t="shared" si="12"/>
        <v>OK</v>
      </c>
      <c r="BB42" s="226"/>
      <c r="BC42" s="230"/>
      <c r="BD42" s="183" t="str">
        <f>IF($AB42="I","",IF($AA42="","",IF(BB42="","",BB42)))</f>
        <v/>
      </c>
      <c r="BE42" s="203" t="str">
        <f t="shared" si="14"/>
        <v>OK</v>
      </c>
      <c r="BF42" s="226"/>
      <c r="BG42" s="230"/>
      <c r="BH42" s="183" t="str">
        <f>IF($AB42="I","",IF($AA42="","",IF(BF42="","",BF42)))</f>
        <v/>
      </c>
      <c r="BI42" s="203" t="str">
        <f t="shared" si="16"/>
        <v>OK</v>
      </c>
      <c r="BJ42" s="226"/>
      <c r="BK42" s="230"/>
      <c r="BL42" s="183" t="str">
        <f>IF($AB42="I","",IF($AA42="","",IF(BJ42="","",BJ42)))</f>
        <v/>
      </c>
      <c r="BM42" s="203" t="str">
        <f t="shared" si="18"/>
        <v>OK</v>
      </c>
      <c r="BN42" s="226"/>
      <c r="BO42" s="230"/>
      <c r="BP42" s="183" t="str">
        <f>IF($AB42="I","",IF($AA42="","",IF(BN42="","",BN42)))</f>
        <v/>
      </c>
      <c r="BQ42" s="203" t="str">
        <f t="shared" si="20"/>
        <v>OK</v>
      </c>
      <c r="BR42" s="226"/>
      <c r="BS42" s="230"/>
      <c r="BT42" s="183" t="str">
        <f>IF($AB42="I","",IF($AA42="","",IF(BR42="","",BR42)))</f>
        <v/>
      </c>
      <c r="BU42" s="203" t="str">
        <f t="shared" si="22"/>
        <v>OK</v>
      </c>
      <c r="BV42" s="226"/>
      <c r="BW42" s="230"/>
      <c r="BX42" s="183" t="str">
        <f>IF($AB42="I","",IF($AA42="","",IF(BV42="","",BV42)))</f>
        <v/>
      </c>
      <c r="BY42" s="203" t="str">
        <f t="shared" si="24"/>
        <v>OK</v>
      </c>
      <c r="BZ42" s="226"/>
      <c r="CA42" s="230"/>
      <c r="CB42" s="183" t="str">
        <f>IF($AB42="I","",IF($AA42="","",IF(BZ42="","",BZ42)))</f>
        <v/>
      </c>
      <c r="CC42" s="203" t="str">
        <f t="shared" si="26"/>
        <v>OK</v>
      </c>
      <c r="CD42" s="226"/>
      <c r="CE42" s="230"/>
      <c r="CF42" s="183" t="str">
        <f>IF($AB42="I","",IF($AA42="","",IF(CD42="","",CD42)))</f>
        <v/>
      </c>
      <c r="CG42" s="203" t="str">
        <f t="shared" si="28"/>
        <v>OK</v>
      </c>
      <c r="CH42" s="226"/>
      <c r="CI42" s="230"/>
      <c r="CJ42" s="183" t="str">
        <f>IF($AB42="I","",IF($AA42="","",IF(CH42="","",CH42)))</f>
        <v/>
      </c>
      <c r="CK42" s="203" t="str">
        <f t="shared" si="30"/>
        <v>OK</v>
      </c>
      <c r="CL42" s="226"/>
      <c r="CM42" s="230"/>
      <c r="CN42" s="183" t="str">
        <f>IF($AB42="I","",IF($AA42="","",IF(CL42="","",CL42)))</f>
        <v/>
      </c>
      <c r="CO42" s="203" t="str">
        <f t="shared" si="32"/>
        <v>OK</v>
      </c>
      <c r="CP42" s="226"/>
      <c r="CQ42" s="230"/>
      <c r="CR42" s="183" t="str">
        <f>IF($AB42="I","",IF($AA42="","",IF(CP42="","",CP42)))</f>
        <v/>
      </c>
      <c r="CS42" s="203" t="str">
        <f t="shared" si="34"/>
        <v>OK</v>
      </c>
      <c r="CT42" s="226"/>
      <c r="CU42" s="230"/>
      <c r="CV42" s="183" t="str">
        <f>IF($AB42="I","",IF($AA42="","",IF(CT42="","",CT42)))</f>
        <v/>
      </c>
      <c r="CW42" s="203" t="str">
        <f t="shared" si="36"/>
        <v>OK</v>
      </c>
      <c r="CX42" s="226"/>
      <c r="CY42" s="230"/>
      <c r="CZ42" s="183" t="str">
        <f>IF($AB42="I","",IF($AA42="","",IF(CX42="","",CX42)))</f>
        <v/>
      </c>
      <c r="DA42" s="203" t="str">
        <f t="shared" si="38"/>
        <v>OK</v>
      </c>
      <c r="DB42" s="226"/>
      <c r="DC42" s="230"/>
      <c r="DD42" s="183" t="str">
        <f>IF($AB42="I","",IF($AA42="","",IF(DB42="","",DB42)))</f>
        <v/>
      </c>
      <c r="DE42" s="203" t="str">
        <f t="shared" si="40"/>
        <v>OK</v>
      </c>
      <c r="DF42" s="226"/>
      <c r="DG42" s="230"/>
      <c r="DH42" s="183" t="str">
        <f>IF($AB42="I","",IF($AA42="","",IF(DF42="","",DF42)))</f>
        <v/>
      </c>
      <c r="DI42" s="203" t="str">
        <f t="shared" si="42"/>
        <v>OK</v>
      </c>
      <c r="DJ42" s="226"/>
      <c r="DK42" s="230"/>
      <c r="DL42" s="183" t="str">
        <f>IF($AB42="I","",IF($AA42="","",IF(DJ42="","",DJ42)))</f>
        <v/>
      </c>
      <c r="DM42" s="203" t="str">
        <f t="shared" si="44"/>
        <v>OK</v>
      </c>
      <c r="DN42" s="226"/>
      <c r="DO42" s="230"/>
      <c r="DP42" s="183" t="str">
        <f>IF($AB42="I","",IF($AA42="","",IF(DN42="","",DN42)))</f>
        <v/>
      </c>
      <c r="DQ42" s="203" t="str">
        <f t="shared" si="46"/>
        <v>OK</v>
      </c>
      <c r="DR42" s="226"/>
      <c r="DS42" s="230"/>
      <c r="DT42" s="183" t="str">
        <f>IF($AB42="I","",IF($AA42="","",IF(DR42="","",DR42)))</f>
        <v/>
      </c>
      <c r="DU42" s="203" t="str">
        <f t="shared" si="48"/>
        <v>OK</v>
      </c>
      <c r="DV42" s="226"/>
      <c r="DW42" s="230"/>
      <c r="DX42" s="183" t="str">
        <f>IF($AB42="I","",IF($AA42="","",IF(DV42="","",DV42)))</f>
        <v/>
      </c>
      <c r="DY42" s="203" t="str">
        <f t="shared" si="50"/>
        <v>OK</v>
      </c>
      <c r="DZ42" s="226"/>
      <c r="EA42" s="230"/>
      <c r="EB42" s="183" t="str">
        <f>IF($AB42="I","",IF($AA42="","",IF(DZ42="","",DZ42)))</f>
        <v/>
      </c>
      <c r="EC42" s="203" t="str">
        <f t="shared" si="52"/>
        <v>OK</v>
      </c>
      <c r="ED42" s="226"/>
      <c r="EE42" s="230"/>
      <c r="EF42" s="183" t="str">
        <f>IF($AB42="I","",IF($AA42="","",IF(ED42="","",ED42)))</f>
        <v/>
      </c>
      <c r="EG42" s="203" t="str">
        <f t="shared" si="54"/>
        <v>OK</v>
      </c>
      <c r="EH42" s="226"/>
      <c r="EI42" s="230"/>
      <c r="EJ42" s="183" t="str">
        <f>IF($AB42="I","",IF($AA42="","",IF(EH42="","",EH42)))</f>
        <v/>
      </c>
      <c r="EK42" s="203" t="str">
        <f t="shared" si="56"/>
        <v>OK</v>
      </c>
      <c r="EL42" s="226"/>
      <c r="EM42" s="230"/>
      <c r="EN42" s="183" t="str">
        <f>IF($AB42="I","",IF($AA42="","",IF(EL42="","",EL42)))</f>
        <v/>
      </c>
      <c r="EO42" s="203" t="str">
        <f t="shared" si="58"/>
        <v>OK</v>
      </c>
      <c r="EP42" s="226"/>
      <c r="EQ42" s="230"/>
      <c r="ER42" s="183" t="str">
        <f>IF($AB42="I","",IF($AA42="","",IF(EP42="","",EP42)))</f>
        <v/>
      </c>
      <c r="ES42" s="203" t="str">
        <f t="shared" si="60"/>
        <v>OK</v>
      </c>
      <c r="ET42" s="226"/>
      <c r="EU42" s="230"/>
      <c r="EV42" s="183" t="str">
        <f>IF($AB42="I","",IF($AA42="","",IF(ET42="","",ET42)))</f>
        <v/>
      </c>
      <c r="EW42" s="203" t="str">
        <f t="shared" si="62"/>
        <v>OK</v>
      </c>
      <c r="EX42" s="226"/>
      <c r="EY42" s="230"/>
      <c r="EZ42" s="183" t="str">
        <f>IF($AB42="I","",IF($AA42="","",IF(EX42="","",EX42)))</f>
        <v/>
      </c>
      <c r="FA42" s="203" t="str">
        <f t="shared" si="64"/>
        <v>OK</v>
      </c>
      <c r="FB42" s="226"/>
      <c r="FC42" s="230"/>
      <c r="FD42" s="183" t="str">
        <f>IF($AB42="I","",IF($AA42="","",IF(FB42="","",FB42)))</f>
        <v/>
      </c>
      <c r="FE42" s="203" t="str">
        <f t="shared" si="66"/>
        <v>OK</v>
      </c>
      <c r="FF42" s="226"/>
      <c r="FG42" s="230"/>
      <c r="FH42" s="183" t="str">
        <f>IF($AB42="I","",IF($AA42="","",IF(FF42="","",FF42)))</f>
        <v/>
      </c>
      <c r="FI42" s="203" t="str">
        <f t="shared" si="68"/>
        <v>OK</v>
      </c>
      <c r="FJ42" s="226"/>
      <c r="FK42" s="230"/>
      <c r="FL42" s="183" t="str">
        <f>IF($AB42="I","",IF($AA42="","",IF(FJ42="","",FJ42)))</f>
        <v/>
      </c>
      <c r="FM42" s="203" t="str">
        <f t="shared" si="70"/>
        <v>OK</v>
      </c>
      <c r="FN42" s="226"/>
      <c r="FO42" s="230"/>
      <c r="FP42" s="183" t="str">
        <f>IF($AB42="I","",IF($AA42="","",IF(FN42="","",FN42)))</f>
        <v/>
      </c>
      <c r="FQ42" s="203" t="str">
        <f t="shared" si="72"/>
        <v>OK</v>
      </c>
      <c r="FR42" s="226"/>
      <c r="FS42" s="230"/>
      <c r="FT42" s="183" t="str">
        <f>IF($AB42="I","",IF($AA42="","",IF(FR42="","",FR42)))</f>
        <v/>
      </c>
      <c r="FU42" s="203" t="str">
        <f t="shared" si="74"/>
        <v>OK</v>
      </c>
      <c r="FV42" s="226"/>
      <c r="FW42" s="230"/>
      <c r="FX42" s="183" t="str">
        <f>IF($AB42="I","",IF($AA42="","",IF(FV42="","",FV42)))</f>
        <v/>
      </c>
      <c r="FY42" s="203" t="str">
        <f t="shared" si="76"/>
        <v>OK</v>
      </c>
      <c r="FZ42" s="226"/>
      <c r="GA42" s="230"/>
      <c r="GB42" s="183" t="str">
        <f>IF($AB42="I","",IF($AA42="","",IF(FZ42="","",FZ42)))</f>
        <v/>
      </c>
      <c r="GC42" s="203" t="str">
        <f t="shared" si="78"/>
        <v>OK</v>
      </c>
      <c r="GD42" s="226"/>
      <c r="GE42" s="230"/>
      <c r="GF42" s="183" t="str">
        <f>IF($AB42="I","",IF($AA42="","",IF(GD42="","",GD42)))</f>
        <v/>
      </c>
      <c r="GG42" s="203" t="str">
        <f t="shared" si="80"/>
        <v>OK</v>
      </c>
      <c r="GH42" s="226"/>
      <c r="GI42" s="230"/>
      <c r="GJ42" s="183" t="str">
        <f>IF($AB42="I","",IF($AA42="","",IF(GH42="","",GH42)))</f>
        <v/>
      </c>
      <c r="GK42" s="203" t="str">
        <f t="shared" si="82"/>
        <v>OK</v>
      </c>
      <c r="GL42" s="226"/>
      <c r="GM42" s="230"/>
      <c r="GN42" s="183" t="str">
        <f>IF($AB42="I","",IF($AA42="","",IF(GL42="","",GL42)))</f>
        <v/>
      </c>
      <c r="GO42" s="203" t="str">
        <f t="shared" si="84"/>
        <v>OK</v>
      </c>
      <c r="GP42" s="226"/>
      <c r="GQ42" s="230"/>
      <c r="GR42" s="183" t="str">
        <f>IF($AB42="I","",IF($AA42="","",IF(GP42="","",GP42)))</f>
        <v/>
      </c>
      <c r="GS42" s="203" t="str">
        <f t="shared" si="86"/>
        <v>OK</v>
      </c>
      <c r="GT42" s="202"/>
      <c r="GU42" s="202"/>
      <c r="GV42" s="201"/>
      <c r="GW42" s="201"/>
      <c r="GX42" s="201"/>
    </row>
    <row r="43" spans="1:206">
      <c r="A43" s="200" t="s">
        <v>336</v>
      </c>
      <c r="B43" s="225">
        <f t="shared" si="130"/>
        <v>36</v>
      </c>
      <c r="C43" s="229"/>
      <c r="D43" s="229"/>
      <c r="E43" s="228"/>
      <c r="F43" s="228"/>
      <c r="G43" s="234" t="s">
        <v>393</v>
      </c>
      <c r="H43" s="220"/>
      <c r="I43" s="251"/>
      <c r="J43" s="217" t="s">
        <v>336</v>
      </c>
      <c r="K43" s="219"/>
      <c r="L43" s="219"/>
      <c r="M43" s="218"/>
      <c r="N43" s="217"/>
      <c r="O43" s="216"/>
      <c r="P43" s="212"/>
      <c r="Q43" s="212"/>
      <c r="R43" s="215"/>
      <c r="S43" s="214"/>
      <c r="T43" s="212"/>
      <c r="U43" s="213"/>
      <c r="V43" s="212"/>
      <c r="W43" s="211" t="str">
        <f t="shared" si="131"/>
        <v>4</v>
      </c>
      <c r="X43" s="210" t="s">
        <v>392</v>
      </c>
      <c r="Y43" s="210"/>
      <c r="Z43" s="210"/>
      <c r="AA43" s="209"/>
      <c r="AB43" s="209" t="s">
        <v>306</v>
      </c>
      <c r="AC43" s="207"/>
      <c r="AD43" s="226"/>
      <c r="AE43" s="230"/>
      <c r="AF43" s="183" t="str">
        <f>IF($AB43="I","",IF($AA43="","",IF(AD43="","",AD43)))</f>
        <v/>
      </c>
      <c r="AG43" s="203" t="str">
        <f t="shared" si="175"/>
        <v>OK</v>
      </c>
      <c r="AH43" s="226"/>
      <c r="AI43" s="230"/>
      <c r="AJ43" s="183" t="str">
        <f>IF($AB43="I","",IF($AA43="","",IF(AH43="","",AH43)))</f>
        <v/>
      </c>
      <c r="AK43" s="203" t="str">
        <f t="shared" si="176"/>
        <v>OK</v>
      </c>
      <c r="AL43" s="226"/>
      <c r="AM43" s="230"/>
      <c r="AN43" s="183" t="str">
        <f>IF($AB43="I","",IF($AA43="","",IF(AL43="","",AL43)))</f>
        <v/>
      </c>
      <c r="AO43" s="203" t="str">
        <f t="shared" si="177"/>
        <v>OK</v>
      </c>
      <c r="AP43" s="226"/>
      <c r="AQ43" s="230"/>
      <c r="AR43" s="183" t="str">
        <f>IF($AB43="I","",IF($AA43="","",IF(AP43="","",AP43)))</f>
        <v/>
      </c>
      <c r="AS43" s="203" t="str">
        <f t="shared" si="8"/>
        <v>OK</v>
      </c>
      <c r="AT43" s="226"/>
      <c r="AU43" s="230"/>
      <c r="AV43" s="183" t="str">
        <f>IF($AB43="I","",IF($AA43="","",IF(AT43="","",AT43)))</f>
        <v/>
      </c>
      <c r="AW43" s="203" t="str">
        <f t="shared" si="10"/>
        <v>OK</v>
      </c>
      <c r="AX43" s="226"/>
      <c r="AY43" s="230"/>
      <c r="AZ43" s="183" t="str">
        <f>IF($AB43="I","",IF($AA43="","",IF(AX43="","",AX43)))</f>
        <v/>
      </c>
      <c r="BA43" s="203" t="str">
        <f t="shared" si="12"/>
        <v>OK</v>
      </c>
      <c r="BB43" s="226"/>
      <c r="BC43" s="230"/>
      <c r="BD43" s="183" t="str">
        <f>IF($AB43="I","",IF($AA43="","",IF(BB43="","",BB43)))</f>
        <v/>
      </c>
      <c r="BE43" s="203" t="str">
        <f t="shared" si="14"/>
        <v>OK</v>
      </c>
      <c r="BF43" s="226"/>
      <c r="BG43" s="230"/>
      <c r="BH43" s="183" t="str">
        <f>IF($AB43="I","",IF($AA43="","",IF(BF43="","",BF43)))</f>
        <v/>
      </c>
      <c r="BI43" s="203" t="str">
        <f t="shared" si="16"/>
        <v>OK</v>
      </c>
      <c r="BJ43" s="226"/>
      <c r="BK43" s="230"/>
      <c r="BL43" s="183" t="str">
        <f>IF($AB43="I","",IF($AA43="","",IF(BJ43="","",BJ43)))</f>
        <v/>
      </c>
      <c r="BM43" s="203" t="str">
        <f t="shared" si="18"/>
        <v>OK</v>
      </c>
      <c r="BN43" s="226"/>
      <c r="BO43" s="230"/>
      <c r="BP43" s="183" t="str">
        <f>IF($AB43="I","",IF($AA43="","",IF(BN43="","",BN43)))</f>
        <v/>
      </c>
      <c r="BQ43" s="203" t="str">
        <f t="shared" si="20"/>
        <v>OK</v>
      </c>
      <c r="BR43" s="226"/>
      <c r="BS43" s="230"/>
      <c r="BT43" s="183" t="str">
        <f>IF($AB43="I","",IF($AA43="","",IF(BR43="","",BR43)))</f>
        <v/>
      </c>
      <c r="BU43" s="203" t="str">
        <f t="shared" si="22"/>
        <v>OK</v>
      </c>
      <c r="BV43" s="226"/>
      <c r="BW43" s="230"/>
      <c r="BX43" s="183" t="str">
        <f>IF($AB43="I","",IF($AA43="","",IF(BV43="","",BV43)))</f>
        <v/>
      </c>
      <c r="BY43" s="203" t="str">
        <f t="shared" si="24"/>
        <v>OK</v>
      </c>
      <c r="BZ43" s="226"/>
      <c r="CA43" s="230"/>
      <c r="CB43" s="183" t="str">
        <f>IF($AB43="I","",IF($AA43="","",IF(BZ43="","",BZ43)))</f>
        <v/>
      </c>
      <c r="CC43" s="203" t="str">
        <f t="shared" si="26"/>
        <v>OK</v>
      </c>
      <c r="CD43" s="226"/>
      <c r="CE43" s="230"/>
      <c r="CF43" s="183" t="str">
        <f>IF($AB43="I","",IF($AA43="","",IF(CD43="","",CD43)))</f>
        <v/>
      </c>
      <c r="CG43" s="203" t="str">
        <f t="shared" si="28"/>
        <v>OK</v>
      </c>
      <c r="CH43" s="226"/>
      <c r="CI43" s="230"/>
      <c r="CJ43" s="183" t="str">
        <f>IF($AB43="I","",IF($AA43="","",IF(CH43="","",CH43)))</f>
        <v/>
      </c>
      <c r="CK43" s="203" t="str">
        <f t="shared" si="30"/>
        <v>OK</v>
      </c>
      <c r="CL43" s="226"/>
      <c r="CM43" s="230"/>
      <c r="CN43" s="183" t="str">
        <f>IF($AB43="I","",IF($AA43="","",IF(CL43="","",CL43)))</f>
        <v/>
      </c>
      <c r="CO43" s="203" t="str">
        <f t="shared" si="32"/>
        <v>OK</v>
      </c>
      <c r="CP43" s="226"/>
      <c r="CQ43" s="230"/>
      <c r="CR43" s="183" t="str">
        <f>IF($AB43="I","",IF($AA43="","",IF(CP43="","",CP43)))</f>
        <v/>
      </c>
      <c r="CS43" s="203" t="str">
        <f t="shared" si="34"/>
        <v>OK</v>
      </c>
      <c r="CT43" s="226"/>
      <c r="CU43" s="230"/>
      <c r="CV43" s="183" t="str">
        <f>IF($AB43="I","",IF($AA43="","",IF(CT43="","",CT43)))</f>
        <v/>
      </c>
      <c r="CW43" s="203" t="str">
        <f t="shared" si="36"/>
        <v>OK</v>
      </c>
      <c r="CX43" s="226"/>
      <c r="CY43" s="230"/>
      <c r="CZ43" s="183" t="str">
        <f>IF($AB43="I","",IF($AA43="","",IF(CX43="","",CX43)))</f>
        <v/>
      </c>
      <c r="DA43" s="203" t="str">
        <f t="shared" si="38"/>
        <v>OK</v>
      </c>
      <c r="DB43" s="226"/>
      <c r="DC43" s="230"/>
      <c r="DD43" s="183" t="str">
        <f>IF($AB43="I","",IF($AA43="","",IF(DB43="","",DB43)))</f>
        <v/>
      </c>
      <c r="DE43" s="203" t="str">
        <f t="shared" si="40"/>
        <v>OK</v>
      </c>
      <c r="DF43" s="226"/>
      <c r="DG43" s="230"/>
      <c r="DH43" s="183" t="str">
        <f>IF($AB43="I","",IF($AA43="","",IF(DF43="","",DF43)))</f>
        <v/>
      </c>
      <c r="DI43" s="203" t="str">
        <f t="shared" si="42"/>
        <v>OK</v>
      </c>
      <c r="DJ43" s="226"/>
      <c r="DK43" s="230"/>
      <c r="DL43" s="183" t="str">
        <f>IF($AB43="I","",IF($AA43="","",IF(DJ43="","",DJ43)))</f>
        <v/>
      </c>
      <c r="DM43" s="203" t="str">
        <f t="shared" si="44"/>
        <v>OK</v>
      </c>
      <c r="DN43" s="226"/>
      <c r="DO43" s="230"/>
      <c r="DP43" s="183" t="str">
        <f>IF($AB43="I","",IF($AA43="","",IF(DN43="","",DN43)))</f>
        <v/>
      </c>
      <c r="DQ43" s="203" t="str">
        <f t="shared" si="46"/>
        <v>OK</v>
      </c>
      <c r="DR43" s="226"/>
      <c r="DS43" s="230"/>
      <c r="DT43" s="183" t="str">
        <f>IF($AB43="I","",IF($AA43="","",IF(DR43="","",DR43)))</f>
        <v/>
      </c>
      <c r="DU43" s="203" t="str">
        <f t="shared" si="48"/>
        <v>OK</v>
      </c>
      <c r="DV43" s="226"/>
      <c r="DW43" s="230"/>
      <c r="DX43" s="183" t="str">
        <f>IF($AB43="I","",IF($AA43="","",IF(DV43="","",DV43)))</f>
        <v/>
      </c>
      <c r="DY43" s="203" t="str">
        <f t="shared" si="50"/>
        <v>OK</v>
      </c>
      <c r="DZ43" s="226"/>
      <c r="EA43" s="230"/>
      <c r="EB43" s="183" t="str">
        <f>IF($AB43="I","",IF($AA43="","",IF(DZ43="","",DZ43)))</f>
        <v/>
      </c>
      <c r="EC43" s="203" t="str">
        <f t="shared" si="52"/>
        <v>OK</v>
      </c>
      <c r="ED43" s="226"/>
      <c r="EE43" s="230"/>
      <c r="EF43" s="183" t="str">
        <f>IF($AB43="I","",IF($AA43="","",IF(ED43="","",ED43)))</f>
        <v/>
      </c>
      <c r="EG43" s="203" t="str">
        <f t="shared" si="54"/>
        <v>OK</v>
      </c>
      <c r="EH43" s="226"/>
      <c r="EI43" s="230"/>
      <c r="EJ43" s="183" t="str">
        <f>IF($AB43="I","",IF($AA43="","",IF(EH43="","",EH43)))</f>
        <v/>
      </c>
      <c r="EK43" s="203" t="str">
        <f t="shared" si="56"/>
        <v>OK</v>
      </c>
      <c r="EL43" s="226"/>
      <c r="EM43" s="230"/>
      <c r="EN43" s="183" t="str">
        <f>IF($AB43="I","",IF($AA43="","",IF(EL43="","",EL43)))</f>
        <v/>
      </c>
      <c r="EO43" s="203" t="str">
        <f t="shared" si="58"/>
        <v>OK</v>
      </c>
      <c r="EP43" s="226"/>
      <c r="EQ43" s="230"/>
      <c r="ER43" s="183" t="str">
        <f>IF($AB43="I","",IF($AA43="","",IF(EP43="","",EP43)))</f>
        <v/>
      </c>
      <c r="ES43" s="203" t="str">
        <f t="shared" si="60"/>
        <v>OK</v>
      </c>
      <c r="ET43" s="226"/>
      <c r="EU43" s="230"/>
      <c r="EV43" s="183" t="str">
        <f>IF($AB43="I","",IF($AA43="","",IF(ET43="","",ET43)))</f>
        <v/>
      </c>
      <c r="EW43" s="203" t="str">
        <f t="shared" si="62"/>
        <v>OK</v>
      </c>
      <c r="EX43" s="226"/>
      <c r="EY43" s="230"/>
      <c r="EZ43" s="183" t="str">
        <f>IF($AB43="I","",IF($AA43="","",IF(EX43="","",EX43)))</f>
        <v/>
      </c>
      <c r="FA43" s="203" t="str">
        <f t="shared" si="64"/>
        <v>OK</v>
      </c>
      <c r="FB43" s="226"/>
      <c r="FC43" s="230"/>
      <c r="FD43" s="183" t="str">
        <f>IF($AB43="I","",IF($AA43="","",IF(FB43="","",FB43)))</f>
        <v/>
      </c>
      <c r="FE43" s="203" t="str">
        <f t="shared" si="66"/>
        <v>OK</v>
      </c>
      <c r="FF43" s="226"/>
      <c r="FG43" s="230"/>
      <c r="FH43" s="183" t="str">
        <f>IF($AB43="I","",IF($AA43="","",IF(FF43="","",FF43)))</f>
        <v/>
      </c>
      <c r="FI43" s="203" t="str">
        <f t="shared" si="68"/>
        <v>OK</v>
      </c>
      <c r="FJ43" s="226"/>
      <c r="FK43" s="230"/>
      <c r="FL43" s="183" t="str">
        <f>IF($AB43="I","",IF($AA43="","",IF(FJ43="","",FJ43)))</f>
        <v/>
      </c>
      <c r="FM43" s="203" t="str">
        <f t="shared" si="70"/>
        <v>OK</v>
      </c>
      <c r="FN43" s="226"/>
      <c r="FO43" s="230"/>
      <c r="FP43" s="183" t="str">
        <f>IF($AB43="I","",IF($AA43="","",IF(FN43="","",FN43)))</f>
        <v/>
      </c>
      <c r="FQ43" s="203" t="str">
        <f t="shared" si="72"/>
        <v>OK</v>
      </c>
      <c r="FR43" s="226"/>
      <c r="FS43" s="230"/>
      <c r="FT43" s="183" t="str">
        <f>IF($AB43="I","",IF($AA43="","",IF(FR43="","",FR43)))</f>
        <v/>
      </c>
      <c r="FU43" s="203" t="str">
        <f t="shared" si="74"/>
        <v>OK</v>
      </c>
      <c r="FV43" s="226"/>
      <c r="FW43" s="230"/>
      <c r="FX43" s="183" t="str">
        <f>IF($AB43="I","",IF($AA43="","",IF(FV43="","",FV43)))</f>
        <v/>
      </c>
      <c r="FY43" s="203" t="str">
        <f t="shared" si="76"/>
        <v>OK</v>
      </c>
      <c r="FZ43" s="226"/>
      <c r="GA43" s="230"/>
      <c r="GB43" s="183" t="str">
        <f>IF($AB43="I","",IF($AA43="","",IF(FZ43="","",FZ43)))</f>
        <v/>
      </c>
      <c r="GC43" s="203" t="str">
        <f t="shared" si="78"/>
        <v>OK</v>
      </c>
      <c r="GD43" s="226"/>
      <c r="GE43" s="230"/>
      <c r="GF43" s="183" t="str">
        <f>IF($AB43="I","",IF($AA43="","",IF(GD43="","",GD43)))</f>
        <v/>
      </c>
      <c r="GG43" s="203" t="str">
        <f t="shared" si="80"/>
        <v>OK</v>
      </c>
      <c r="GH43" s="226"/>
      <c r="GI43" s="230"/>
      <c r="GJ43" s="183" t="str">
        <f>IF($AB43="I","",IF($AA43="","",IF(GH43="","",GH43)))</f>
        <v/>
      </c>
      <c r="GK43" s="203" t="str">
        <f t="shared" si="82"/>
        <v>OK</v>
      </c>
      <c r="GL43" s="226"/>
      <c r="GM43" s="230"/>
      <c r="GN43" s="183" t="str">
        <f>IF($AB43="I","",IF($AA43="","",IF(GL43="","",GL43)))</f>
        <v/>
      </c>
      <c r="GO43" s="203" t="str">
        <f t="shared" si="84"/>
        <v>OK</v>
      </c>
      <c r="GP43" s="226"/>
      <c r="GQ43" s="230"/>
      <c r="GR43" s="183" t="str">
        <f>IF($AB43="I","",IF($AA43="","",IF(GP43="","",GP43)))</f>
        <v/>
      </c>
      <c r="GS43" s="203" t="str">
        <f t="shared" si="86"/>
        <v>OK</v>
      </c>
      <c r="GT43" s="202"/>
      <c r="GU43" s="202"/>
      <c r="GV43" s="201"/>
      <c r="GW43" s="201"/>
      <c r="GX43" s="201"/>
    </row>
    <row r="44" spans="1:206" ht="13">
      <c r="A44" s="200"/>
      <c r="B44" s="225">
        <f t="shared" si="130"/>
        <v>37</v>
      </c>
      <c r="C44" s="229"/>
      <c r="D44" s="229"/>
      <c r="E44" s="228"/>
      <c r="F44" s="248"/>
      <c r="G44" s="229"/>
      <c r="H44" s="210" t="s">
        <v>391</v>
      </c>
      <c r="I44" s="209"/>
      <c r="J44" s="217" t="s">
        <v>23</v>
      </c>
      <c r="K44" s="219"/>
      <c r="L44" s="219"/>
      <c r="M44" s="242"/>
      <c r="N44" s="217"/>
      <c r="O44" s="216"/>
      <c r="P44" s="212"/>
      <c r="Q44" s="212"/>
      <c r="R44" s="215"/>
      <c r="S44" s="214"/>
      <c r="T44" s="212"/>
      <c r="U44" s="213"/>
      <c r="V44" s="212"/>
      <c r="W44" s="211" t="str">
        <f t="shared" si="131"/>
        <v>5</v>
      </c>
      <c r="X44" s="210" t="s">
        <v>390</v>
      </c>
      <c r="Y44" s="239">
        <v>7</v>
      </c>
      <c r="Z44" s="239">
        <v>7</v>
      </c>
      <c r="AA44" s="238">
        <v>9</v>
      </c>
      <c r="AB44" s="238" t="s">
        <v>306</v>
      </c>
      <c r="AC44" s="207"/>
      <c r="AD44" s="231" t="s">
        <v>389</v>
      </c>
      <c r="AE44" s="230"/>
      <c r="AF44" s="183"/>
      <c r="AG44" s="203" t="str">
        <f t="shared" si="175"/>
        <v>OK</v>
      </c>
      <c r="AH44" s="231" t="s">
        <v>389</v>
      </c>
      <c r="AI44" s="230"/>
      <c r="AJ44" s="183"/>
      <c r="AK44" s="203" t="str">
        <f t="shared" si="176"/>
        <v>OK</v>
      </c>
      <c r="AL44" s="231" t="s">
        <v>389</v>
      </c>
      <c r="AM44" s="230"/>
      <c r="AN44" s="183"/>
      <c r="AO44" s="203" t="str">
        <f t="shared" si="177"/>
        <v>OK</v>
      </c>
      <c r="AP44" s="231" t="s">
        <v>389</v>
      </c>
      <c r="AQ44" s="230"/>
      <c r="AR44" s="183"/>
      <c r="AS44" s="203" t="str">
        <f t="shared" si="8"/>
        <v>OK</v>
      </c>
      <c r="AT44" s="231" t="s">
        <v>389</v>
      </c>
      <c r="AU44" s="230"/>
      <c r="AV44" s="183"/>
      <c r="AW44" s="203" t="str">
        <f t="shared" si="10"/>
        <v>OK</v>
      </c>
      <c r="AX44" s="231" t="s">
        <v>389</v>
      </c>
      <c r="AY44" s="230"/>
      <c r="AZ44" s="183"/>
      <c r="BA44" s="203" t="str">
        <f t="shared" si="12"/>
        <v>OK</v>
      </c>
      <c r="BB44" s="231" t="s">
        <v>389</v>
      </c>
      <c r="BC44" s="230"/>
      <c r="BD44" s="183"/>
      <c r="BE44" s="203" t="str">
        <f t="shared" si="14"/>
        <v>OK</v>
      </c>
      <c r="BF44" s="231" t="s">
        <v>389</v>
      </c>
      <c r="BG44" s="230"/>
      <c r="BH44" s="183"/>
      <c r="BI44" s="203" t="str">
        <f t="shared" si="16"/>
        <v>OK</v>
      </c>
      <c r="BJ44" s="231" t="s">
        <v>389</v>
      </c>
      <c r="BK44" s="230"/>
      <c r="BL44" s="183"/>
      <c r="BM44" s="203" t="str">
        <f t="shared" si="18"/>
        <v>OK</v>
      </c>
      <c r="BN44" s="231" t="s">
        <v>389</v>
      </c>
      <c r="BO44" s="230"/>
      <c r="BP44" s="183"/>
      <c r="BQ44" s="203" t="str">
        <f t="shared" si="20"/>
        <v>OK</v>
      </c>
      <c r="BR44" s="231" t="s">
        <v>389</v>
      </c>
      <c r="BS44" s="230"/>
      <c r="BT44" s="183"/>
      <c r="BU44" s="203" t="str">
        <f t="shared" si="22"/>
        <v>OK</v>
      </c>
      <c r="BV44" s="231" t="s">
        <v>389</v>
      </c>
      <c r="BW44" s="230"/>
      <c r="BX44" s="183"/>
      <c r="BY44" s="203" t="str">
        <f t="shared" si="24"/>
        <v>OK</v>
      </c>
      <c r="BZ44" s="231" t="s">
        <v>389</v>
      </c>
      <c r="CA44" s="230"/>
      <c r="CB44" s="183"/>
      <c r="CC44" s="203" t="str">
        <f t="shared" si="26"/>
        <v>OK</v>
      </c>
      <c r="CD44" s="231" t="s">
        <v>389</v>
      </c>
      <c r="CE44" s="230"/>
      <c r="CF44" s="183"/>
      <c r="CG44" s="203" t="str">
        <f t="shared" si="28"/>
        <v>OK</v>
      </c>
      <c r="CH44" s="231" t="s">
        <v>389</v>
      </c>
      <c r="CI44" s="230"/>
      <c r="CJ44" s="183"/>
      <c r="CK44" s="203" t="str">
        <f t="shared" si="30"/>
        <v>OK</v>
      </c>
      <c r="CL44" s="231" t="s">
        <v>389</v>
      </c>
      <c r="CM44" s="230"/>
      <c r="CN44" s="183"/>
      <c r="CO44" s="203" t="str">
        <f t="shared" si="32"/>
        <v>OK</v>
      </c>
      <c r="CP44" s="231" t="s">
        <v>389</v>
      </c>
      <c r="CQ44" s="230"/>
      <c r="CR44" s="183"/>
      <c r="CS44" s="203" t="str">
        <f t="shared" si="34"/>
        <v>OK</v>
      </c>
      <c r="CT44" s="231" t="s">
        <v>389</v>
      </c>
      <c r="CU44" s="230"/>
      <c r="CV44" s="183"/>
      <c r="CW44" s="203" t="str">
        <f t="shared" si="36"/>
        <v>OK</v>
      </c>
      <c r="CX44" s="231" t="s">
        <v>389</v>
      </c>
      <c r="CY44" s="230"/>
      <c r="CZ44" s="183"/>
      <c r="DA44" s="203" t="str">
        <f t="shared" si="38"/>
        <v>OK</v>
      </c>
      <c r="DB44" s="231" t="s">
        <v>389</v>
      </c>
      <c r="DC44" s="230"/>
      <c r="DD44" s="183"/>
      <c r="DE44" s="203" t="str">
        <f t="shared" si="40"/>
        <v>OK</v>
      </c>
      <c r="DF44" s="231" t="s">
        <v>389</v>
      </c>
      <c r="DG44" s="230"/>
      <c r="DH44" s="183"/>
      <c r="DI44" s="203" t="str">
        <f t="shared" si="42"/>
        <v>OK</v>
      </c>
      <c r="DJ44" s="231" t="s">
        <v>389</v>
      </c>
      <c r="DK44" s="230"/>
      <c r="DL44" s="183"/>
      <c r="DM44" s="203" t="str">
        <f t="shared" si="44"/>
        <v>OK</v>
      </c>
      <c r="DN44" s="231" t="s">
        <v>389</v>
      </c>
      <c r="DO44" s="230"/>
      <c r="DP44" s="183"/>
      <c r="DQ44" s="203" t="str">
        <f t="shared" si="46"/>
        <v>OK</v>
      </c>
      <c r="DR44" s="231" t="s">
        <v>389</v>
      </c>
      <c r="DS44" s="230"/>
      <c r="DT44" s="183"/>
      <c r="DU44" s="203" t="str">
        <f t="shared" si="48"/>
        <v>OK</v>
      </c>
      <c r="DV44" s="231" t="s">
        <v>389</v>
      </c>
      <c r="DW44" s="230"/>
      <c r="DX44" s="183"/>
      <c r="DY44" s="203" t="str">
        <f t="shared" si="50"/>
        <v>OK</v>
      </c>
      <c r="DZ44" s="231" t="s">
        <v>389</v>
      </c>
      <c r="EA44" s="230"/>
      <c r="EB44" s="183"/>
      <c r="EC44" s="203" t="str">
        <f t="shared" si="52"/>
        <v>OK</v>
      </c>
      <c r="ED44" s="231" t="s">
        <v>389</v>
      </c>
      <c r="EE44" s="230"/>
      <c r="EF44" s="183"/>
      <c r="EG44" s="203" t="str">
        <f t="shared" si="54"/>
        <v>OK</v>
      </c>
      <c r="EH44" s="231" t="s">
        <v>389</v>
      </c>
      <c r="EI44" s="230"/>
      <c r="EJ44" s="183"/>
      <c r="EK44" s="203" t="str">
        <f t="shared" si="56"/>
        <v>OK</v>
      </c>
      <c r="EL44" s="231" t="s">
        <v>389</v>
      </c>
      <c r="EM44" s="230"/>
      <c r="EN44" s="183"/>
      <c r="EO44" s="203" t="str">
        <f t="shared" si="58"/>
        <v>OK</v>
      </c>
      <c r="EP44" s="231" t="s">
        <v>389</v>
      </c>
      <c r="EQ44" s="230"/>
      <c r="ER44" s="183"/>
      <c r="ES44" s="203" t="str">
        <f t="shared" si="60"/>
        <v>OK</v>
      </c>
      <c r="ET44" s="231" t="s">
        <v>389</v>
      </c>
      <c r="EU44" s="230"/>
      <c r="EV44" s="183"/>
      <c r="EW44" s="203" t="str">
        <f t="shared" si="62"/>
        <v>OK</v>
      </c>
      <c r="EX44" s="231" t="s">
        <v>389</v>
      </c>
      <c r="EY44" s="230"/>
      <c r="EZ44" s="183"/>
      <c r="FA44" s="203" t="str">
        <f t="shared" si="64"/>
        <v>OK</v>
      </c>
      <c r="FB44" s="231" t="s">
        <v>389</v>
      </c>
      <c r="FC44" s="230"/>
      <c r="FD44" s="183"/>
      <c r="FE44" s="203" t="str">
        <f t="shared" si="66"/>
        <v>OK</v>
      </c>
      <c r="FF44" s="231" t="s">
        <v>389</v>
      </c>
      <c r="FG44" s="230"/>
      <c r="FH44" s="183"/>
      <c r="FI44" s="203" t="str">
        <f t="shared" si="68"/>
        <v>OK</v>
      </c>
      <c r="FJ44" s="231" t="s">
        <v>389</v>
      </c>
      <c r="FK44" s="230"/>
      <c r="FL44" s="183"/>
      <c r="FM44" s="203" t="str">
        <f t="shared" si="70"/>
        <v>OK</v>
      </c>
      <c r="FN44" s="231" t="s">
        <v>389</v>
      </c>
      <c r="FO44" s="230"/>
      <c r="FP44" s="183"/>
      <c r="FQ44" s="203" t="str">
        <f t="shared" si="72"/>
        <v>OK</v>
      </c>
      <c r="FR44" s="231" t="s">
        <v>389</v>
      </c>
      <c r="FS44" s="230"/>
      <c r="FT44" s="183"/>
      <c r="FU44" s="203" t="str">
        <f t="shared" si="74"/>
        <v>OK</v>
      </c>
      <c r="FV44" s="231" t="s">
        <v>389</v>
      </c>
      <c r="FW44" s="230"/>
      <c r="FX44" s="183"/>
      <c r="FY44" s="203" t="str">
        <f t="shared" si="76"/>
        <v>OK</v>
      </c>
      <c r="FZ44" s="231" t="s">
        <v>389</v>
      </c>
      <c r="GA44" s="230"/>
      <c r="GB44" s="183"/>
      <c r="GC44" s="203" t="str">
        <f t="shared" si="78"/>
        <v>OK</v>
      </c>
      <c r="GD44" s="231" t="s">
        <v>389</v>
      </c>
      <c r="GE44" s="230"/>
      <c r="GF44" s="183"/>
      <c r="GG44" s="203" t="str">
        <f t="shared" si="80"/>
        <v>OK</v>
      </c>
      <c r="GH44" s="231" t="s">
        <v>389</v>
      </c>
      <c r="GI44" s="230"/>
      <c r="GJ44" s="183"/>
      <c r="GK44" s="203" t="str">
        <f t="shared" si="82"/>
        <v>OK</v>
      </c>
      <c r="GL44" s="231" t="s">
        <v>389</v>
      </c>
      <c r="GM44" s="230"/>
      <c r="GN44" s="183"/>
      <c r="GO44" s="203" t="str">
        <f t="shared" si="84"/>
        <v>OK</v>
      </c>
      <c r="GP44" s="231" t="s">
        <v>389</v>
      </c>
      <c r="GQ44" s="230"/>
      <c r="GR44" s="183"/>
      <c r="GS44" s="203" t="str">
        <f t="shared" si="86"/>
        <v>OK</v>
      </c>
      <c r="GT44" s="202"/>
      <c r="GU44" s="202"/>
      <c r="GV44" s="201"/>
      <c r="GW44" s="201"/>
      <c r="GX44" s="201"/>
    </row>
    <row r="45" spans="1:206">
      <c r="A45" s="200" t="s">
        <v>336</v>
      </c>
      <c r="B45" s="225">
        <f t="shared" si="130"/>
        <v>38</v>
      </c>
      <c r="C45" s="229"/>
      <c r="D45" s="229"/>
      <c r="E45" s="228"/>
      <c r="F45" s="228"/>
      <c r="G45" s="250"/>
      <c r="H45" s="210" t="s">
        <v>388</v>
      </c>
      <c r="I45" s="209"/>
      <c r="J45" s="217" t="s">
        <v>23</v>
      </c>
      <c r="K45" s="219"/>
      <c r="L45" s="219"/>
      <c r="M45" s="218"/>
      <c r="N45" s="217"/>
      <c r="O45" s="216"/>
      <c r="P45" s="212"/>
      <c r="Q45" s="212"/>
      <c r="R45" s="215"/>
      <c r="S45" s="214"/>
      <c r="T45" s="212"/>
      <c r="U45" s="213"/>
      <c r="V45" s="212"/>
      <c r="W45" s="211" t="str">
        <f t="shared" si="131"/>
        <v>5</v>
      </c>
      <c r="X45" s="210" t="s">
        <v>387</v>
      </c>
      <c r="Y45" s="210">
        <v>1</v>
      </c>
      <c r="Z45" s="210">
        <v>192</v>
      </c>
      <c r="AA45" s="209" t="s">
        <v>69</v>
      </c>
      <c r="AB45" s="209" t="s">
        <v>306</v>
      </c>
      <c r="AC45" s="207"/>
      <c r="AD45" s="206" t="s">
        <v>386</v>
      </c>
      <c r="AE45" s="230"/>
      <c r="AF45" s="183" t="str">
        <f t="shared" ref="AF45:AF77" si="178">IF($AB45="I","",IF($AA45="","",IF(AD45="","",AD45)))</f>
        <v/>
      </c>
      <c r="AG45" s="203" t="str">
        <f t="shared" si="175"/>
        <v>OK</v>
      </c>
      <c r="AH45" s="206" t="s">
        <v>386</v>
      </c>
      <c r="AI45" s="230"/>
      <c r="AJ45" s="183" t="str">
        <f t="shared" ref="AJ45:AJ77" si="179">IF($AB45="I","",IF($AA45="","",IF(AH45="","",AH45)))</f>
        <v/>
      </c>
      <c r="AK45" s="203" t="str">
        <f t="shared" si="176"/>
        <v>OK</v>
      </c>
      <c r="AL45" s="206" t="s">
        <v>386</v>
      </c>
      <c r="AM45" s="230"/>
      <c r="AN45" s="183" t="str">
        <f t="shared" ref="AN45:AN77" si="180">IF($AB45="I","",IF($AA45="","",IF(AL45="","",AL45)))</f>
        <v/>
      </c>
      <c r="AO45" s="203" t="str">
        <f t="shared" si="177"/>
        <v>OK</v>
      </c>
      <c r="AP45" s="206" t="s">
        <v>386</v>
      </c>
      <c r="AQ45" s="230"/>
      <c r="AR45" s="183" t="str">
        <f t="shared" ref="AR45:AR77" si="181">IF($AB45="I","",IF($AA45="","",IF(AP45="","",AP45)))</f>
        <v/>
      </c>
      <c r="AS45" s="203" t="str">
        <f t="shared" si="8"/>
        <v>OK</v>
      </c>
      <c r="AT45" s="206" t="s">
        <v>386</v>
      </c>
      <c r="AU45" s="230"/>
      <c r="AV45" s="183" t="str">
        <f t="shared" ref="AV45:AV77" si="182">IF($AB45="I","",IF($AA45="","",IF(AT45="","",AT45)))</f>
        <v/>
      </c>
      <c r="AW45" s="203" t="str">
        <f t="shared" si="10"/>
        <v>OK</v>
      </c>
      <c r="AX45" s="206" t="s">
        <v>386</v>
      </c>
      <c r="AY45" s="230"/>
      <c r="AZ45" s="183" t="str">
        <f t="shared" ref="AZ45:AZ77" si="183">IF($AB45="I","",IF($AA45="","",IF(AX45="","",AX45)))</f>
        <v/>
      </c>
      <c r="BA45" s="203" t="str">
        <f t="shared" si="12"/>
        <v>OK</v>
      </c>
      <c r="BB45" s="206" t="s">
        <v>386</v>
      </c>
      <c r="BC45" s="230"/>
      <c r="BD45" s="183" t="str">
        <f t="shared" ref="BD45:BD77" si="184">IF($AB45="I","",IF($AA45="","",IF(BB45="","",BB45)))</f>
        <v/>
      </c>
      <c r="BE45" s="203" t="str">
        <f t="shared" si="14"/>
        <v>OK</v>
      </c>
      <c r="BF45" s="206" t="s">
        <v>386</v>
      </c>
      <c r="BG45" s="230"/>
      <c r="BH45" s="183" t="str">
        <f t="shared" ref="BH45:BH77" si="185">IF($AB45="I","",IF($AA45="","",IF(BF45="","",BF45)))</f>
        <v/>
      </c>
      <c r="BI45" s="203" t="str">
        <f t="shared" si="16"/>
        <v>OK</v>
      </c>
      <c r="BJ45" s="206" t="s">
        <v>386</v>
      </c>
      <c r="BK45" s="230"/>
      <c r="BL45" s="183" t="str">
        <f t="shared" ref="BL45:BL77" si="186">IF($AB45="I","",IF($AA45="","",IF(BJ45="","",BJ45)))</f>
        <v/>
      </c>
      <c r="BM45" s="203" t="str">
        <f t="shared" si="18"/>
        <v>OK</v>
      </c>
      <c r="BN45" s="206" t="s">
        <v>386</v>
      </c>
      <c r="BO45" s="230"/>
      <c r="BP45" s="183" t="str">
        <f t="shared" ref="BP45:BP77" si="187">IF($AB45="I","",IF($AA45="","",IF(BN45="","",BN45)))</f>
        <v/>
      </c>
      <c r="BQ45" s="203" t="str">
        <f t="shared" si="20"/>
        <v>OK</v>
      </c>
      <c r="BR45" s="206" t="s">
        <v>386</v>
      </c>
      <c r="BS45" s="230"/>
      <c r="BT45" s="183" t="str">
        <f t="shared" ref="BT45:BT77" si="188">IF($AB45="I","",IF($AA45="","",IF(BR45="","",BR45)))</f>
        <v/>
      </c>
      <c r="BU45" s="203" t="str">
        <f t="shared" si="22"/>
        <v>OK</v>
      </c>
      <c r="BV45" s="206" t="s">
        <v>386</v>
      </c>
      <c r="BW45" s="230"/>
      <c r="BX45" s="183" t="str">
        <f t="shared" ref="BX45:BX77" si="189">IF($AB45="I","",IF($AA45="","",IF(BV45="","",BV45)))</f>
        <v/>
      </c>
      <c r="BY45" s="203" t="str">
        <f t="shared" si="24"/>
        <v>OK</v>
      </c>
      <c r="BZ45" s="206" t="s">
        <v>386</v>
      </c>
      <c r="CA45" s="230"/>
      <c r="CB45" s="183" t="str">
        <f t="shared" ref="CB45:CB77" si="190">IF($AB45="I","",IF($AA45="","",IF(BZ45="","",BZ45)))</f>
        <v/>
      </c>
      <c r="CC45" s="203" t="str">
        <f t="shared" si="26"/>
        <v>OK</v>
      </c>
      <c r="CD45" s="206" t="s">
        <v>386</v>
      </c>
      <c r="CE45" s="230"/>
      <c r="CF45" s="183" t="str">
        <f t="shared" ref="CF45:CF77" si="191">IF($AB45="I","",IF($AA45="","",IF(CD45="","",CD45)))</f>
        <v/>
      </c>
      <c r="CG45" s="203" t="str">
        <f t="shared" si="28"/>
        <v>OK</v>
      </c>
      <c r="CH45" s="206" t="s">
        <v>386</v>
      </c>
      <c r="CI45" s="230"/>
      <c r="CJ45" s="183" t="str">
        <f t="shared" ref="CJ45:CJ77" si="192">IF($AB45="I","",IF($AA45="","",IF(CH45="","",CH45)))</f>
        <v/>
      </c>
      <c r="CK45" s="203" t="str">
        <f t="shared" si="30"/>
        <v>OK</v>
      </c>
      <c r="CL45" s="206" t="s">
        <v>386</v>
      </c>
      <c r="CM45" s="230"/>
      <c r="CN45" s="183" t="str">
        <f t="shared" ref="CN45:CN77" si="193">IF($AB45="I","",IF($AA45="","",IF(CL45="","",CL45)))</f>
        <v/>
      </c>
      <c r="CO45" s="203" t="str">
        <f t="shared" si="32"/>
        <v>OK</v>
      </c>
      <c r="CP45" s="206" t="s">
        <v>386</v>
      </c>
      <c r="CQ45" s="230"/>
      <c r="CR45" s="183" t="str">
        <f t="shared" ref="CR45:CR77" si="194">IF($AB45="I","",IF($AA45="","",IF(CP45="","",CP45)))</f>
        <v/>
      </c>
      <c r="CS45" s="203" t="str">
        <f t="shared" si="34"/>
        <v>OK</v>
      </c>
      <c r="CT45" s="206" t="s">
        <v>386</v>
      </c>
      <c r="CU45" s="230"/>
      <c r="CV45" s="183" t="str">
        <f t="shared" ref="CV45:CV77" si="195">IF($AB45="I","",IF($AA45="","",IF(CT45="","",CT45)))</f>
        <v/>
      </c>
      <c r="CW45" s="203" t="str">
        <f t="shared" si="36"/>
        <v>OK</v>
      </c>
      <c r="CX45" s="206" t="s">
        <v>386</v>
      </c>
      <c r="CY45" s="230"/>
      <c r="CZ45" s="183" t="str">
        <f t="shared" ref="CZ45:CZ77" si="196">IF($AB45="I","",IF($AA45="","",IF(CX45="","",CX45)))</f>
        <v/>
      </c>
      <c r="DA45" s="203" t="str">
        <f t="shared" si="38"/>
        <v>OK</v>
      </c>
      <c r="DB45" s="206" t="s">
        <v>386</v>
      </c>
      <c r="DC45" s="230"/>
      <c r="DD45" s="183" t="str">
        <f t="shared" ref="DD45:DD77" si="197">IF($AB45="I","",IF($AA45="","",IF(DB45="","",DB45)))</f>
        <v/>
      </c>
      <c r="DE45" s="203" t="str">
        <f t="shared" si="40"/>
        <v>OK</v>
      </c>
      <c r="DF45" s="206" t="s">
        <v>386</v>
      </c>
      <c r="DG45" s="230"/>
      <c r="DH45" s="183" t="str">
        <f t="shared" ref="DH45:DH77" si="198">IF($AB45="I","",IF($AA45="","",IF(DF45="","",DF45)))</f>
        <v/>
      </c>
      <c r="DI45" s="203" t="str">
        <f t="shared" si="42"/>
        <v>OK</v>
      </c>
      <c r="DJ45" s="206" t="s">
        <v>386</v>
      </c>
      <c r="DK45" s="230"/>
      <c r="DL45" s="183" t="str">
        <f t="shared" ref="DL45:DL77" si="199">IF($AB45="I","",IF($AA45="","",IF(DJ45="","",DJ45)))</f>
        <v/>
      </c>
      <c r="DM45" s="203" t="str">
        <f t="shared" si="44"/>
        <v>OK</v>
      </c>
      <c r="DN45" s="206" t="s">
        <v>386</v>
      </c>
      <c r="DO45" s="230"/>
      <c r="DP45" s="183" t="str">
        <f t="shared" ref="DP45:DP77" si="200">IF($AB45="I","",IF($AA45="","",IF(DN45="","",DN45)))</f>
        <v/>
      </c>
      <c r="DQ45" s="203" t="str">
        <f t="shared" si="46"/>
        <v>OK</v>
      </c>
      <c r="DR45" s="206" t="s">
        <v>386</v>
      </c>
      <c r="DS45" s="230"/>
      <c r="DT45" s="183" t="str">
        <f t="shared" ref="DT45:DT77" si="201">IF($AB45="I","",IF($AA45="","",IF(DR45="","",DR45)))</f>
        <v/>
      </c>
      <c r="DU45" s="203" t="str">
        <f t="shared" si="48"/>
        <v>OK</v>
      </c>
      <c r="DV45" s="206" t="s">
        <v>386</v>
      </c>
      <c r="DW45" s="230"/>
      <c r="DX45" s="183" t="str">
        <f t="shared" ref="DX45:DX77" si="202">IF($AB45="I","",IF($AA45="","",IF(DV45="","",DV45)))</f>
        <v/>
      </c>
      <c r="DY45" s="203" t="str">
        <f t="shared" si="50"/>
        <v>OK</v>
      </c>
      <c r="DZ45" s="206" t="s">
        <v>386</v>
      </c>
      <c r="EA45" s="230"/>
      <c r="EB45" s="183" t="str">
        <f t="shared" ref="EB45:EB77" si="203">IF($AB45="I","",IF($AA45="","",IF(DZ45="","",DZ45)))</f>
        <v/>
      </c>
      <c r="EC45" s="203" t="str">
        <f t="shared" si="52"/>
        <v>OK</v>
      </c>
      <c r="ED45" s="206" t="s">
        <v>386</v>
      </c>
      <c r="EE45" s="230"/>
      <c r="EF45" s="183" t="str">
        <f t="shared" ref="EF45:EF77" si="204">IF($AB45="I","",IF($AA45="","",IF(ED45="","",ED45)))</f>
        <v/>
      </c>
      <c r="EG45" s="203" t="str">
        <f t="shared" si="54"/>
        <v>OK</v>
      </c>
      <c r="EH45" s="206" t="s">
        <v>386</v>
      </c>
      <c r="EI45" s="230"/>
      <c r="EJ45" s="183" t="str">
        <f t="shared" ref="EJ45:EJ77" si="205">IF($AB45="I","",IF($AA45="","",IF(EH45="","",EH45)))</f>
        <v/>
      </c>
      <c r="EK45" s="203" t="str">
        <f t="shared" si="56"/>
        <v>OK</v>
      </c>
      <c r="EL45" s="206" t="s">
        <v>386</v>
      </c>
      <c r="EM45" s="230"/>
      <c r="EN45" s="183" t="str">
        <f t="shared" ref="EN45:EN77" si="206">IF($AB45="I","",IF($AA45="","",IF(EL45="","",EL45)))</f>
        <v/>
      </c>
      <c r="EO45" s="203" t="str">
        <f t="shared" si="58"/>
        <v>OK</v>
      </c>
      <c r="EP45" s="206" t="s">
        <v>386</v>
      </c>
      <c r="EQ45" s="230"/>
      <c r="ER45" s="183" t="str">
        <f t="shared" ref="ER45:ER77" si="207">IF($AB45="I","",IF($AA45="","",IF(EP45="","",EP45)))</f>
        <v/>
      </c>
      <c r="ES45" s="203" t="str">
        <f t="shared" si="60"/>
        <v>OK</v>
      </c>
      <c r="ET45" s="206" t="s">
        <v>386</v>
      </c>
      <c r="EU45" s="230"/>
      <c r="EV45" s="183" t="str">
        <f t="shared" ref="EV45:EV77" si="208">IF($AB45="I","",IF($AA45="","",IF(ET45="","",ET45)))</f>
        <v/>
      </c>
      <c r="EW45" s="203" t="str">
        <f t="shared" si="62"/>
        <v>OK</v>
      </c>
      <c r="EX45" s="206" t="s">
        <v>386</v>
      </c>
      <c r="EY45" s="230"/>
      <c r="EZ45" s="183" t="str">
        <f t="shared" ref="EZ45:EZ77" si="209">IF($AB45="I","",IF($AA45="","",IF(EX45="","",EX45)))</f>
        <v/>
      </c>
      <c r="FA45" s="203" t="str">
        <f t="shared" si="64"/>
        <v>OK</v>
      </c>
      <c r="FB45" s="206" t="s">
        <v>386</v>
      </c>
      <c r="FC45" s="230"/>
      <c r="FD45" s="183" t="str">
        <f t="shared" ref="FD45:FD77" si="210">IF($AB45="I","",IF($AA45="","",IF(FB45="","",FB45)))</f>
        <v/>
      </c>
      <c r="FE45" s="203" t="str">
        <f t="shared" si="66"/>
        <v>OK</v>
      </c>
      <c r="FF45" s="206" t="s">
        <v>386</v>
      </c>
      <c r="FG45" s="230"/>
      <c r="FH45" s="183" t="str">
        <f t="shared" ref="FH45:FH77" si="211">IF($AB45="I","",IF($AA45="","",IF(FF45="","",FF45)))</f>
        <v/>
      </c>
      <c r="FI45" s="203" t="str">
        <f t="shared" si="68"/>
        <v>OK</v>
      </c>
      <c r="FJ45" s="206" t="s">
        <v>386</v>
      </c>
      <c r="FK45" s="230"/>
      <c r="FL45" s="183" t="str">
        <f t="shared" ref="FL45:FL77" si="212">IF($AB45="I","",IF($AA45="","",IF(FJ45="","",FJ45)))</f>
        <v/>
      </c>
      <c r="FM45" s="203" t="str">
        <f t="shared" si="70"/>
        <v>OK</v>
      </c>
      <c r="FN45" s="206" t="s">
        <v>386</v>
      </c>
      <c r="FO45" s="230"/>
      <c r="FP45" s="183" t="str">
        <f t="shared" ref="FP45:FP77" si="213">IF($AB45="I","",IF($AA45="","",IF(FN45="","",FN45)))</f>
        <v/>
      </c>
      <c r="FQ45" s="203" t="str">
        <f t="shared" si="72"/>
        <v>OK</v>
      </c>
      <c r="FR45" s="206" t="s">
        <v>386</v>
      </c>
      <c r="FS45" s="230"/>
      <c r="FT45" s="183" t="str">
        <f t="shared" ref="FT45:FT77" si="214">IF($AB45="I","",IF($AA45="","",IF(FR45="","",FR45)))</f>
        <v/>
      </c>
      <c r="FU45" s="203" t="str">
        <f t="shared" si="74"/>
        <v>OK</v>
      </c>
      <c r="FV45" s="206" t="s">
        <v>386</v>
      </c>
      <c r="FW45" s="230"/>
      <c r="FX45" s="183" t="str">
        <f t="shared" ref="FX45:FX77" si="215">IF($AB45="I","",IF($AA45="","",IF(FV45="","",FV45)))</f>
        <v/>
      </c>
      <c r="FY45" s="203" t="str">
        <f t="shared" si="76"/>
        <v>OK</v>
      </c>
      <c r="FZ45" s="206" t="s">
        <v>386</v>
      </c>
      <c r="GA45" s="230"/>
      <c r="GB45" s="183" t="str">
        <f t="shared" ref="GB45:GB77" si="216">IF($AB45="I","",IF($AA45="","",IF(FZ45="","",FZ45)))</f>
        <v/>
      </c>
      <c r="GC45" s="203" t="str">
        <f t="shared" si="78"/>
        <v>OK</v>
      </c>
      <c r="GD45" s="206" t="s">
        <v>386</v>
      </c>
      <c r="GE45" s="230"/>
      <c r="GF45" s="183" t="str">
        <f t="shared" ref="GF45:GF77" si="217">IF($AB45="I","",IF($AA45="","",IF(GD45="","",GD45)))</f>
        <v/>
      </c>
      <c r="GG45" s="203" t="str">
        <f t="shared" si="80"/>
        <v>OK</v>
      </c>
      <c r="GH45" s="206" t="s">
        <v>386</v>
      </c>
      <c r="GI45" s="230"/>
      <c r="GJ45" s="183" t="str">
        <f t="shared" ref="GJ45:GJ77" si="218">IF($AB45="I","",IF($AA45="","",IF(GH45="","",GH45)))</f>
        <v/>
      </c>
      <c r="GK45" s="203" t="str">
        <f t="shared" si="82"/>
        <v>OK</v>
      </c>
      <c r="GL45" s="206" t="s">
        <v>386</v>
      </c>
      <c r="GM45" s="230"/>
      <c r="GN45" s="183" t="str">
        <f t="shared" ref="GN45:GN77" si="219">IF($AB45="I","",IF($AA45="","",IF(GL45="","",GL45)))</f>
        <v/>
      </c>
      <c r="GO45" s="203" t="str">
        <f t="shared" si="84"/>
        <v>OK</v>
      </c>
      <c r="GP45" s="206" t="s">
        <v>386</v>
      </c>
      <c r="GQ45" s="230"/>
      <c r="GR45" s="183" t="str">
        <f t="shared" ref="GR45:GR77" si="220">IF($AB45="I","",IF($AA45="","",IF(GP45="","",GP45)))</f>
        <v/>
      </c>
      <c r="GS45" s="203" t="str">
        <f t="shared" si="86"/>
        <v>OK</v>
      </c>
      <c r="GT45" s="202"/>
      <c r="GU45" s="202"/>
      <c r="GV45" s="201"/>
      <c r="GW45" s="201"/>
      <c r="GX45" s="201"/>
    </row>
    <row r="46" spans="1:206" ht="37.5">
      <c r="A46" s="200" t="s">
        <v>336</v>
      </c>
      <c r="B46" s="225">
        <f t="shared" si="130"/>
        <v>39</v>
      </c>
      <c r="C46" s="229"/>
      <c r="D46" s="229"/>
      <c r="E46" s="228"/>
      <c r="F46" s="228"/>
      <c r="G46" s="222" t="s">
        <v>385</v>
      </c>
      <c r="H46" s="220"/>
      <c r="I46" s="209"/>
      <c r="J46" s="217" t="s">
        <v>23</v>
      </c>
      <c r="K46" s="219"/>
      <c r="L46" s="219"/>
      <c r="M46" s="218" t="s">
        <v>384</v>
      </c>
      <c r="N46" s="217" t="s">
        <v>64</v>
      </c>
      <c r="O46" s="216"/>
      <c r="P46" s="212"/>
      <c r="Q46" s="212"/>
      <c r="R46" s="215"/>
      <c r="S46" s="214"/>
      <c r="T46" s="212"/>
      <c r="U46" s="213"/>
      <c r="V46" s="212"/>
      <c r="W46" s="211" t="str">
        <f t="shared" si="131"/>
        <v>4</v>
      </c>
      <c r="X46" s="210" t="s">
        <v>383</v>
      </c>
      <c r="Y46" s="210">
        <v>1</v>
      </c>
      <c r="Z46" s="210">
        <v>1</v>
      </c>
      <c r="AA46" s="209" t="s">
        <v>54</v>
      </c>
      <c r="AB46" s="209" t="s">
        <v>306</v>
      </c>
      <c r="AC46" s="207"/>
      <c r="AD46" s="231" t="s">
        <v>71</v>
      </c>
      <c r="AE46" s="230"/>
      <c r="AF46" s="183" t="str">
        <f t="shared" si="178"/>
        <v/>
      </c>
      <c r="AG46" s="203" t="str">
        <f t="shared" si="175"/>
        <v>OK</v>
      </c>
      <c r="AH46" s="231" t="s">
        <v>71</v>
      </c>
      <c r="AI46" s="230"/>
      <c r="AJ46" s="183" t="str">
        <f t="shared" si="179"/>
        <v/>
      </c>
      <c r="AK46" s="203" t="str">
        <f t="shared" si="176"/>
        <v>OK</v>
      </c>
      <c r="AL46" s="231" t="s">
        <v>71</v>
      </c>
      <c r="AM46" s="230"/>
      <c r="AN46" s="183" t="str">
        <f t="shared" si="180"/>
        <v/>
      </c>
      <c r="AO46" s="203" t="str">
        <f t="shared" si="177"/>
        <v>OK</v>
      </c>
      <c r="AP46" s="231" t="s">
        <v>71</v>
      </c>
      <c r="AQ46" s="230"/>
      <c r="AR46" s="183" t="str">
        <f t="shared" si="181"/>
        <v/>
      </c>
      <c r="AS46" s="203" t="str">
        <f t="shared" si="8"/>
        <v>OK</v>
      </c>
      <c r="AT46" s="231" t="s">
        <v>71</v>
      </c>
      <c r="AU46" s="230"/>
      <c r="AV46" s="183" t="str">
        <f t="shared" si="182"/>
        <v/>
      </c>
      <c r="AW46" s="203" t="str">
        <f t="shared" si="10"/>
        <v>OK</v>
      </c>
      <c r="AX46" s="231" t="s">
        <v>71</v>
      </c>
      <c r="AY46" s="230"/>
      <c r="AZ46" s="183" t="str">
        <f t="shared" si="183"/>
        <v/>
      </c>
      <c r="BA46" s="203" t="str">
        <f t="shared" si="12"/>
        <v>OK</v>
      </c>
      <c r="BB46" s="231" t="s">
        <v>71</v>
      </c>
      <c r="BC46" s="230"/>
      <c r="BD46" s="183" t="str">
        <f t="shared" si="184"/>
        <v/>
      </c>
      <c r="BE46" s="203" t="str">
        <f t="shared" si="14"/>
        <v>OK</v>
      </c>
      <c r="BF46" s="231" t="s">
        <v>71</v>
      </c>
      <c r="BG46" s="230"/>
      <c r="BH46" s="183" t="str">
        <f t="shared" si="185"/>
        <v/>
      </c>
      <c r="BI46" s="203" t="str">
        <f t="shared" si="16"/>
        <v>OK</v>
      </c>
      <c r="BJ46" s="231" t="s">
        <v>71</v>
      </c>
      <c r="BK46" s="230"/>
      <c r="BL46" s="183" t="str">
        <f t="shared" si="186"/>
        <v/>
      </c>
      <c r="BM46" s="203" t="str">
        <f t="shared" si="18"/>
        <v>OK</v>
      </c>
      <c r="BN46" s="231" t="s">
        <v>71</v>
      </c>
      <c r="BO46" s="230"/>
      <c r="BP46" s="183" t="str">
        <f t="shared" si="187"/>
        <v/>
      </c>
      <c r="BQ46" s="203" t="str">
        <f t="shared" si="20"/>
        <v>OK</v>
      </c>
      <c r="BR46" s="231" t="s">
        <v>71</v>
      </c>
      <c r="BS46" s="230"/>
      <c r="BT46" s="183" t="str">
        <f t="shared" si="188"/>
        <v/>
      </c>
      <c r="BU46" s="203" t="str">
        <f t="shared" si="22"/>
        <v>OK</v>
      </c>
      <c r="BV46" s="231" t="s">
        <v>71</v>
      </c>
      <c r="BW46" s="230"/>
      <c r="BX46" s="183" t="str">
        <f t="shared" si="189"/>
        <v/>
      </c>
      <c r="BY46" s="203" t="str">
        <f t="shared" si="24"/>
        <v>OK</v>
      </c>
      <c r="BZ46" s="231" t="s">
        <v>71</v>
      </c>
      <c r="CA46" s="230"/>
      <c r="CB46" s="183" t="str">
        <f t="shared" si="190"/>
        <v/>
      </c>
      <c r="CC46" s="203" t="str">
        <f t="shared" si="26"/>
        <v>OK</v>
      </c>
      <c r="CD46" s="231" t="s">
        <v>71</v>
      </c>
      <c r="CE46" s="230"/>
      <c r="CF46" s="183" t="str">
        <f t="shared" si="191"/>
        <v/>
      </c>
      <c r="CG46" s="203" t="str">
        <f t="shared" si="28"/>
        <v>OK</v>
      </c>
      <c r="CH46" s="231" t="s">
        <v>71</v>
      </c>
      <c r="CI46" s="230"/>
      <c r="CJ46" s="183" t="str">
        <f t="shared" si="192"/>
        <v/>
      </c>
      <c r="CK46" s="203" t="str">
        <f t="shared" si="30"/>
        <v>OK</v>
      </c>
      <c r="CL46" s="231" t="s">
        <v>71</v>
      </c>
      <c r="CM46" s="230"/>
      <c r="CN46" s="183" t="str">
        <f t="shared" si="193"/>
        <v/>
      </c>
      <c r="CO46" s="203" t="str">
        <f t="shared" si="32"/>
        <v>OK</v>
      </c>
      <c r="CP46" s="231" t="s">
        <v>71</v>
      </c>
      <c r="CQ46" s="230"/>
      <c r="CR46" s="183" t="str">
        <f t="shared" si="194"/>
        <v/>
      </c>
      <c r="CS46" s="203" t="str">
        <f t="shared" si="34"/>
        <v>OK</v>
      </c>
      <c r="CT46" s="231" t="s">
        <v>71</v>
      </c>
      <c r="CU46" s="230"/>
      <c r="CV46" s="183" t="str">
        <f t="shared" si="195"/>
        <v/>
      </c>
      <c r="CW46" s="203" t="str">
        <f t="shared" si="36"/>
        <v>OK</v>
      </c>
      <c r="CX46" s="231" t="s">
        <v>71</v>
      </c>
      <c r="CY46" s="230"/>
      <c r="CZ46" s="183" t="str">
        <f t="shared" si="196"/>
        <v/>
      </c>
      <c r="DA46" s="203" t="str">
        <f t="shared" si="38"/>
        <v>OK</v>
      </c>
      <c r="DB46" s="231" t="s">
        <v>71</v>
      </c>
      <c r="DC46" s="230"/>
      <c r="DD46" s="183" t="str">
        <f t="shared" si="197"/>
        <v/>
      </c>
      <c r="DE46" s="203" t="str">
        <f t="shared" si="40"/>
        <v>OK</v>
      </c>
      <c r="DF46" s="231" t="s">
        <v>71</v>
      </c>
      <c r="DG46" s="230"/>
      <c r="DH46" s="183" t="str">
        <f t="shared" si="198"/>
        <v/>
      </c>
      <c r="DI46" s="203" t="str">
        <f t="shared" si="42"/>
        <v>OK</v>
      </c>
      <c r="DJ46" s="231" t="s">
        <v>71</v>
      </c>
      <c r="DK46" s="230"/>
      <c r="DL46" s="183" t="str">
        <f t="shared" si="199"/>
        <v/>
      </c>
      <c r="DM46" s="203" t="str">
        <f t="shared" si="44"/>
        <v>OK</v>
      </c>
      <c r="DN46" s="231" t="s">
        <v>71</v>
      </c>
      <c r="DO46" s="230"/>
      <c r="DP46" s="183" t="str">
        <f t="shared" si="200"/>
        <v/>
      </c>
      <c r="DQ46" s="203" t="str">
        <f t="shared" si="46"/>
        <v>OK</v>
      </c>
      <c r="DR46" s="231" t="s">
        <v>71</v>
      </c>
      <c r="DS46" s="230"/>
      <c r="DT46" s="183" t="str">
        <f t="shared" si="201"/>
        <v/>
      </c>
      <c r="DU46" s="203" t="str">
        <f t="shared" si="48"/>
        <v>OK</v>
      </c>
      <c r="DV46" s="231" t="s">
        <v>71</v>
      </c>
      <c r="DW46" s="230"/>
      <c r="DX46" s="183" t="str">
        <f t="shared" si="202"/>
        <v/>
      </c>
      <c r="DY46" s="203" t="str">
        <f t="shared" si="50"/>
        <v>OK</v>
      </c>
      <c r="DZ46" s="231" t="s">
        <v>71</v>
      </c>
      <c r="EA46" s="230"/>
      <c r="EB46" s="183" t="str">
        <f t="shared" si="203"/>
        <v/>
      </c>
      <c r="EC46" s="203" t="str">
        <f t="shared" si="52"/>
        <v>OK</v>
      </c>
      <c r="ED46" s="231" t="s">
        <v>71</v>
      </c>
      <c r="EE46" s="230"/>
      <c r="EF46" s="183" t="str">
        <f t="shared" si="204"/>
        <v/>
      </c>
      <c r="EG46" s="203" t="str">
        <f t="shared" si="54"/>
        <v>OK</v>
      </c>
      <c r="EH46" s="231" t="s">
        <v>71</v>
      </c>
      <c r="EI46" s="230"/>
      <c r="EJ46" s="183" t="str">
        <f t="shared" si="205"/>
        <v/>
      </c>
      <c r="EK46" s="203" t="str">
        <f t="shared" si="56"/>
        <v>OK</v>
      </c>
      <c r="EL46" s="231" t="s">
        <v>71</v>
      </c>
      <c r="EM46" s="230"/>
      <c r="EN46" s="183" t="str">
        <f t="shared" si="206"/>
        <v/>
      </c>
      <c r="EO46" s="203" t="str">
        <f t="shared" si="58"/>
        <v>OK</v>
      </c>
      <c r="EP46" s="231" t="s">
        <v>71</v>
      </c>
      <c r="EQ46" s="230"/>
      <c r="ER46" s="183" t="str">
        <f t="shared" si="207"/>
        <v/>
      </c>
      <c r="ES46" s="203" t="str">
        <f t="shared" si="60"/>
        <v>OK</v>
      </c>
      <c r="ET46" s="231" t="s">
        <v>71</v>
      </c>
      <c r="EU46" s="230"/>
      <c r="EV46" s="183" t="str">
        <f t="shared" si="208"/>
        <v/>
      </c>
      <c r="EW46" s="203" t="str">
        <f t="shared" si="62"/>
        <v>OK</v>
      </c>
      <c r="EX46" s="231" t="s">
        <v>71</v>
      </c>
      <c r="EY46" s="230"/>
      <c r="EZ46" s="183" t="str">
        <f t="shared" si="209"/>
        <v/>
      </c>
      <c r="FA46" s="203" t="str">
        <f t="shared" si="64"/>
        <v>OK</v>
      </c>
      <c r="FB46" s="231" t="s">
        <v>71</v>
      </c>
      <c r="FC46" s="230"/>
      <c r="FD46" s="183" t="str">
        <f t="shared" si="210"/>
        <v/>
      </c>
      <c r="FE46" s="203" t="str">
        <f t="shared" si="66"/>
        <v>OK</v>
      </c>
      <c r="FF46" s="231" t="s">
        <v>71</v>
      </c>
      <c r="FG46" s="230"/>
      <c r="FH46" s="183" t="str">
        <f t="shared" si="211"/>
        <v/>
      </c>
      <c r="FI46" s="203" t="str">
        <f t="shared" si="68"/>
        <v>OK</v>
      </c>
      <c r="FJ46" s="231" t="s">
        <v>71</v>
      </c>
      <c r="FK46" s="230"/>
      <c r="FL46" s="183" t="str">
        <f t="shared" si="212"/>
        <v/>
      </c>
      <c r="FM46" s="203" t="str">
        <f t="shared" si="70"/>
        <v>OK</v>
      </c>
      <c r="FN46" s="231" t="s">
        <v>71</v>
      </c>
      <c r="FO46" s="230"/>
      <c r="FP46" s="183" t="str">
        <f t="shared" si="213"/>
        <v/>
      </c>
      <c r="FQ46" s="203" t="str">
        <f t="shared" si="72"/>
        <v>OK</v>
      </c>
      <c r="FR46" s="231" t="s">
        <v>71</v>
      </c>
      <c r="FS46" s="230"/>
      <c r="FT46" s="183" t="str">
        <f t="shared" si="214"/>
        <v/>
      </c>
      <c r="FU46" s="203" t="str">
        <f t="shared" si="74"/>
        <v>OK</v>
      </c>
      <c r="FV46" s="231" t="s">
        <v>71</v>
      </c>
      <c r="FW46" s="230"/>
      <c r="FX46" s="183" t="str">
        <f t="shared" si="215"/>
        <v/>
      </c>
      <c r="FY46" s="203" t="str">
        <f t="shared" si="76"/>
        <v>OK</v>
      </c>
      <c r="FZ46" s="231" t="s">
        <v>71</v>
      </c>
      <c r="GA46" s="230"/>
      <c r="GB46" s="183" t="str">
        <f t="shared" si="216"/>
        <v/>
      </c>
      <c r="GC46" s="203" t="str">
        <f t="shared" si="78"/>
        <v>OK</v>
      </c>
      <c r="GD46" s="231" t="s">
        <v>71</v>
      </c>
      <c r="GE46" s="230"/>
      <c r="GF46" s="183" t="str">
        <f t="shared" si="217"/>
        <v/>
      </c>
      <c r="GG46" s="203" t="str">
        <f t="shared" si="80"/>
        <v>OK</v>
      </c>
      <c r="GH46" s="231" t="s">
        <v>71</v>
      </c>
      <c r="GI46" s="230"/>
      <c r="GJ46" s="183" t="str">
        <f t="shared" si="218"/>
        <v/>
      </c>
      <c r="GK46" s="203" t="str">
        <f t="shared" si="82"/>
        <v>OK</v>
      </c>
      <c r="GL46" s="231" t="s">
        <v>71</v>
      </c>
      <c r="GM46" s="230"/>
      <c r="GN46" s="183" t="str">
        <f t="shared" si="219"/>
        <v/>
      </c>
      <c r="GO46" s="203" t="str">
        <f t="shared" si="84"/>
        <v>OK</v>
      </c>
      <c r="GP46" s="231" t="s">
        <v>71</v>
      </c>
      <c r="GQ46" s="230"/>
      <c r="GR46" s="183" t="str">
        <f t="shared" si="220"/>
        <v/>
      </c>
      <c r="GS46" s="203" t="str">
        <f t="shared" si="86"/>
        <v>OK</v>
      </c>
      <c r="GT46" s="202"/>
      <c r="GU46" s="202"/>
      <c r="GV46" s="201"/>
      <c r="GW46" s="201"/>
      <c r="GX46" s="201"/>
    </row>
    <row r="47" spans="1:206" ht="39">
      <c r="A47" s="200" t="s">
        <v>59</v>
      </c>
      <c r="B47" s="225">
        <f t="shared" si="130"/>
        <v>40</v>
      </c>
      <c r="C47" s="249"/>
      <c r="D47" s="249"/>
      <c r="E47" s="248"/>
      <c r="F47" s="247"/>
      <c r="G47" s="246" t="s">
        <v>382</v>
      </c>
      <c r="H47" s="245"/>
      <c r="I47" s="238"/>
      <c r="J47" s="244" t="s">
        <v>23</v>
      </c>
      <c r="K47" s="243"/>
      <c r="L47" s="243"/>
      <c r="M47" s="242" t="s">
        <v>381</v>
      </c>
      <c r="N47" s="241" t="s">
        <v>64</v>
      </c>
      <c r="O47" s="240"/>
      <c r="P47" s="212"/>
      <c r="Q47" s="212"/>
      <c r="R47" s="215"/>
      <c r="S47" s="214"/>
      <c r="T47" s="212"/>
      <c r="U47" s="213"/>
      <c r="V47" s="212"/>
      <c r="W47" s="211" t="str">
        <f t="shared" si="131"/>
        <v>4</v>
      </c>
      <c r="X47" s="239" t="s">
        <v>380</v>
      </c>
      <c r="Y47" s="239">
        <v>1</v>
      </c>
      <c r="Z47" s="239">
        <v>1</v>
      </c>
      <c r="AA47" s="238" t="s">
        <v>54</v>
      </c>
      <c r="AB47" s="238" t="s">
        <v>306</v>
      </c>
      <c r="AC47" s="237"/>
      <c r="AD47" s="231" t="s">
        <v>57</v>
      </c>
      <c r="AE47" s="230"/>
      <c r="AF47" s="183" t="str">
        <f t="shared" si="178"/>
        <v/>
      </c>
      <c r="AG47" s="203" t="str">
        <f t="shared" si="175"/>
        <v>OK</v>
      </c>
      <c r="AH47" s="231" t="s">
        <v>57</v>
      </c>
      <c r="AI47" s="230"/>
      <c r="AJ47" s="183" t="str">
        <f t="shared" si="179"/>
        <v/>
      </c>
      <c r="AK47" s="203" t="str">
        <f t="shared" si="176"/>
        <v>OK</v>
      </c>
      <c r="AL47" s="231" t="s">
        <v>57</v>
      </c>
      <c r="AM47" s="230"/>
      <c r="AN47" s="183" t="str">
        <f t="shared" si="180"/>
        <v/>
      </c>
      <c r="AO47" s="203" t="str">
        <f t="shared" si="177"/>
        <v>OK</v>
      </c>
      <c r="AP47" s="231" t="s">
        <v>57</v>
      </c>
      <c r="AQ47" s="230"/>
      <c r="AR47" s="183" t="str">
        <f t="shared" si="181"/>
        <v/>
      </c>
      <c r="AS47" s="203" t="str">
        <f t="shared" si="8"/>
        <v>OK</v>
      </c>
      <c r="AT47" s="231" t="s">
        <v>57</v>
      </c>
      <c r="AU47" s="230"/>
      <c r="AV47" s="183" t="str">
        <f t="shared" si="182"/>
        <v/>
      </c>
      <c r="AW47" s="203" t="str">
        <f t="shared" si="10"/>
        <v>OK</v>
      </c>
      <c r="AX47" s="231" t="s">
        <v>57</v>
      </c>
      <c r="AY47" s="230"/>
      <c r="AZ47" s="183" t="str">
        <f t="shared" si="183"/>
        <v/>
      </c>
      <c r="BA47" s="203" t="str">
        <f t="shared" si="12"/>
        <v>OK</v>
      </c>
      <c r="BB47" s="231" t="s">
        <v>57</v>
      </c>
      <c r="BC47" s="230"/>
      <c r="BD47" s="183" t="str">
        <f t="shared" si="184"/>
        <v/>
      </c>
      <c r="BE47" s="203" t="str">
        <f t="shared" si="14"/>
        <v>OK</v>
      </c>
      <c r="BF47" s="231" t="s">
        <v>57</v>
      </c>
      <c r="BG47" s="230"/>
      <c r="BH47" s="183" t="str">
        <f t="shared" si="185"/>
        <v/>
      </c>
      <c r="BI47" s="203" t="str">
        <f t="shared" si="16"/>
        <v>OK</v>
      </c>
      <c r="BJ47" s="231" t="s">
        <v>57</v>
      </c>
      <c r="BK47" s="230"/>
      <c r="BL47" s="183" t="str">
        <f t="shared" si="186"/>
        <v/>
      </c>
      <c r="BM47" s="203" t="str">
        <f t="shared" si="18"/>
        <v>OK</v>
      </c>
      <c r="BN47" s="231" t="s">
        <v>57</v>
      </c>
      <c r="BO47" s="230"/>
      <c r="BP47" s="183" t="str">
        <f t="shared" si="187"/>
        <v/>
      </c>
      <c r="BQ47" s="203" t="str">
        <f t="shared" si="20"/>
        <v>OK</v>
      </c>
      <c r="BR47" s="231" t="s">
        <v>57</v>
      </c>
      <c r="BS47" s="230"/>
      <c r="BT47" s="183" t="str">
        <f t="shared" si="188"/>
        <v/>
      </c>
      <c r="BU47" s="203" t="str">
        <f t="shared" si="22"/>
        <v>OK</v>
      </c>
      <c r="BV47" s="231" t="s">
        <v>57</v>
      </c>
      <c r="BW47" s="230"/>
      <c r="BX47" s="183" t="str">
        <f t="shared" si="189"/>
        <v/>
      </c>
      <c r="BY47" s="203" t="str">
        <f t="shared" si="24"/>
        <v>OK</v>
      </c>
      <c r="BZ47" s="231" t="s">
        <v>57</v>
      </c>
      <c r="CA47" s="230"/>
      <c r="CB47" s="183" t="str">
        <f t="shared" si="190"/>
        <v/>
      </c>
      <c r="CC47" s="203" t="str">
        <f t="shared" si="26"/>
        <v>OK</v>
      </c>
      <c r="CD47" s="231" t="s">
        <v>57</v>
      </c>
      <c r="CE47" s="230"/>
      <c r="CF47" s="183" t="str">
        <f t="shared" si="191"/>
        <v/>
      </c>
      <c r="CG47" s="203" t="str">
        <f t="shared" si="28"/>
        <v>OK</v>
      </c>
      <c r="CH47" s="231" t="s">
        <v>57</v>
      </c>
      <c r="CI47" s="230"/>
      <c r="CJ47" s="183" t="str">
        <f t="shared" si="192"/>
        <v/>
      </c>
      <c r="CK47" s="203" t="str">
        <f t="shared" si="30"/>
        <v>OK</v>
      </c>
      <c r="CL47" s="231" t="s">
        <v>57</v>
      </c>
      <c r="CM47" s="230"/>
      <c r="CN47" s="183" t="str">
        <f t="shared" si="193"/>
        <v/>
      </c>
      <c r="CO47" s="203" t="str">
        <f t="shared" si="32"/>
        <v>OK</v>
      </c>
      <c r="CP47" s="231" t="s">
        <v>57</v>
      </c>
      <c r="CQ47" s="230"/>
      <c r="CR47" s="183" t="str">
        <f t="shared" si="194"/>
        <v/>
      </c>
      <c r="CS47" s="203" t="str">
        <f t="shared" si="34"/>
        <v>OK</v>
      </c>
      <c r="CT47" s="231" t="s">
        <v>57</v>
      </c>
      <c r="CU47" s="230"/>
      <c r="CV47" s="183" t="str">
        <f t="shared" si="195"/>
        <v/>
      </c>
      <c r="CW47" s="203" t="str">
        <f t="shared" si="36"/>
        <v>OK</v>
      </c>
      <c r="CX47" s="231" t="s">
        <v>57</v>
      </c>
      <c r="CY47" s="230"/>
      <c r="CZ47" s="183" t="str">
        <f t="shared" si="196"/>
        <v/>
      </c>
      <c r="DA47" s="203" t="str">
        <f t="shared" si="38"/>
        <v>OK</v>
      </c>
      <c r="DB47" s="231" t="s">
        <v>57</v>
      </c>
      <c r="DC47" s="230"/>
      <c r="DD47" s="183" t="str">
        <f t="shared" si="197"/>
        <v/>
      </c>
      <c r="DE47" s="203" t="str">
        <f t="shared" si="40"/>
        <v>OK</v>
      </c>
      <c r="DF47" s="231" t="s">
        <v>57</v>
      </c>
      <c r="DG47" s="230"/>
      <c r="DH47" s="183" t="str">
        <f t="shared" si="198"/>
        <v/>
      </c>
      <c r="DI47" s="203" t="str">
        <f t="shared" si="42"/>
        <v>OK</v>
      </c>
      <c r="DJ47" s="231" t="s">
        <v>57</v>
      </c>
      <c r="DK47" s="230"/>
      <c r="DL47" s="183" t="str">
        <f t="shared" si="199"/>
        <v/>
      </c>
      <c r="DM47" s="203" t="str">
        <f t="shared" si="44"/>
        <v>OK</v>
      </c>
      <c r="DN47" s="231" t="s">
        <v>57</v>
      </c>
      <c r="DO47" s="230"/>
      <c r="DP47" s="183" t="str">
        <f t="shared" si="200"/>
        <v/>
      </c>
      <c r="DQ47" s="203" t="str">
        <f t="shared" si="46"/>
        <v>OK</v>
      </c>
      <c r="DR47" s="231" t="s">
        <v>57</v>
      </c>
      <c r="DS47" s="230"/>
      <c r="DT47" s="183" t="str">
        <f t="shared" si="201"/>
        <v/>
      </c>
      <c r="DU47" s="203" t="str">
        <f t="shared" si="48"/>
        <v>OK</v>
      </c>
      <c r="DV47" s="231" t="s">
        <v>57</v>
      </c>
      <c r="DW47" s="230"/>
      <c r="DX47" s="183" t="str">
        <f t="shared" si="202"/>
        <v/>
      </c>
      <c r="DY47" s="203" t="str">
        <f t="shared" si="50"/>
        <v>OK</v>
      </c>
      <c r="DZ47" s="231" t="s">
        <v>57</v>
      </c>
      <c r="EA47" s="230"/>
      <c r="EB47" s="183" t="str">
        <f t="shared" si="203"/>
        <v/>
      </c>
      <c r="EC47" s="203" t="str">
        <f t="shared" si="52"/>
        <v>OK</v>
      </c>
      <c r="ED47" s="231" t="s">
        <v>57</v>
      </c>
      <c r="EE47" s="230"/>
      <c r="EF47" s="183" t="str">
        <f t="shared" si="204"/>
        <v/>
      </c>
      <c r="EG47" s="203" t="str">
        <f t="shared" si="54"/>
        <v>OK</v>
      </c>
      <c r="EH47" s="231" t="s">
        <v>57</v>
      </c>
      <c r="EI47" s="230"/>
      <c r="EJ47" s="183" t="str">
        <f t="shared" si="205"/>
        <v/>
      </c>
      <c r="EK47" s="203" t="str">
        <f t="shared" si="56"/>
        <v>OK</v>
      </c>
      <c r="EL47" s="231" t="s">
        <v>57</v>
      </c>
      <c r="EM47" s="230"/>
      <c r="EN47" s="183" t="str">
        <f t="shared" si="206"/>
        <v/>
      </c>
      <c r="EO47" s="203" t="str">
        <f t="shared" si="58"/>
        <v>OK</v>
      </c>
      <c r="EP47" s="231" t="s">
        <v>57</v>
      </c>
      <c r="EQ47" s="230"/>
      <c r="ER47" s="183" t="str">
        <f t="shared" si="207"/>
        <v/>
      </c>
      <c r="ES47" s="203" t="str">
        <f t="shared" si="60"/>
        <v>OK</v>
      </c>
      <c r="ET47" s="231" t="s">
        <v>57</v>
      </c>
      <c r="EU47" s="230"/>
      <c r="EV47" s="183" t="str">
        <f t="shared" si="208"/>
        <v/>
      </c>
      <c r="EW47" s="203" t="str">
        <f t="shared" si="62"/>
        <v>OK</v>
      </c>
      <c r="EX47" s="231" t="s">
        <v>57</v>
      </c>
      <c r="EY47" s="230"/>
      <c r="EZ47" s="183" t="str">
        <f t="shared" si="209"/>
        <v/>
      </c>
      <c r="FA47" s="203" t="str">
        <f t="shared" si="64"/>
        <v>OK</v>
      </c>
      <c r="FB47" s="231" t="s">
        <v>57</v>
      </c>
      <c r="FC47" s="230"/>
      <c r="FD47" s="183" t="str">
        <f t="shared" si="210"/>
        <v/>
      </c>
      <c r="FE47" s="203" t="str">
        <f t="shared" si="66"/>
        <v>OK</v>
      </c>
      <c r="FF47" s="231" t="s">
        <v>57</v>
      </c>
      <c r="FG47" s="230"/>
      <c r="FH47" s="183" t="str">
        <f t="shared" si="211"/>
        <v/>
      </c>
      <c r="FI47" s="203" t="str">
        <f t="shared" si="68"/>
        <v>OK</v>
      </c>
      <c r="FJ47" s="231" t="s">
        <v>57</v>
      </c>
      <c r="FK47" s="230"/>
      <c r="FL47" s="183" t="str">
        <f t="shared" si="212"/>
        <v/>
      </c>
      <c r="FM47" s="203" t="str">
        <f t="shared" si="70"/>
        <v>OK</v>
      </c>
      <c r="FN47" s="231" t="s">
        <v>57</v>
      </c>
      <c r="FO47" s="230"/>
      <c r="FP47" s="183" t="str">
        <f t="shared" si="213"/>
        <v/>
      </c>
      <c r="FQ47" s="203" t="str">
        <f t="shared" si="72"/>
        <v>OK</v>
      </c>
      <c r="FR47" s="231" t="s">
        <v>57</v>
      </c>
      <c r="FS47" s="230"/>
      <c r="FT47" s="183" t="str">
        <f t="shared" si="214"/>
        <v/>
      </c>
      <c r="FU47" s="203" t="str">
        <f t="shared" si="74"/>
        <v>OK</v>
      </c>
      <c r="FV47" s="231" t="s">
        <v>57</v>
      </c>
      <c r="FW47" s="230"/>
      <c r="FX47" s="183" t="str">
        <f t="shared" si="215"/>
        <v/>
      </c>
      <c r="FY47" s="203" t="str">
        <f t="shared" si="76"/>
        <v>OK</v>
      </c>
      <c r="FZ47" s="231" t="s">
        <v>57</v>
      </c>
      <c r="GA47" s="230"/>
      <c r="GB47" s="183" t="str">
        <f t="shared" si="216"/>
        <v/>
      </c>
      <c r="GC47" s="203" t="str">
        <f t="shared" si="78"/>
        <v>OK</v>
      </c>
      <c r="GD47" s="231" t="s">
        <v>57</v>
      </c>
      <c r="GE47" s="230"/>
      <c r="GF47" s="183" t="str">
        <f t="shared" si="217"/>
        <v/>
      </c>
      <c r="GG47" s="203" t="str">
        <f t="shared" si="80"/>
        <v>OK</v>
      </c>
      <c r="GH47" s="231" t="s">
        <v>57</v>
      </c>
      <c r="GI47" s="230"/>
      <c r="GJ47" s="183" t="str">
        <f t="shared" si="218"/>
        <v/>
      </c>
      <c r="GK47" s="203" t="str">
        <f t="shared" si="82"/>
        <v>OK</v>
      </c>
      <c r="GL47" s="231" t="s">
        <v>57</v>
      </c>
      <c r="GM47" s="230"/>
      <c r="GN47" s="183" t="str">
        <f t="shared" si="219"/>
        <v/>
      </c>
      <c r="GO47" s="203" t="str">
        <f t="shared" si="84"/>
        <v>OK</v>
      </c>
      <c r="GP47" s="231" t="s">
        <v>57</v>
      </c>
      <c r="GQ47" s="230"/>
      <c r="GR47" s="183" t="str">
        <f t="shared" si="220"/>
        <v/>
      </c>
      <c r="GS47" s="203" t="str">
        <f t="shared" si="86"/>
        <v>OK</v>
      </c>
      <c r="GT47" s="202"/>
      <c r="GU47" s="202"/>
      <c r="GV47" s="201"/>
      <c r="GW47" s="201"/>
      <c r="GX47" s="201"/>
    </row>
    <row r="48" spans="1:206">
      <c r="A48" s="200" t="s">
        <v>59</v>
      </c>
      <c r="B48" s="225">
        <f t="shared" si="130"/>
        <v>41</v>
      </c>
      <c r="C48" s="229"/>
      <c r="D48" s="229"/>
      <c r="E48" s="228"/>
      <c r="F48" s="234" t="s">
        <v>379</v>
      </c>
      <c r="G48" s="233"/>
      <c r="H48" s="232"/>
      <c r="I48" s="209"/>
      <c r="J48" s="217" t="s">
        <v>61</v>
      </c>
      <c r="K48" s="219"/>
      <c r="L48" s="219"/>
      <c r="M48" s="218"/>
      <c r="N48" s="217"/>
      <c r="O48" s="216"/>
      <c r="P48" s="212"/>
      <c r="Q48" s="212"/>
      <c r="R48" s="215"/>
      <c r="S48" s="214"/>
      <c r="T48" s="212"/>
      <c r="U48" s="213"/>
      <c r="V48" s="212"/>
      <c r="W48" s="211" t="str">
        <f t="shared" si="131"/>
        <v>3</v>
      </c>
      <c r="X48" s="210" t="s">
        <v>378</v>
      </c>
      <c r="Y48" s="210"/>
      <c r="Z48" s="210"/>
      <c r="AA48" s="209"/>
      <c r="AB48" s="209" t="s">
        <v>306</v>
      </c>
      <c r="AC48" s="207"/>
      <c r="AD48" s="226"/>
      <c r="AE48" s="230"/>
      <c r="AF48" s="183" t="str">
        <f t="shared" si="178"/>
        <v/>
      </c>
      <c r="AG48" s="203" t="str">
        <f t="shared" si="175"/>
        <v>OK</v>
      </c>
      <c r="AH48" s="226"/>
      <c r="AI48" s="230"/>
      <c r="AJ48" s="183" t="str">
        <f t="shared" si="179"/>
        <v/>
      </c>
      <c r="AK48" s="203" t="str">
        <f t="shared" si="176"/>
        <v>OK</v>
      </c>
      <c r="AL48" s="226"/>
      <c r="AM48" s="230"/>
      <c r="AN48" s="183" t="str">
        <f t="shared" si="180"/>
        <v/>
      </c>
      <c r="AO48" s="203" t="str">
        <f t="shared" si="177"/>
        <v>OK</v>
      </c>
      <c r="AP48" s="226"/>
      <c r="AQ48" s="230"/>
      <c r="AR48" s="183" t="str">
        <f t="shared" si="181"/>
        <v/>
      </c>
      <c r="AS48" s="203" t="str">
        <f t="shared" si="8"/>
        <v>OK</v>
      </c>
      <c r="AT48" s="226"/>
      <c r="AU48" s="230"/>
      <c r="AV48" s="183" t="str">
        <f t="shared" si="182"/>
        <v/>
      </c>
      <c r="AW48" s="203" t="str">
        <f t="shared" si="10"/>
        <v>OK</v>
      </c>
      <c r="AX48" s="226"/>
      <c r="AY48" s="230"/>
      <c r="AZ48" s="183" t="str">
        <f t="shared" si="183"/>
        <v/>
      </c>
      <c r="BA48" s="203" t="str">
        <f t="shared" si="12"/>
        <v>OK</v>
      </c>
      <c r="BB48" s="226"/>
      <c r="BC48" s="230"/>
      <c r="BD48" s="183" t="str">
        <f t="shared" si="184"/>
        <v/>
      </c>
      <c r="BE48" s="203" t="str">
        <f t="shared" si="14"/>
        <v>OK</v>
      </c>
      <c r="BF48" s="226"/>
      <c r="BG48" s="230"/>
      <c r="BH48" s="183" t="str">
        <f t="shared" si="185"/>
        <v/>
      </c>
      <c r="BI48" s="203" t="str">
        <f t="shared" si="16"/>
        <v>OK</v>
      </c>
      <c r="BJ48" s="226"/>
      <c r="BK48" s="230"/>
      <c r="BL48" s="183" t="str">
        <f t="shared" si="186"/>
        <v/>
      </c>
      <c r="BM48" s="203" t="str">
        <f t="shared" si="18"/>
        <v>OK</v>
      </c>
      <c r="BN48" s="226"/>
      <c r="BO48" s="230"/>
      <c r="BP48" s="183" t="str">
        <f t="shared" si="187"/>
        <v/>
      </c>
      <c r="BQ48" s="203" t="str">
        <f t="shared" si="20"/>
        <v>OK</v>
      </c>
      <c r="BR48" s="226"/>
      <c r="BS48" s="230"/>
      <c r="BT48" s="183" t="str">
        <f t="shared" si="188"/>
        <v/>
      </c>
      <c r="BU48" s="203" t="str">
        <f t="shared" si="22"/>
        <v>OK</v>
      </c>
      <c r="BV48" s="226"/>
      <c r="BW48" s="230"/>
      <c r="BX48" s="183" t="str">
        <f t="shared" si="189"/>
        <v/>
      </c>
      <c r="BY48" s="203" t="str">
        <f t="shared" si="24"/>
        <v>OK</v>
      </c>
      <c r="BZ48" s="226"/>
      <c r="CA48" s="230"/>
      <c r="CB48" s="183" t="str">
        <f t="shared" si="190"/>
        <v/>
      </c>
      <c r="CC48" s="203" t="str">
        <f t="shared" si="26"/>
        <v>OK</v>
      </c>
      <c r="CD48" s="226"/>
      <c r="CE48" s="230"/>
      <c r="CF48" s="183" t="str">
        <f t="shared" si="191"/>
        <v/>
      </c>
      <c r="CG48" s="203" t="str">
        <f t="shared" si="28"/>
        <v>OK</v>
      </c>
      <c r="CH48" s="226"/>
      <c r="CI48" s="230"/>
      <c r="CJ48" s="183" t="str">
        <f t="shared" si="192"/>
        <v/>
      </c>
      <c r="CK48" s="203" t="str">
        <f t="shared" si="30"/>
        <v>OK</v>
      </c>
      <c r="CL48" s="226"/>
      <c r="CM48" s="230"/>
      <c r="CN48" s="183" t="str">
        <f t="shared" si="193"/>
        <v/>
      </c>
      <c r="CO48" s="203" t="str">
        <f t="shared" si="32"/>
        <v>OK</v>
      </c>
      <c r="CP48" s="226"/>
      <c r="CQ48" s="230"/>
      <c r="CR48" s="183" t="str">
        <f t="shared" si="194"/>
        <v/>
      </c>
      <c r="CS48" s="203" t="str">
        <f t="shared" si="34"/>
        <v>OK</v>
      </c>
      <c r="CT48" s="226"/>
      <c r="CU48" s="230"/>
      <c r="CV48" s="183" t="str">
        <f t="shared" si="195"/>
        <v/>
      </c>
      <c r="CW48" s="203" t="str">
        <f t="shared" si="36"/>
        <v>OK</v>
      </c>
      <c r="CX48" s="226"/>
      <c r="CY48" s="230"/>
      <c r="CZ48" s="183" t="str">
        <f t="shared" si="196"/>
        <v/>
      </c>
      <c r="DA48" s="203" t="str">
        <f t="shared" si="38"/>
        <v>OK</v>
      </c>
      <c r="DB48" s="226"/>
      <c r="DC48" s="230"/>
      <c r="DD48" s="183" t="str">
        <f t="shared" si="197"/>
        <v/>
      </c>
      <c r="DE48" s="203" t="str">
        <f t="shared" si="40"/>
        <v>OK</v>
      </c>
      <c r="DF48" s="226"/>
      <c r="DG48" s="230"/>
      <c r="DH48" s="183" t="str">
        <f t="shared" si="198"/>
        <v/>
      </c>
      <c r="DI48" s="203" t="str">
        <f t="shared" si="42"/>
        <v>OK</v>
      </c>
      <c r="DJ48" s="226"/>
      <c r="DK48" s="230"/>
      <c r="DL48" s="183" t="str">
        <f t="shared" si="199"/>
        <v/>
      </c>
      <c r="DM48" s="203" t="str">
        <f t="shared" si="44"/>
        <v>OK</v>
      </c>
      <c r="DN48" s="226"/>
      <c r="DO48" s="230"/>
      <c r="DP48" s="183" t="str">
        <f t="shared" si="200"/>
        <v/>
      </c>
      <c r="DQ48" s="203" t="str">
        <f t="shared" si="46"/>
        <v>OK</v>
      </c>
      <c r="DR48" s="226"/>
      <c r="DS48" s="230"/>
      <c r="DT48" s="183" t="str">
        <f t="shared" si="201"/>
        <v/>
      </c>
      <c r="DU48" s="203" t="str">
        <f t="shared" si="48"/>
        <v>OK</v>
      </c>
      <c r="DV48" s="226"/>
      <c r="DW48" s="230"/>
      <c r="DX48" s="183" t="str">
        <f t="shared" si="202"/>
        <v/>
      </c>
      <c r="DY48" s="203" t="str">
        <f t="shared" si="50"/>
        <v>OK</v>
      </c>
      <c r="DZ48" s="226"/>
      <c r="EA48" s="230"/>
      <c r="EB48" s="183" t="str">
        <f t="shared" si="203"/>
        <v/>
      </c>
      <c r="EC48" s="203" t="str">
        <f t="shared" si="52"/>
        <v>OK</v>
      </c>
      <c r="ED48" s="226"/>
      <c r="EE48" s="230"/>
      <c r="EF48" s="183" t="str">
        <f t="shared" si="204"/>
        <v/>
      </c>
      <c r="EG48" s="203" t="str">
        <f t="shared" si="54"/>
        <v>OK</v>
      </c>
      <c r="EH48" s="226"/>
      <c r="EI48" s="230"/>
      <c r="EJ48" s="183" t="str">
        <f t="shared" si="205"/>
        <v/>
      </c>
      <c r="EK48" s="203" t="str">
        <f t="shared" si="56"/>
        <v>OK</v>
      </c>
      <c r="EL48" s="226"/>
      <c r="EM48" s="230"/>
      <c r="EN48" s="183" t="str">
        <f t="shared" si="206"/>
        <v/>
      </c>
      <c r="EO48" s="203" t="str">
        <f t="shared" si="58"/>
        <v>OK</v>
      </c>
      <c r="EP48" s="226"/>
      <c r="EQ48" s="230"/>
      <c r="ER48" s="183" t="str">
        <f t="shared" si="207"/>
        <v/>
      </c>
      <c r="ES48" s="203" t="str">
        <f t="shared" si="60"/>
        <v>OK</v>
      </c>
      <c r="ET48" s="226"/>
      <c r="EU48" s="230"/>
      <c r="EV48" s="183" t="str">
        <f t="shared" si="208"/>
        <v/>
      </c>
      <c r="EW48" s="203" t="str">
        <f t="shared" si="62"/>
        <v>OK</v>
      </c>
      <c r="EX48" s="226"/>
      <c r="EY48" s="230"/>
      <c r="EZ48" s="183" t="str">
        <f t="shared" si="209"/>
        <v/>
      </c>
      <c r="FA48" s="203" t="str">
        <f t="shared" si="64"/>
        <v>OK</v>
      </c>
      <c r="FB48" s="226"/>
      <c r="FC48" s="230"/>
      <c r="FD48" s="183" t="str">
        <f t="shared" si="210"/>
        <v/>
      </c>
      <c r="FE48" s="203" t="str">
        <f t="shared" si="66"/>
        <v>OK</v>
      </c>
      <c r="FF48" s="226"/>
      <c r="FG48" s="230"/>
      <c r="FH48" s="183" t="str">
        <f t="shared" si="211"/>
        <v/>
      </c>
      <c r="FI48" s="203" t="str">
        <f t="shared" si="68"/>
        <v>OK</v>
      </c>
      <c r="FJ48" s="226"/>
      <c r="FK48" s="230"/>
      <c r="FL48" s="183" t="str">
        <f t="shared" si="212"/>
        <v/>
      </c>
      <c r="FM48" s="203" t="str">
        <f t="shared" si="70"/>
        <v>OK</v>
      </c>
      <c r="FN48" s="226"/>
      <c r="FO48" s="230"/>
      <c r="FP48" s="183" t="str">
        <f t="shared" si="213"/>
        <v/>
      </c>
      <c r="FQ48" s="203" t="str">
        <f t="shared" si="72"/>
        <v>OK</v>
      </c>
      <c r="FR48" s="226"/>
      <c r="FS48" s="230"/>
      <c r="FT48" s="183" t="str">
        <f t="shared" si="214"/>
        <v/>
      </c>
      <c r="FU48" s="203" t="str">
        <f t="shared" si="74"/>
        <v>OK</v>
      </c>
      <c r="FV48" s="226"/>
      <c r="FW48" s="230"/>
      <c r="FX48" s="183" t="str">
        <f t="shared" si="215"/>
        <v/>
      </c>
      <c r="FY48" s="203" t="str">
        <f t="shared" si="76"/>
        <v>OK</v>
      </c>
      <c r="FZ48" s="226"/>
      <c r="GA48" s="230"/>
      <c r="GB48" s="183" t="str">
        <f t="shared" si="216"/>
        <v/>
      </c>
      <c r="GC48" s="203" t="str">
        <f t="shared" si="78"/>
        <v>OK</v>
      </c>
      <c r="GD48" s="226"/>
      <c r="GE48" s="230"/>
      <c r="GF48" s="183" t="str">
        <f t="shared" si="217"/>
        <v/>
      </c>
      <c r="GG48" s="203" t="str">
        <f t="shared" si="80"/>
        <v>OK</v>
      </c>
      <c r="GH48" s="226"/>
      <c r="GI48" s="230"/>
      <c r="GJ48" s="183" t="str">
        <f t="shared" si="218"/>
        <v/>
      </c>
      <c r="GK48" s="203" t="str">
        <f t="shared" si="82"/>
        <v>OK</v>
      </c>
      <c r="GL48" s="226"/>
      <c r="GM48" s="230"/>
      <c r="GN48" s="183" t="str">
        <f t="shared" si="219"/>
        <v/>
      </c>
      <c r="GO48" s="203" t="str">
        <f t="shared" si="84"/>
        <v>OK</v>
      </c>
      <c r="GP48" s="226"/>
      <c r="GQ48" s="230"/>
      <c r="GR48" s="183" t="str">
        <f t="shared" si="220"/>
        <v/>
      </c>
      <c r="GS48" s="203" t="str">
        <f t="shared" si="86"/>
        <v>OK</v>
      </c>
      <c r="GT48" s="202"/>
      <c r="GU48" s="202"/>
      <c r="GV48" s="201"/>
      <c r="GW48" s="201"/>
      <c r="GX48" s="201"/>
    </row>
    <row r="49" spans="1:206" ht="50">
      <c r="A49" s="200" t="s">
        <v>59</v>
      </c>
      <c r="B49" s="225">
        <f t="shared" si="130"/>
        <v>42</v>
      </c>
      <c r="C49" s="229"/>
      <c r="D49" s="229"/>
      <c r="E49" s="228"/>
      <c r="F49" s="228"/>
      <c r="G49" s="222" t="s">
        <v>377</v>
      </c>
      <c r="H49" s="220"/>
      <c r="I49" s="209"/>
      <c r="J49" s="217" t="s">
        <v>326</v>
      </c>
      <c r="K49" s="219"/>
      <c r="L49" s="219"/>
      <c r="M49" s="218" t="s">
        <v>376</v>
      </c>
      <c r="N49" s="217" t="s">
        <v>375</v>
      </c>
      <c r="O49" s="216"/>
      <c r="P49" s="212"/>
      <c r="Q49" s="212"/>
      <c r="R49" s="215"/>
      <c r="S49" s="214"/>
      <c r="T49" s="212"/>
      <c r="U49" s="213"/>
      <c r="V49" s="212"/>
      <c r="W49" s="211" t="str">
        <f t="shared" si="131"/>
        <v>4</v>
      </c>
      <c r="X49" s="210" t="s">
        <v>374</v>
      </c>
      <c r="Y49" s="210">
        <v>1</v>
      </c>
      <c r="Z49" s="210">
        <v>1</v>
      </c>
      <c r="AA49" s="209" t="s">
        <v>54</v>
      </c>
      <c r="AB49" s="209" t="s">
        <v>306</v>
      </c>
      <c r="AC49" s="207"/>
      <c r="AD49" s="231" t="s">
        <v>71</v>
      </c>
      <c r="AE49" s="230"/>
      <c r="AF49" s="183" t="str">
        <f t="shared" si="178"/>
        <v/>
      </c>
      <c r="AG49" s="203" t="str">
        <f t="shared" si="175"/>
        <v>OK</v>
      </c>
      <c r="AH49" s="231" t="s">
        <v>71</v>
      </c>
      <c r="AI49" s="230"/>
      <c r="AJ49" s="183" t="str">
        <f t="shared" si="179"/>
        <v/>
      </c>
      <c r="AK49" s="203" t="str">
        <f t="shared" si="176"/>
        <v>OK</v>
      </c>
      <c r="AL49" s="231" t="s">
        <v>71</v>
      </c>
      <c r="AM49" s="230"/>
      <c r="AN49" s="183" t="str">
        <f t="shared" si="180"/>
        <v/>
      </c>
      <c r="AO49" s="203" t="str">
        <f t="shared" si="177"/>
        <v>OK</v>
      </c>
      <c r="AP49" s="231" t="s">
        <v>71</v>
      </c>
      <c r="AQ49" s="230"/>
      <c r="AR49" s="183" t="str">
        <f t="shared" si="181"/>
        <v/>
      </c>
      <c r="AS49" s="203" t="str">
        <f t="shared" si="8"/>
        <v>OK</v>
      </c>
      <c r="AT49" s="231" t="s">
        <v>71</v>
      </c>
      <c r="AU49" s="230"/>
      <c r="AV49" s="183" t="str">
        <f t="shared" si="182"/>
        <v/>
      </c>
      <c r="AW49" s="203" t="str">
        <f t="shared" si="10"/>
        <v>OK</v>
      </c>
      <c r="AX49" s="231" t="s">
        <v>71</v>
      </c>
      <c r="AY49" s="230"/>
      <c r="AZ49" s="183" t="str">
        <f t="shared" si="183"/>
        <v/>
      </c>
      <c r="BA49" s="203" t="str">
        <f t="shared" si="12"/>
        <v>OK</v>
      </c>
      <c r="BB49" s="231" t="s">
        <v>71</v>
      </c>
      <c r="BC49" s="230"/>
      <c r="BD49" s="183" t="str">
        <f t="shared" si="184"/>
        <v/>
      </c>
      <c r="BE49" s="203" t="str">
        <f t="shared" si="14"/>
        <v>OK</v>
      </c>
      <c r="BF49" s="231" t="s">
        <v>71</v>
      </c>
      <c r="BG49" s="230"/>
      <c r="BH49" s="183" t="str">
        <f t="shared" si="185"/>
        <v/>
      </c>
      <c r="BI49" s="203" t="str">
        <f t="shared" si="16"/>
        <v>OK</v>
      </c>
      <c r="BJ49" s="231" t="s">
        <v>71</v>
      </c>
      <c r="BK49" s="230"/>
      <c r="BL49" s="183" t="str">
        <f t="shared" si="186"/>
        <v/>
      </c>
      <c r="BM49" s="203" t="str">
        <f t="shared" si="18"/>
        <v>OK</v>
      </c>
      <c r="BN49" s="231" t="s">
        <v>71</v>
      </c>
      <c r="BO49" s="230"/>
      <c r="BP49" s="183" t="str">
        <f t="shared" si="187"/>
        <v/>
      </c>
      <c r="BQ49" s="203" t="str">
        <f t="shared" si="20"/>
        <v>OK</v>
      </c>
      <c r="BR49" s="231" t="s">
        <v>71</v>
      </c>
      <c r="BS49" s="230"/>
      <c r="BT49" s="183" t="str">
        <f t="shared" si="188"/>
        <v/>
      </c>
      <c r="BU49" s="203" t="str">
        <f t="shared" si="22"/>
        <v>OK</v>
      </c>
      <c r="BV49" s="231" t="s">
        <v>71</v>
      </c>
      <c r="BW49" s="230"/>
      <c r="BX49" s="183" t="str">
        <f t="shared" si="189"/>
        <v/>
      </c>
      <c r="BY49" s="203" t="str">
        <f t="shared" si="24"/>
        <v>OK</v>
      </c>
      <c r="BZ49" s="231" t="s">
        <v>71</v>
      </c>
      <c r="CA49" s="230"/>
      <c r="CB49" s="183" t="str">
        <f t="shared" si="190"/>
        <v/>
      </c>
      <c r="CC49" s="203" t="str">
        <f t="shared" si="26"/>
        <v>OK</v>
      </c>
      <c r="CD49" s="231" t="s">
        <v>71</v>
      </c>
      <c r="CE49" s="230"/>
      <c r="CF49" s="183" t="str">
        <f t="shared" si="191"/>
        <v/>
      </c>
      <c r="CG49" s="203" t="str">
        <f t="shared" si="28"/>
        <v>OK</v>
      </c>
      <c r="CH49" s="231" t="s">
        <v>71</v>
      </c>
      <c r="CI49" s="230"/>
      <c r="CJ49" s="183" t="str">
        <f t="shared" si="192"/>
        <v/>
      </c>
      <c r="CK49" s="203" t="str">
        <f t="shared" si="30"/>
        <v>OK</v>
      </c>
      <c r="CL49" s="231" t="s">
        <v>71</v>
      </c>
      <c r="CM49" s="230"/>
      <c r="CN49" s="183" t="str">
        <f t="shared" si="193"/>
        <v/>
      </c>
      <c r="CO49" s="203" t="str">
        <f t="shared" si="32"/>
        <v>OK</v>
      </c>
      <c r="CP49" s="231" t="s">
        <v>71</v>
      </c>
      <c r="CQ49" s="230"/>
      <c r="CR49" s="183" t="str">
        <f t="shared" si="194"/>
        <v/>
      </c>
      <c r="CS49" s="203" t="str">
        <f t="shared" si="34"/>
        <v>OK</v>
      </c>
      <c r="CT49" s="231" t="s">
        <v>71</v>
      </c>
      <c r="CU49" s="230"/>
      <c r="CV49" s="183" t="str">
        <f t="shared" si="195"/>
        <v/>
      </c>
      <c r="CW49" s="203" t="str">
        <f t="shared" si="36"/>
        <v>OK</v>
      </c>
      <c r="CX49" s="231" t="s">
        <v>71</v>
      </c>
      <c r="CY49" s="230"/>
      <c r="CZ49" s="183" t="str">
        <f t="shared" si="196"/>
        <v/>
      </c>
      <c r="DA49" s="203" t="str">
        <f t="shared" si="38"/>
        <v>OK</v>
      </c>
      <c r="DB49" s="231" t="s">
        <v>71</v>
      </c>
      <c r="DC49" s="230"/>
      <c r="DD49" s="183" t="str">
        <f t="shared" si="197"/>
        <v/>
      </c>
      <c r="DE49" s="203" t="str">
        <f t="shared" si="40"/>
        <v>OK</v>
      </c>
      <c r="DF49" s="231" t="s">
        <v>71</v>
      </c>
      <c r="DG49" s="230"/>
      <c r="DH49" s="183" t="str">
        <f t="shared" si="198"/>
        <v/>
      </c>
      <c r="DI49" s="203" t="str">
        <f t="shared" si="42"/>
        <v>OK</v>
      </c>
      <c r="DJ49" s="231" t="s">
        <v>71</v>
      </c>
      <c r="DK49" s="230"/>
      <c r="DL49" s="183" t="str">
        <f t="shared" si="199"/>
        <v/>
      </c>
      <c r="DM49" s="203" t="str">
        <f t="shared" si="44"/>
        <v>OK</v>
      </c>
      <c r="DN49" s="231" t="s">
        <v>71</v>
      </c>
      <c r="DO49" s="230"/>
      <c r="DP49" s="183" t="str">
        <f t="shared" si="200"/>
        <v/>
      </c>
      <c r="DQ49" s="203" t="str">
        <f t="shared" si="46"/>
        <v>OK</v>
      </c>
      <c r="DR49" s="231" t="s">
        <v>71</v>
      </c>
      <c r="DS49" s="230"/>
      <c r="DT49" s="183" t="str">
        <f t="shared" si="201"/>
        <v/>
      </c>
      <c r="DU49" s="203" t="str">
        <f t="shared" si="48"/>
        <v>OK</v>
      </c>
      <c r="DV49" s="231" t="s">
        <v>71</v>
      </c>
      <c r="DW49" s="230"/>
      <c r="DX49" s="183" t="str">
        <f t="shared" si="202"/>
        <v/>
      </c>
      <c r="DY49" s="203" t="str">
        <f t="shared" si="50"/>
        <v>OK</v>
      </c>
      <c r="DZ49" s="231" t="s">
        <v>71</v>
      </c>
      <c r="EA49" s="230"/>
      <c r="EB49" s="183" t="str">
        <f t="shared" si="203"/>
        <v/>
      </c>
      <c r="EC49" s="203" t="str">
        <f t="shared" si="52"/>
        <v>OK</v>
      </c>
      <c r="ED49" s="231" t="s">
        <v>71</v>
      </c>
      <c r="EE49" s="230"/>
      <c r="EF49" s="183" t="str">
        <f t="shared" si="204"/>
        <v/>
      </c>
      <c r="EG49" s="203" t="str">
        <f t="shared" si="54"/>
        <v>OK</v>
      </c>
      <c r="EH49" s="231" t="s">
        <v>71</v>
      </c>
      <c r="EI49" s="230"/>
      <c r="EJ49" s="183" t="str">
        <f t="shared" si="205"/>
        <v/>
      </c>
      <c r="EK49" s="203" t="str">
        <f t="shared" si="56"/>
        <v>OK</v>
      </c>
      <c r="EL49" s="231" t="s">
        <v>71</v>
      </c>
      <c r="EM49" s="230"/>
      <c r="EN49" s="183" t="str">
        <f t="shared" si="206"/>
        <v/>
      </c>
      <c r="EO49" s="203" t="str">
        <f t="shared" si="58"/>
        <v>OK</v>
      </c>
      <c r="EP49" s="231" t="s">
        <v>71</v>
      </c>
      <c r="EQ49" s="230"/>
      <c r="ER49" s="183" t="str">
        <f t="shared" si="207"/>
        <v/>
      </c>
      <c r="ES49" s="203" t="str">
        <f t="shared" si="60"/>
        <v>OK</v>
      </c>
      <c r="ET49" s="231" t="s">
        <v>71</v>
      </c>
      <c r="EU49" s="230"/>
      <c r="EV49" s="183" t="str">
        <f t="shared" si="208"/>
        <v/>
      </c>
      <c r="EW49" s="203" t="str">
        <f t="shared" si="62"/>
        <v>OK</v>
      </c>
      <c r="EX49" s="231" t="s">
        <v>71</v>
      </c>
      <c r="EY49" s="230"/>
      <c r="EZ49" s="183" t="str">
        <f t="shared" si="209"/>
        <v/>
      </c>
      <c r="FA49" s="203" t="str">
        <f t="shared" si="64"/>
        <v>OK</v>
      </c>
      <c r="FB49" s="231" t="s">
        <v>71</v>
      </c>
      <c r="FC49" s="230"/>
      <c r="FD49" s="183" t="str">
        <f t="shared" si="210"/>
        <v/>
      </c>
      <c r="FE49" s="203" t="str">
        <f t="shared" si="66"/>
        <v>OK</v>
      </c>
      <c r="FF49" s="231" t="s">
        <v>71</v>
      </c>
      <c r="FG49" s="230"/>
      <c r="FH49" s="183" t="str">
        <f t="shared" si="211"/>
        <v/>
      </c>
      <c r="FI49" s="203" t="str">
        <f t="shared" si="68"/>
        <v>OK</v>
      </c>
      <c r="FJ49" s="231" t="s">
        <v>71</v>
      </c>
      <c r="FK49" s="230"/>
      <c r="FL49" s="183" t="str">
        <f t="shared" si="212"/>
        <v/>
      </c>
      <c r="FM49" s="203" t="str">
        <f t="shared" si="70"/>
        <v>OK</v>
      </c>
      <c r="FN49" s="231" t="s">
        <v>71</v>
      </c>
      <c r="FO49" s="230"/>
      <c r="FP49" s="183" t="str">
        <f t="shared" si="213"/>
        <v/>
      </c>
      <c r="FQ49" s="203" t="str">
        <f t="shared" si="72"/>
        <v>OK</v>
      </c>
      <c r="FR49" s="231" t="s">
        <v>71</v>
      </c>
      <c r="FS49" s="230"/>
      <c r="FT49" s="183" t="str">
        <f t="shared" si="214"/>
        <v/>
      </c>
      <c r="FU49" s="203" t="str">
        <f t="shared" si="74"/>
        <v>OK</v>
      </c>
      <c r="FV49" s="231" t="s">
        <v>71</v>
      </c>
      <c r="FW49" s="230"/>
      <c r="FX49" s="183" t="str">
        <f t="shared" si="215"/>
        <v/>
      </c>
      <c r="FY49" s="203" t="str">
        <f t="shared" si="76"/>
        <v>OK</v>
      </c>
      <c r="FZ49" s="231" t="s">
        <v>71</v>
      </c>
      <c r="GA49" s="230"/>
      <c r="GB49" s="183" t="str">
        <f t="shared" si="216"/>
        <v/>
      </c>
      <c r="GC49" s="203" t="str">
        <f t="shared" si="78"/>
        <v>OK</v>
      </c>
      <c r="GD49" s="231" t="s">
        <v>71</v>
      </c>
      <c r="GE49" s="230"/>
      <c r="GF49" s="183" t="str">
        <f t="shared" si="217"/>
        <v/>
      </c>
      <c r="GG49" s="203" t="str">
        <f t="shared" si="80"/>
        <v>OK</v>
      </c>
      <c r="GH49" s="231" t="s">
        <v>71</v>
      </c>
      <c r="GI49" s="230"/>
      <c r="GJ49" s="183" t="str">
        <f t="shared" si="218"/>
        <v/>
      </c>
      <c r="GK49" s="203" t="str">
        <f t="shared" si="82"/>
        <v>OK</v>
      </c>
      <c r="GL49" s="231" t="s">
        <v>71</v>
      </c>
      <c r="GM49" s="230"/>
      <c r="GN49" s="183" t="str">
        <f t="shared" si="219"/>
        <v/>
      </c>
      <c r="GO49" s="203" t="str">
        <f t="shared" si="84"/>
        <v>OK</v>
      </c>
      <c r="GP49" s="231" t="s">
        <v>71</v>
      </c>
      <c r="GQ49" s="230"/>
      <c r="GR49" s="183" t="str">
        <f t="shared" si="220"/>
        <v/>
      </c>
      <c r="GS49" s="203" t="str">
        <f t="shared" si="86"/>
        <v>OK</v>
      </c>
      <c r="GT49" s="202"/>
      <c r="GU49" s="202"/>
      <c r="GV49" s="201"/>
      <c r="GW49" s="201"/>
      <c r="GX49" s="201"/>
    </row>
    <row r="50" spans="1:206" ht="62.5">
      <c r="A50" s="200" t="s">
        <v>59</v>
      </c>
      <c r="B50" s="225">
        <f t="shared" si="130"/>
        <v>43</v>
      </c>
      <c r="C50" s="229"/>
      <c r="D50" s="229"/>
      <c r="E50" s="228"/>
      <c r="F50" s="228"/>
      <c r="G50" s="222" t="s">
        <v>373</v>
      </c>
      <c r="H50" s="220"/>
      <c r="I50" s="209"/>
      <c r="J50" s="217" t="s">
        <v>326</v>
      </c>
      <c r="K50" s="219"/>
      <c r="L50" s="219"/>
      <c r="M50" s="218" t="s">
        <v>372</v>
      </c>
      <c r="N50" s="217" t="s">
        <v>371</v>
      </c>
      <c r="O50" s="216"/>
      <c r="P50" s="212"/>
      <c r="Q50" s="212"/>
      <c r="R50" s="215"/>
      <c r="S50" s="214"/>
      <c r="T50" s="212"/>
      <c r="U50" s="213"/>
      <c r="V50" s="212"/>
      <c r="W50" s="211" t="str">
        <f t="shared" si="131"/>
        <v>4</v>
      </c>
      <c r="X50" s="210" t="s">
        <v>370</v>
      </c>
      <c r="Y50" s="210">
        <v>1</v>
      </c>
      <c r="Z50" s="210">
        <v>1</v>
      </c>
      <c r="AA50" s="209" t="s">
        <v>54</v>
      </c>
      <c r="AB50" s="209" t="s">
        <v>306</v>
      </c>
      <c r="AC50" s="207"/>
      <c r="AD50" s="231" t="s">
        <v>57</v>
      </c>
      <c r="AE50" s="230"/>
      <c r="AF50" s="183" t="str">
        <f t="shared" si="178"/>
        <v/>
      </c>
      <c r="AG50" s="203" t="str">
        <f t="shared" si="175"/>
        <v>OK</v>
      </c>
      <c r="AH50" s="231" t="s">
        <v>57</v>
      </c>
      <c r="AI50" s="230"/>
      <c r="AJ50" s="183" t="str">
        <f t="shared" si="179"/>
        <v/>
      </c>
      <c r="AK50" s="203" t="str">
        <f t="shared" si="176"/>
        <v>OK</v>
      </c>
      <c r="AL50" s="231" t="s">
        <v>57</v>
      </c>
      <c r="AM50" s="230"/>
      <c r="AN50" s="183" t="str">
        <f t="shared" si="180"/>
        <v/>
      </c>
      <c r="AO50" s="203" t="str">
        <f t="shared" si="177"/>
        <v>OK</v>
      </c>
      <c r="AP50" s="231" t="s">
        <v>57</v>
      </c>
      <c r="AQ50" s="230"/>
      <c r="AR50" s="183" t="str">
        <f t="shared" si="181"/>
        <v/>
      </c>
      <c r="AS50" s="203" t="str">
        <f t="shared" si="8"/>
        <v>OK</v>
      </c>
      <c r="AT50" s="231" t="s">
        <v>57</v>
      </c>
      <c r="AU50" s="230"/>
      <c r="AV50" s="183" t="str">
        <f t="shared" si="182"/>
        <v/>
      </c>
      <c r="AW50" s="203" t="str">
        <f t="shared" si="10"/>
        <v>OK</v>
      </c>
      <c r="AX50" s="231" t="s">
        <v>57</v>
      </c>
      <c r="AY50" s="230"/>
      <c r="AZ50" s="183" t="str">
        <f t="shared" si="183"/>
        <v/>
      </c>
      <c r="BA50" s="203" t="str">
        <f t="shared" si="12"/>
        <v>OK</v>
      </c>
      <c r="BB50" s="231" t="s">
        <v>57</v>
      </c>
      <c r="BC50" s="230"/>
      <c r="BD50" s="183" t="str">
        <f t="shared" si="184"/>
        <v/>
      </c>
      <c r="BE50" s="203" t="str">
        <f t="shared" si="14"/>
        <v>OK</v>
      </c>
      <c r="BF50" s="231" t="s">
        <v>57</v>
      </c>
      <c r="BG50" s="230"/>
      <c r="BH50" s="183" t="str">
        <f t="shared" si="185"/>
        <v/>
      </c>
      <c r="BI50" s="203" t="str">
        <f t="shared" si="16"/>
        <v>OK</v>
      </c>
      <c r="BJ50" s="231" t="s">
        <v>57</v>
      </c>
      <c r="BK50" s="230"/>
      <c r="BL50" s="183" t="str">
        <f t="shared" si="186"/>
        <v/>
      </c>
      <c r="BM50" s="203" t="str">
        <f t="shared" si="18"/>
        <v>OK</v>
      </c>
      <c r="BN50" s="231" t="s">
        <v>57</v>
      </c>
      <c r="BO50" s="230"/>
      <c r="BP50" s="183" t="str">
        <f t="shared" si="187"/>
        <v/>
      </c>
      <c r="BQ50" s="203" t="str">
        <f t="shared" si="20"/>
        <v>OK</v>
      </c>
      <c r="BR50" s="231" t="s">
        <v>57</v>
      </c>
      <c r="BS50" s="230"/>
      <c r="BT50" s="183" t="str">
        <f t="shared" si="188"/>
        <v/>
      </c>
      <c r="BU50" s="203" t="str">
        <f t="shared" si="22"/>
        <v>OK</v>
      </c>
      <c r="BV50" s="231" t="s">
        <v>57</v>
      </c>
      <c r="BW50" s="230"/>
      <c r="BX50" s="183" t="str">
        <f t="shared" si="189"/>
        <v/>
      </c>
      <c r="BY50" s="203" t="str">
        <f t="shared" si="24"/>
        <v>OK</v>
      </c>
      <c r="BZ50" s="231" t="s">
        <v>57</v>
      </c>
      <c r="CA50" s="230"/>
      <c r="CB50" s="183" t="str">
        <f t="shared" si="190"/>
        <v/>
      </c>
      <c r="CC50" s="203" t="str">
        <f t="shared" si="26"/>
        <v>OK</v>
      </c>
      <c r="CD50" s="231" t="s">
        <v>57</v>
      </c>
      <c r="CE50" s="230"/>
      <c r="CF50" s="183" t="str">
        <f t="shared" si="191"/>
        <v/>
      </c>
      <c r="CG50" s="203" t="str">
        <f t="shared" si="28"/>
        <v>OK</v>
      </c>
      <c r="CH50" s="231" t="s">
        <v>57</v>
      </c>
      <c r="CI50" s="230"/>
      <c r="CJ50" s="183" t="str">
        <f t="shared" si="192"/>
        <v/>
      </c>
      <c r="CK50" s="203" t="str">
        <f t="shared" si="30"/>
        <v>OK</v>
      </c>
      <c r="CL50" s="231" t="s">
        <v>57</v>
      </c>
      <c r="CM50" s="230"/>
      <c r="CN50" s="183" t="str">
        <f t="shared" si="193"/>
        <v/>
      </c>
      <c r="CO50" s="203" t="str">
        <f t="shared" si="32"/>
        <v>OK</v>
      </c>
      <c r="CP50" s="231" t="s">
        <v>57</v>
      </c>
      <c r="CQ50" s="230"/>
      <c r="CR50" s="183" t="str">
        <f t="shared" si="194"/>
        <v/>
      </c>
      <c r="CS50" s="203" t="str">
        <f t="shared" si="34"/>
        <v>OK</v>
      </c>
      <c r="CT50" s="231" t="s">
        <v>57</v>
      </c>
      <c r="CU50" s="230"/>
      <c r="CV50" s="183" t="str">
        <f t="shared" si="195"/>
        <v/>
      </c>
      <c r="CW50" s="203" t="str">
        <f t="shared" si="36"/>
        <v>OK</v>
      </c>
      <c r="CX50" s="231" t="s">
        <v>57</v>
      </c>
      <c r="CY50" s="230"/>
      <c r="CZ50" s="183" t="str">
        <f t="shared" si="196"/>
        <v/>
      </c>
      <c r="DA50" s="203" t="str">
        <f t="shared" si="38"/>
        <v>OK</v>
      </c>
      <c r="DB50" s="231" t="s">
        <v>57</v>
      </c>
      <c r="DC50" s="230"/>
      <c r="DD50" s="183" t="str">
        <f t="shared" si="197"/>
        <v/>
      </c>
      <c r="DE50" s="203" t="str">
        <f t="shared" si="40"/>
        <v>OK</v>
      </c>
      <c r="DF50" s="231" t="s">
        <v>57</v>
      </c>
      <c r="DG50" s="230"/>
      <c r="DH50" s="183" t="str">
        <f t="shared" si="198"/>
        <v/>
      </c>
      <c r="DI50" s="203" t="str">
        <f t="shared" si="42"/>
        <v>OK</v>
      </c>
      <c r="DJ50" s="231" t="s">
        <v>57</v>
      </c>
      <c r="DK50" s="230"/>
      <c r="DL50" s="183" t="str">
        <f t="shared" si="199"/>
        <v/>
      </c>
      <c r="DM50" s="203" t="str">
        <f t="shared" si="44"/>
        <v>OK</v>
      </c>
      <c r="DN50" s="231" t="s">
        <v>57</v>
      </c>
      <c r="DO50" s="230"/>
      <c r="DP50" s="183" t="str">
        <f t="shared" si="200"/>
        <v/>
      </c>
      <c r="DQ50" s="203" t="str">
        <f t="shared" si="46"/>
        <v>OK</v>
      </c>
      <c r="DR50" s="231" t="s">
        <v>57</v>
      </c>
      <c r="DS50" s="230"/>
      <c r="DT50" s="183" t="str">
        <f t="shared" si="201"/>
        <v/>
      </c>
      <c r="DU50" s="203" t="str">
        <f t="shared" si="48"/>
        <v>OK</v>
      </c>
      <c r="DV50" s="231" t="s">
        <v>57</v>
      </c>
      <c r="DW50" s="230"/>
      <c r="DX50" s="183" t="str">
        <f t="shared" si="202"/>
        <v/>
      </c>
      <c r="DY50" s="203" t="str">
        <f t="shared" si="50"/>
        <v>OK</v>
      </c>
      <c r="DZ50" s="231" t="s">
        <v>57</v>
      </c>
      <c r="EA50" s="230"/>
      <c r="EB50" s="183" t="str">
        <f t="shared" si="203"/>
        <v/>
      </c>
      <c r="EC50" s="203" t="str">
        <f t="shared" si="52"/>
        <v>OK</v>
      </c>
      <c r="ED50" s="231" t="s">
        <v>57</v>
      </c>
      <c r="EE50" s="230"/>
      <c r="EF50" s="183" t="str">
        <f t="shared" si="204"/>
        <v/>
      </c>
      <c r="EG50" s="203" t="str">
        <f t="shared" si="54"/>
        <v>OK</v>
      </c>
      <c r="EH50" s="231" t="s">
        <v>57</v>
      </c>
      <c r="EI50" s="230"/>
      <c r="EJ50" s="183" t="str">
        <f t="shared" si="205"/>
        <v/>
      </c>
      <c r="EK50" s="203" t="str">
        <f t="shared" si="56"/>
        <v>OK</v>
      </c>
      <c r="EL50" s="231" t="s">
        <v>57</v>
      </c>
      <c r="EM50" s="230"/>
      <c r="EN50" s="183" t="str">
        <f t="shared" si="206"/>
        <v/>
      </c>
      <c r="EO50" s="203" t="str">
        <f t="shared" si="58"/>
        <v>OK</v>
      </c>
      <c r="EP50" s="231" t="s">
        <v>57</v>
      </c>
      <c r="EQ50" s="230"/>
      <c r="ER50" s="183" t="str">
        <f t="shared" si="207"/>
        <v/>
      </c>
      <c r="ES50" s="203" t="str">
        <f t="shared" si="60"/>
        <v>OK</v>
      </c>
      <c r="ET50" s="231" t="s">
        <v>57</v>
      </c>
      <c r="EU50" s="230"/>
      <c r="EV50" s="183" t="str">
        <f t="shared" si="208"/>
        <v/>
      </c>
      <c r="EW50" s="203" t="str">
        <f t="shared" si="62"/>
        <v>OK</v>
      </c>
      <c r="EX50" s="231" t="s">
        <v>57</v>
      </c>
      <c r="EY50" s="230"/>
      <c r="EZ50" s="183" t="str">
        <f t="shared" si="209"/>
        <v/>
      </c>
      <c r="FA50" s="203" t="str">
        <f t="shared" si="64"/>
        <v>OK</v>
      </c>
      <c r="FB50" s="231" t="s">
        <v>57</v>
      </c>
      <c r="FC50" s="230"/>
      <c r="FD50" s="183" t="str">
        <f t="shared" si="210"/>
        <v/>
      </c>
      <c r="FE50" s="203" t="str">
        <f t="shared" si="66"/>
        <v>OK</v>
      </c>
      <c r="FF50" s="231" t="s">
        <v>57</v>
      </c>
      <c r="FG50" s="230"/>
      <c r="FH50" s="183" t="str">
        <f t="shared" si="211"/>
        <v/>
      </c>
      <c r="FI50" s="203" t="str">
        <f t="shared" si="68"/>
        <v>OK</v>
      </c>
      <c r="FJ50" s="231" t="s">
        <v>57</v>
      </c>
      <c r="FK50" s="230"/>
      <c r="FL50" s="183" t="str">
        <f t="shared" si="212"/>
        <v/>
      </c>
      <c r="FM50" s="203" t="str">
        <f t="shared" si="70"/>
        <v>OK</v>
      </c>
      <c r="FN50" s="231" t="s">
        <v>57</v>
      </c>
      <c r="FO50" s="230"/>
      <c r="FP50" s="183" t="str">
        <f t="shared" si="213"/>
        <v/>
      </c>
      <c r="FQ50" s="203" t="str">
        <f t="shared" si="72"/>
        <v>OK</v>
      </c>
      <c r="FR50" s="231" t="s">
        <v>57</v>
      </c>
      <c r="FS50" s="230"/>
      <c r="FT50" s="183" t="str">
        <f t="shared" si="214"/>
        <v/>
      </c>
      <c r="FU50" s="203" t="str">
        <f t="shared" si="74"/>
        <v>OK</v>
      </c>
      <c r="FV50" s="231" t="s">
        <v>57</v>
      </c>
      <c r="FW50" s="230"/>
      <c r="FX50" s="183" t="str">
        <f t="shared" si="215"/>
        <v/>
      </c>
      <c r="FY50" s="203" t="str">
        <f t="shared" si="76"/>
        <v>OK</v>
      </c>
      <c r="FZ50" s="231" t="s">
        <v>57</v>
      </c>
      <c r="GA50" s="230"/>
      <c r="GB50" s="183" t="str">
        <f t="shared" si="216"/>
        <v/>
      </c>
      <c r="GC50" s="203" t="str">
        <f t="shared" si="78"/>
        <v>OK</v>
      </c>
      <c r="GD50" s="231" t="s">
        <v>57</v>
      </c>
      <c r="GE50" s="230"/>
      <c r="GF50" s="183" t="str">
        <f t="shared" si="217"/>
        <v/>
      </c>
      <c r="GG50" s="203" t="str">
        <f t="shared" si="80"/>
        <v>OK</v>
      </c>
      <c r="GH50" s="231" t="s">
        <v>57</v>
      </c>
      <c r="GI50" s="230"/>
      <c r="GJ50" s="183" t="str">
        <f t="shared" si="218"/>
        <v/>
      </c>
      <c r="GK50" s="203" t="str">
        <f t="shared" si="82"/>
        <v>OK</v>
      </c>
      <c r="GL50" s="231" t="s">
        <v>57</v>
      </c>
      <c r="GM50" s="230"/>
      <c r="GN50" s="183" t="str">
        <f t="shared" si="219"/>
        <v/>
      </c>
      <c r="GO50" s="203" t="str">
        <f t="shared" si="84"/>
        <v>OK</v>
      </c>
      <c r="GP50" s="231" t="s">
        <v>57</v>
      </c>
      <c r="GQ50" s="230"/>
      <c r="GR50" s="183" t="str">
        <f t="shared" si="220"/>
        <v/>
      </c>
      <c r="GS50" s="203" t="str">
        <f t="shared" si="86"/>
        <v>OK</v>
      </c>
      <c r="GT50" s="202"/>
      <c r="GU50" s="202"/>
      <c r="GV50" s="201"/>
      <c r="GW50" s="201"/>
      <c r="GX50" s="201"/>
    </row>
    <row r="51" spans="1:206">
      <c r="A51" s="200" t="s">
        <v>59</v>
      </c>
      <c r="B51" s="225">
        <f t="shared" si="130"/>
        <v>44</v>
      </c>
      <c r="C51" s="229"/>
      <c r="D51" s="229"/>
      <c r="E51" s="228"/>
      <c r="F51" s="228"/>
      <c r="G51" s="222" t="s">
        <v>369</v>
      </c>
      <c r="H51" s="220"/>
      <c r="I51" s="209"/>
      <c r="J51" s="217" t="s">
        <v>326</v>
      </c>
      <c r="K51" s="219"/>
      <c r="L51" s="219"/>
      <c r="M51" s="218" t="s">
        <v>368</v>
      </c>
      <c r="N51" s="217"/>
      <c r="O51" s="216"/>
      <c r="P51" s="212"/>
      <c r="Q51" s="212"/>
      <c r="R51" s="215"/>
      <c r="S51" s="214"/>
      <c r="T51" s="212"/>
      <c r="U51" s="213"/>
      <c r="V51" s="212"/>
      <c r="W51" s="211" t="str">
        <f t="shared" si="131"/>
        <v>4</v>
      </c>
      <c r="X51" s="210" t="s">
        <v>367</v>
      </c>
      <c r="Y51" s="210">
        <v>1</v>
      </c>
      <c r="Z51" s="210">
        <v>30</v>
      </c>
      <c r="AA51" s="209" t="s">
        <v>54</v>
      </c>
      <c r="AB51" s="209" t="s">
        <v>306</v>
      </c>
      <c r="AC51" s="207"/>
      <c r="AD51" s="226"/>
      <c r="AE51" s="230"/>
      <c r="AF51" s="183" t="str">
        <f t="shared" si="178"/>
        <v/>
      </c>
      <c r="AG51" s="203" t="str">
        <f t="shared" si="175"/>
        <v>OK</v>
      </c>
      <c r="AH51" s="226"/>
      <c r="AI51" s="230"/>
      <c r="AJ51" s="183" t="str">
        <f t="shared" si="179"/>
        <v/>
      </c>
      <c r="AK51" s="203" t="str">
        <f t="shared" si="176"/>
        <v>OK</v>
      </c>
      <c r="AL51" s="226"/>
      <c r="AM51" s="230"/>
      <c r="AN51" s="183" t="str">
        <f t="shared" si="180"/>
        <v/>
      </c>
      <c r="AO51" s="203" t="str">
        <f t="shared" si="177"/>
        <v>OK</v>
      </c>
      <c r="AP51" s="226"/>
      <c r="AQ51" s="230"/>
      <c r="AR51" s="183" t="str">
        <f t="shared" si="181"/>
        <v/>
      </c>
      <c r="AS51" s="203" t="str">
        <f t="shared" si="8"/>
        <v>OK</v>
      </c>
      <c r="AT51" s="226"/>
      <c r="AU51" s="230"/>
      <c r="AV51" s="183" t="str">
        <f t="shared" si="182"/>
        <v/>
      </c>
      <c r="AW51" s="203" t="str">
        <f t="shared" si="10"/>
        <v>OK</v>
      </c>
      <c r="AX51" s="226"/>
      <c r="AY51" s="230"/>
      <c r="AZ51" s="183" t="str">
        <f t="shared" si="183"/>
        <v/>
      </c>
      <c r="BA51" s="203" t="str">
        <f t="shared" si="12"/>
        <v>OK</v>
      </c>
      <c r="BB51" s="226"/>
      <c r="BC51" s="230"/>
      <c r="BD51" s="183" t="str">
        <f t="shared" si="184"/>
        <v/>
      </c>
      <c r="BE51" s="203" t="str">
        <f t="shared" si="14"/>
        <v>OK</v>
      </c>
      <c r="BF51" s="226"/>
      <c r="BG51" s="230"/>
      <c r="BH51" s="183" t="str">
        <f t="shared" si="185"/>
        <v/>
      </c>
      <c r="BI51" s="203" t="str">
        <f t="shared" si="16"/>
        <v>OK</v>
      </c>
      <c r="BJ51" s="226"/>
      <c r="BK51" s="230"/>
      <c r="BL51" s="183" t="str">
        <f t="shared" si="186"/>
        <v/>
      </c>
      <c r="BM51" s="203" t="str">
        <f t="shared" si="18"/>
        <v>OK</v>
      </c>
      <c r="BN51" s="226"/>
      <c r="BO51" s="230"/>
      <c r="BP51" s="183" t="str">
        <f t="shared" si="187"/>
        <v/>
      </c>
      <c r="BQ51" s="203" t="str">
        <f t="shared" si="20"/>
        <v>OK</v>
      </c>
      <c r="BR51" s="226"/>
      <c r="BS51" s="230"/>
      <c r="BT51" s="183" t="str">
        <f t="shared" si="188"/>
        <v/>
      </c>
      <c r="BU51" s="203" t="str">
        <f t="shared" si="22"/>
        <v>OK</v>
      </c>
      <c r="BV51" s="226"/>
      <c r="BW51" s="230"/>
      <c r="BX51" s="183" t="str">
        <f t="shared" si="189"/>
        <v/>
      </c>
      <c r="BY51" s="203" t="str">
        <f t="shared" si="24"/>
        <v>OK</v>
      </c>
      <c r="BZ51" s="226"/>
      <c r="CA51" s="230"/>
      <c r="CB51" s="183" t="str">
        <f t="shared" si="190"/>
        <v/>
      </c>
      <c r="CC51" s="203" t="str">
        <f t="shared" si="26"/>
        <v>OK</v>
      </c>
      <c r="CD51" s="226"/>
      <c r="CE51" s="230"/>
      <c r="CF51" s="183" t="str">
        <f t="shared" si="191"/>
        <v/>
      </c>
      <c r="CG51" s="203" t="str">
        <f t="shared" si="28"/>
        <v>OK</v>
      </c>
      <c r="CH51" s="226"/>
      <c r="CI51" s="230"/>
      <c r="CJ51" s="183" t="str">
        <f t="shared" si="192"/>
        <v/>
      </c>
      <c r="CK51" s="203" t="str">
        <f t="shared" si="30"/>
        <v>OK</v>
      </c>
      <c r="CL51" s="226"/>
      <c r="CM51" s="230"/>
      <c r="CN51" s="183" t="str">
        <f t="shared" si="193"/>
        <v/>
      </c>
      <c r="CO51" s="203" t="str">
        <f t="shared" si="32"/>
        <v>OK</v>
      </c>
      <c r="CP51" s="226"/>
      <c r="CQ51" s="230"/>
      <c r="CR51" s="183" t="str">
        <f t="shared" si="194"/>
        <v/>
      </c>
      <c r="CS51" s="203" t="str">
        <f t="shared" si="34"/>
        <v>OK</v>
      </c>
      <c r="CT51" s="226"/>
      <c r="CU51" s="230"/>
      <c r="CV51" s="183" t="str">
        <f t="shared" si="195"/>
        <v/>
      </c>
      <c r="CW51" s="203" t="str">
        <f t="shared" si="36"/>
        <v>OK</v>
      </c>
      <c r="CX51" s="226"/>
      <c r="CY51" s="230"/>
      <c r="CZ51" s="183" t="str">
        <f t="shared" si="196"/>
        <v/>
      </c>
      <c r="DA51" s="203" t="str">
        <f t="shared" si="38"/>
        <v>OK</v>
      </c>
      <c r="DB51" s="226"/>
      <c r="DC51" s="230"/>
      <c r="DD51" s="183" t="str">
        <f t="shared" si="197"/>
        <v/>
      </c>
      <c r="DE51" s="203" t="str">
        <f t="shared" si="40"/>
        <v>OK</v>
      </c>
      <c r="DF51" s="226"/>
      <c r="DG51" s="230"/>
      <c r="DH51" s="183" t="str">
        <f t="shared" si="198"/>
        <v/>
      </c>
      <c r="DI51" s="203" t="str">
        <f t="shared" si="42"/>
        <v>OK</v>
      </c>
      <c r="DJ51" s="226"/>
      <c r="DK51" s="230"/>
      <c r="DL51" s="183" t="str">
        <f t="shared" si="199"/>
        <v/>
      </c>
      <c r="DM51" s="203" t="str">
        <f t="shared" si="44"/>
        <v>OK</v>
      </c>
      <c r="DN51" s="226"/>
      <c r="DO51" s="230"/>
      <c r="DP51" s="183" t="str">
        <f t="shared" si="200"/>
        <v/>
      </c>
      <c r="DQ51" s="203" t="str">
        <f t="shared" si="46"/>
        <v>OK</v>
      </c>
      <c r="DR51" s="226"/>
      <c r="DS51" s="230"/>
      <c r="DT51" s="183" t="str">
        <f t="shared" si="201"/>
        <v/>
      </c>
      <c r="DU51" s="203" t="str">
        <f t="shared" si="48"/>
        <v>OK</v>
      </c>
      <c r="DV51" s="226"/>
      <c r="DW51" s="230"/>
      <c r="DX51" s="183" t="str">
        <f t="shared" si="202"/>
        <v/>
      </c>
      <c r="DY51" s="203" t="str">
        <f t="shared" si="50"/>
        <v>OK</v>
      </c>
      <c r="DZ51" s="226"/>
      <c r="EA51" s="230"/>
      <c r="EB51" s="183" t="str">
        <f t="shared" si="203"/>
        <v/>
      </c>
      <c r="EC51" s="203" t="str">
        <f t="shared" si="52"/>
        <v>OK</v>
      </c>
      <c r="ED51" s="226"/>
      <c r="EE51" s="230"/>
      <c r="EF51" s="183" t="str">
        <f t="shared" si="204"/>
        <v/>
      </c>
      <c r="EG51" s="203" t="str">
        <f t="shared" si="54"/>
        <v>OK</v>
      </c>
      <c r="EH51" s="226"/>
      <c r="EI51" s="230"/>
      <c r="EJ51" s="183" t="str">
        <f t="shared" si="205"/>
        <v/>
      </c>
      <c r="EK51" s="203" t="str">
        <f t="shared" si="56"/>
        <v>OK</v>
      </c>
      <c r="EL51" s="226"/>
      <c r="EM51" s="230"/>
      <c r="EN51" s="183" t="str">
        <f t="shared" si="206"/>
        <v/>
      </c>
      <c r="EO51" s="203" t="str">
        <f t="shared" si="58"/>
        <v>OK</v>
      </c>
      <c r="EP51" s="226"/>
      <c r="EQ51" s="230"/>
      <c r="ER51" s="183" t="str">
        <f t="shared" si="207"/>
        <v/>
      </c>
      <c r="ES51" s="203" t="str">
        <f t="shared" si="60"/>
        <v>OK</v>
      </c>
      <c r="ET51" s="226"/>
      <c r="EU51" s="230"/>
      <c r="EV51" s="183" t="str">
        <f t="shared" si="208"/>
        <v/>
      </c>
      <c r="EW51" s="203" t="str">
        <f t="shared" si="62"/>
        <v>OK</v>
      </c>
      <c r="EX51" s="226"/>
      <c r="EY51" s="230"/>
      <c r="EZ51" s="183" t="str">
        <f t="shared" si="209"/>
        <v/>
      </c>
      <c r="FA51" s="203" t="str">
        <f t="shared" si="64"/>
        <v>OK</v>
      </c>
      <c r="FB51" s="226"/>
      <c r="FC51" s="230"/>
      <c r="FD51" s="183" t="str">
        <f t="shared" si="210"/>
        <v/>
      </c>
      <c r="FE51" s="203" t="str">
        <f t="shared" si="66"/>
        <v>OK</v>
      </c>
      <c r="FF51" s="226"/>
      <c r="FG51" s="230"/>
      <c r="FH51" s="183" t="str">
        <f t="shared" si="211"/>
        <v/>
      </c>
      <c r="FI51" s="203" t="str">
        <f t="shared" si="68"/>
        <v>OK</v>
      </c>
      <c r="FJ51" s="226"/>
      <c r="FK51" s="230"/>
      <c r="FL51" s="183" t="str">
        <f t="shared" si="212"/>
        <v/>
      </c>
      <c r="FM51" s="203" t="str">
        <f t="shared" si="70"/>
        <v>OK</v>
      </c>
      <c r="FN51" s="226"/>
      <c r="FO51" s="230"/>
      <c r="FP51" s="183" t="str">
        <f t="shared" si="213"/>
        <v/>
      </c>
      <c r="FQ51" s="203" t="str">
        <f t="shared" si="72"/>
        <v>OK</v>
      </c>
      <c r="FR51" s="226"/>
      <c r="FS51" s="230"/>
      <c r="FT51" s="183" t="str">
        <f t="shared" si="214"/>
        <v/>
      </c>
      <c r="FU51" s="203" t="str">
        <f t="shared" si="74"/>
        <v>OK</v>
      </c>
      <c r="FV51" s="226"/>
      <c r="FW51" s="230"/>
      <c r="FX51" s="183" t="str">
        <f t="shared" si="215"/>
        <v/>
      </c>
      <c r="FY51" s="203" t="str">
        <f t="shared" si="76"/>
        <v>OK</v>
      </c>
      <c r="FZ51" s="226"/>
      <c r="GA51" s="230"/>
      <c r="GB51" s="183" t="str">
        <f t="shared" si="216"/>
        <v/>
      </c>
      <c r="GC51" s="203" t="str">
        <f t="shared" si="78"/>
        <v>OK</v>
      </c>
      <c r="GD51" s="226"/>
      <c r="GE51" s="230"/>
      <c r="GF51" s="183" t="str">
        <f t="shared" si="217"/>
        <v/>
      </c>
      <c r="GG51" s="203" t="str">
        <f t="shared" si="80"/>
        <v>OK</v>
      </c>
      <c r="GH51" s="226"/>
      <c r="GI51" s="230"/>
      <c r="GJ51" s="183" t="str">
        <f t="shared" si="218"/>
        <v/>
      </c>
      <c r="GK51" s="203" t="str">
        <f t="shared" si="82"/>
        <v>OK</v>
      </c>
      <c r="GL51" s="226"/>
      <c r="GM51" s="230"/>
      <c r="GN51" s="183" t="str">
        <f t="shared" si="219"/>
        <v/>
      </c>
      <c r="GO51" s="203" t="str">
        <f t="shared" si="84"/>
        <v>OK</v>
      </c>
      <c r="GP51" s="226" t="s">
        <v>723</v>
      </c>
      <c r="GQ51" s="230"/>
      <c r="GR51" s="183" t="str">
        <f t="shared" si="220"/>
        <v/>
      </c>
      <c r="GS51" s="203" t="str">
        <f t="shared" si="86"/>
        <v>OK</v>
      </c>
      <c r="GT51" s="202"/>
      <c r="GU51" s="202"/>
      <c r="GV51" s="201"/>
      <c r="GW51" s="201"/>
      <c r="GX51" s="201"/>
    </row>
    <row r="52" spans="1:206">
      <c r="A52" s="200" t="s">
        <v>59</v>
      </c>
      <c r="B52" s="225">
        <f t="shared" si="130"/>
        <v>45</v>
      </c>
      <c r="C52" s="229"/>
      <c r="D52" s="229"/>
      <c r="E52" s="228"/>
      <c r="F52" s="228"/>
      <c r="G52" s="222" t="s">
        <v>365</v>
      </c>
      <c r="H52" s="220"/>
      <c r="I52" s="209"/>
      <c r="J52" s="217" t="s">
        <v>326</v>
      </c>
      <c r="K52" s="219"/>
      <c r="L52" s="219"/>
      <c r="M52" s="218"/>
      <c r="N52" s="217"/>
      <c r="O52" s="216"/>
      <c r="P52" s="212"/>
      <c r="Q52" s="212"/>
      <c r="R52" s="215"/>
      <c r="S52" s="214"/>
      <c r="T52" s="212"/>
      <c r="U52" s="213"/>
      <c r="V52" s="212"/>
      <c r="W52" s="211" t="str">
        <f t="shared" si="131"/>
        <v>4</v>
      </c>
      <c r="X52" s="210" t="s">
        <v>366</v>
      </c>
      <c r="Y52" s="210">
        <v>1</v>
      </c>
      <c r="Z52" s="210">
        <v>180</v>
      </c>
      <c r="AA52" s="209" t="s">
        <v>55</v>
      </c>
      <c r="AB52" s="209" t="s">
        <v>306</v>
      </c>
      <c r="AC52" s="207"/>
      <c r="AD52" s="377" t="s">
        <v>365</v>
      </c>
      <c r="AE52" s="230"/>
      <c r="AF52" s="183" t="str">
        <f t="shared" si="178"/>
        <v/>
      </c>
      <c r="AG52" s="203" t="str">
        <f t="shared" si="175"/>
        <v>OK</v>
      </c>
      <c r="AH52" s="377" t="s">
        <v>365</v>
      </c>
      <c r="AI52" s="230"/>
      <c r="AJ52" s="183" t="str">
        <f t="shared" si="179"/>
        <v/>
      </c>
      <c r="AK52" s="203" t="str">
        <f t="shared" si="176"/>
        <v>OK</v>
      </c>
      <c r="AL52" s="377" t="s">
        <v>365</v>
      </c>
      <c r="AM52" s="230"/>
      <c r="AN52" s="183" t="str">
        <f t="shared" si="180"/>
        <v/>
      </c>
      <c r="AO52" s="203" t="str">
        <f t="shared" si="177"/>
        <v>OK</v>
      </c>
      <c r="AP52" s="377" t="s">
        <v>365</v>
      </c>
      <c r="AQ52" s="230"/>
      <c r="AR52" s="183" t="str">
        <f t="shared" si="181"/>
        <v/>
      </c>
      <c r="AS52" s="203" t="str">
        <f t="shared" si="8"/>
        <v>OK</v>
      </c>
      <c r="AT52" s="377" t="s">
        <v>365</v>
      </c>
      <c r="AU52" s="230"/>
      <c r="AV52" s="183" t="str">
        <f t="shared" si="182"/>
        <v/>
      </c>
      <c r="AW52" s="203" t="str">
        <f t="shared" si="10"/>
        <v>OK</v>
      </c>
      <c r="AX52" s="377" t="s">
        <v>365</v>
      </c>
      <c r="AY52" s="230"/>
      <c r="AZ52" s="183" t="str">
        <f t="shared" si="183"/>
        <v/>
      </c>
      <c r="BA52" s="203" t="str">
        <f t="shared" si="12"/>
        <v>OK</v>
      </c>
      <c r="BB52" s="377" t="s">
        <v>365</v>
      </c>
      <c r="BC52" s="230"/>
      <c r="BD52" s="183" t="str">
        <f t="shared" si="184"/>
        <v/>
      </c>
      <c r="BE52" s="203" t="str">
        <f t="shared" si="14"/>
        <v>OK</v>
      </c>
      <c r="BF52" s="377" t="s">
        <v>365</v>
      </c>
      <c r="BG52" s="230"/>
      <c r="BH52" s="183" t="str">
        <f t="shared" si="185"/>
        <v/>
      </c>
      <c r="BI52" s="203" t="str">
        <f t="shared" si="16"/>
        <v>OK</v>
      </c>
      <c r="BJ52" s="377" t="s">
        <v>365</v>
      </c>
      <c r="BK52" s="230"/>
      <c r="BL52" s="183" t="str">
        <f t="shared" si="186"/>
        <v/>
      </c>
      <c r="BM52" s="203" t="str">
        <f t="shared" si="18"/>
        <v>OK</v>
      </c>
      <c r="BN52" s="377" t="s">
        <v>365</v>
      </c>
      <c r="BO52" s="230"/>
      <c r="BP52" s="183" t="str">
        <f t="shared" si="187"/>
        <v/>
      </c>
      <c r="BQ52" s="203" t="str">
        <f t="shared" si="20"/>
        <v>OK</v>
      </c>
      <c r="BR52" s="377" t="s">
        <v>365</v>
      </c>
      <c r="BS52" s="230"/>
      <c r="BT52" s="183" t="str">
        <f t="shared" si="188"/>
        <v/>
      </c>
      <c r="BU52" s="203" t="str">
        <f t="shared" si="22"/>
        <v>OK</v>
      </c>
      <c r="BV52" s="377" t="s">
        <v>365</v>
      </c>
      <c r="BW52" s="230"/>
      <c r="BX52" s="183" t="str">
        <f t="shared" si="189"/>
        <v/>
      </c>
      <c r="BY52" s="203" t="str">
        <f t="shared" si="24"/>
        <v>OK</v>
      </c>
      <c r="BZ52" s="377" t="s">
        <v>365</v>
      </c>
      <c r="CA52" s="230"/>
      <c r="CB52" s="183" t="str">
        <f t="shared" si="190"/>
        <v/>
      </c>
      <c r="CC52" s="203" t="str">
        <f t="shared" si="26"/>
        <v>OK</v>
      </c>
      <c r="CD52" s="377" t="s">
        <v>365</v>
      </c>
      <c r="CE52" s="230"/>
      <c r="CF52" s="183" t="str">
        <f t="shared" si="191"/>
        <v/>
      </c>
      <c r="CG52" s="203" t="str">
        <f t="shared" si="28"/>
        <v>OK</v>
      </c>
      <c r="CH52" s="377" t="s">
        <v>365</v>
      </c>
      <c r="CI52" s="230"/>
      <c r="CJ52" s="183" t="str">
        <f t="shared" si="192"/>
        <v/>
      </c>
      <c r="CK52" s="203" t="str">
        <f t="shared" si="30"/>
        <v>OK</v>
      </c>
      <c r="CL52" s="377" t="s">
        <v>365</v>
      </c>
      <c r="CM52" s="230"/>
      <c r="CN52" s="183" t="str">
        <f t="shared" si="193"/>
        <v/>
      </c>
      <c r="CO52" s="203" t="str">
        <f t="shared" si="32"/>
        <v>OK</v>
      </c>
      <c r="CP52" s="377" t="s">
        <v>365</v>
      </c>
      <c r="CQ52" s="230"/>
      <c r="CR52" s="183" t="str">
        <f t="shared" si="194"/>
        <v/>
      </c>
      <c r="CS52" s="203" t="str">
        <f t="shared" si="34"/>
        <v>OK</v>
      </c>
      <c r="CT52" s="377" t="s">
        <v>365</v>
      </c>
      <c r="CU52" s="230"/>
      <c r="CV52" s="183" t="str">
        <f t="shared" si="195"/>
        <v/>
      </c>
      <c r="CW52" s="203" t="str">
        <f t="shared" si="36"/>
        <v>OK</v>
      </c>
      <c r="CX52" s="377" t="s">
        <v>365</v>
      </c>
      <c r="CY52" s="230"/>
      <c r="CZ52" s="183" t="str">
        <f t="shared" si="196"/>
        <v/>
      </c>
      <c r="DA52" s="203" t="str">
        <f t="shared" si="38"/>
        <v>OK</v>
      </c>
      <c r="DB52" s="377" t="s">
        <v>365</v>
      </c>
      <c r="DC52" s="230"/>
      <c r="DD52" s="183" t="str">
        <f t="shared" si="197"/>
        <v/>
      </c>
      <c r="DE52" s="203" t="str">
        <f t="shared" si="40"/>
        <v>OK</v>
      </c>
      <c r="DF52" s="377" t="s">
        <v>365</v>
      </c>
      <c r="DG52" s="230"/>
      <c r="DH52" s="183" t="str">
        <f t="shared" si="198"/>
        <v/>
      </c>
      <c r="DI52" s="203" t="str">
        <f t="shared" si="42"/>
        <v>OK</v>
      </c>
      <c r="DJ52" s="377" t="s">
        <v>365</v>
      </c>
      <c r="DK52" s="230"/>
      <c r="DL52" s="183" t="str">
        <f t="shared" si="199"/>
        <v/>
      </c>
      <c r="DM52" s="203" t="str">
        <f t="shared" si="44"/>
        <v>OK</v>
      </c>
      <c r="DN52" s="377" t="s">
        <v>365</v>
      </c>
      <c r="DO52" s="230"/>
      <c r="DP52" s="183" t="str">
        <f t="shared" si="200"/>
        <v/>
      </c>
      <c r="DQ52" s="203" t="str">
        <f t="shared" si="46"/>
        <v>OK</v>
      </c>
      <c r="DR52" s="377" t="s">
        <v>365</v>
      </c>
      <c r="DS52" s="230"/>
      <c r="DT52" s="183" t="str">
        <f t="shared" si="201"/>
        <v/>
      </c>
      <c r="DU52" s="203" t="str">
        <f t="shared" si="48"/>
        <v>OK</v>
      </c>
      <c r="DV52" s="377" t="s">
        <v>365</v>
      </c>
      <c r="DW52" s="230"/>
      <c r="DX52" s="183" t="str">
        <f t="shared" si="202"/>
        <v/>
      </c>
      <c r="DY52" s="203" t="str">
        <f t="shared" si="50"/>
        <v>OK</v>
      </c>
      <c r="DZ52" s="377" t="s">
        <v>365</v>
      </c>
      <c r="EA52" s="230"/>
      <c r="EB52" s="183" t="str">
        <f t="shared" si="203"/>
        <v/>
      </c>
      <c r="EC52" s="203" t="str">
        <f t="shared" si="52"/>
        <v>OK</v>
      </c>
      <c r="ED52" s="377" t="s">
        <v>365</v>
      </c>
      <c r="EE52" s="230"/>
      <c r="EF52" s="183" t="str">
        <f t="shared" si="204"/>
        <v/>
      </c>
      <c r="EG52" s="203" t="str">
        <f t="shared" si="54"/>
        <v>OK</v>
      </c>
      <c r="EH52" s="377" t="s">
        <v>365</v>
      </c>
      <c r="EI52" s="230"/>
      <c r="EJ52" s="183" t="str">
        <f t="shared" si="205"/>
        <v/>
      </c>
      <c r="EK52" s="203" t="str">
        <f t="shared" si="56"/>
        <v>OK</v>
      </c>
      <c r="EL52" s="377" t="s">
        <v>365</v>
      </c>
      <c r="EM52" s="230"/>
      <c r="EN52" s="183" t="str">
        <f t="shared" si="206"/>
        <v/>
      </c>
      <c r="EO52" s="203" t="str">
        <f t="shared" si="58"/>
        <v>OK</v>
      </c>
      <c r="EP52" s="377" t="s">
        <v>365</v>
      </c>
      <c r="EQ52" s="230"/>
      <c r="ER52" s="183" t="str">
        <f t="shared" si="207"/>
        <v/>
      </c>
      <c r="ES52" s="203" t="str">
        <f t="shared" si="60"/>
        <v>OK</v>
      </c>
      <c r="ET52" s="377" t="s">
        <v>365</v>
      </c>
      <c r="EU52" s="230"/>
      <c r="EV52" s="183" t="str">
        <f t="shared" si="208"/>
        <v/>
      </c>
      <c r="EW52" s="203" t="str">
        <f t="shared" si="62"/>
        <v>OK</v>
      </c>
      <c r="EX52" s="377" t="s">
        <v>365</v>
      </c>
      <c r="EY52" s="230"/>
      <c r="EZ52" s="183" t="str">
        <f t="shared" si="209"/>
        <v/>
      </c>
      <c r="FA52" s="203" t="str">
        <f t="shared" si="64"/>
        <v>OK</v>
      </c>
      <c r="FB52" s="377" t="s">
        <v>365</v>
      </c>
      <c r="FC52" s="230"/>
      <c r="FD52" s="183" t="str">
        <f t="shared" si="210"/>
        <v/>
      </c>
      <c r="FE52" s="203" t="str">
        <f t="shared" si="66"/>
        <v>OK</v>
      </c>
      <c r="FF52" s="377" t="s">
        <v>365</v>
      </c>
      <c r="FG52" s="230"/>
      <c r="FH52" s="183" t="str">
        <f t="shared" si="211"/>
        <v/>
      </c>
      <c r="FI52" s="203" t="str">
        <f t="shared" si="68"/>
        <v>OK</v>
      </c>
      <c r="FJ52" s="377" t="s">
        <v>365</v>
      </c>
      <c r="FK52" s="230"/>
      <c r="FL52" s="183" t="str">
        <f t="shared" si="212"/>
        <v/>
      </c>
      <c r="FM52" s="203" t="str">
        <f t="shared" si="70"/>
        <v>OK</v>
      </c>
      <c r="FN52" s="377" t="s">
        <v>365</v>
      </c>
      <c r="FO52" s="230"/>
      <c r="FP52" s="183" t="str">
        <f t="shared" si="213"/>
        <v/>
      </c>
      <c r="FQ52" s="203" t="str">
        <f t="shared" si="72"/>
        <v>OK</v>
      </c>
      <c r="FR52" s="377" t="s">
        <v>365</v>
      </c>
      <c r="FS52" s="230"/>
      <c r="FT52" s="183" t="str">
        <f t="shared" si="214"/>
        <v/>
      </c>
      <c r="FU52" s="203" t="str">
        <f t="shared" si="74"/>
        <v>OK</v>
      </c>
      <c r="FV52" s="377" t="s">
        <v>365</v>
      </c>
      <c r="FW52" s="230"/>
      <c r="FX52" s="183" t="str">
        <f t="shared" si="215"/>
        <v/>
      </c>
      <c r="FY52" s="203" t="str">
        <f t="shared" si="76"/>
        <v>OK</v>
      </c>
      <c r="FZ52" s="377" t="s">
        <v>365</v>
      </c>
      <c r="GA52" s="230"/>
      <c r="GB52" s="183" t="str">
        <f t="shared" si="216"/>
        <v/>
      </c>
      <c r="GC52" s="203" t="str">
        <f t="shared" si="78"/>
        <v>OK</v>
      </c>
      <c r="GD52" s="377" t="s">
        <v>365</v>
      </c>
      <c r="GE52" s="230"/>
      <c r="GF52" s="183" t="str">
        <f t="shared" si="217"/>
        <v/>
      </c>
      <c r="GG52" s="203" t="str">
        <f t="shared" si="80"/>
        <v>OK</v>
      </c>
      <c r="GH52" s="377" t="s">
        <v>365</v>
      </c>
      <c r="GI52" s="230"/>
      <c r="GJ52" s="183" t="str">
        <f t="shared" si="218"/>
        <v/>
      </c>
      <c r="GK52" s="203" t="str">
        <f t="shared" si="82"/>
        <v>OK</v>
      </c>
      <c r="GL52" s="377" t="s">
        <v>365</v>
      </c>
      <c r="GM52" s="230"/>
      <c r="GN52" s="183" t="str">
        <f t="shared" si="219"/>
        <v/>
      </c>
      <c r="GO52" s="203" t="str">
        <f t="shared" si="84"/>
        <v>OK</v>
      </c>
      <c r="GP52" s="378" t="s">
        <v>365</v>
      </c>
      <c r="GQ52" s="230"/>
      <c r="GR52" s="183" t="str">
        <f t="shared" si="220"/>
        <v/>
      </c>
      <c r="GS52" s="203" t="str">
        <f t="shared" si="86"/>
        <v>OK</v>
      </c>
      <c r="GT52" s="202"/>
      <c r="GU52" s="202"/>
      <c r="GV52" s="201"/>
      <c r="GW52" s="201"/>
      <c r="GX52" s="201"/>
    </row>
    <row r="53" spans="1:206">
      <c r="A53" s="200" t="s">
        <v>59</v>
      </c>
      <c r="B53" s="225">
        <f t="shared" si="130"/>
        <v>46</v>
      </c>
      <c r="C53" s="229"/>
      <c r="D53" s="229"/>
      <c r="E53" s="228"/>
      <c r="F53" s="228"/>
      <c r="G53" s="222" t="s">
        <v>363</v>
      </c>
      <c r="H53" s="220"/>
      <c r="I53" s="209"/>
      <c r="J53" s="217" t="s">
        <v>326</v>
      </c>
      <c r="K53" s="219"/>
      <c r="L53" s="219"/>
      <c r="M53" s="218"/>
      <c r="N53" s="217"/>
      <c r="O53" s="216"/>
      <c r="P53" s="212"/>
      <c r="Q53" s="212"/>
      <c r="R53" s="215"/>
      <c r="S53" s="214"/>
      <c r="T53" s="212"/>
      <c r="U53" s="213"/>
      <c r="V53" s="212"/>
      <c r="W53" s="211" t="str">
        <f t="shared" si="131"/>
        <v>4</v>
      </c>
      <c r="X53" s="210" t="s">
        <v>364</v>
      </c>
      <c r="Y53" s="210">
        <v>1</v>
      </c>
      <c r="Z53" s="210">
        <v>180</v>
      </c>
      <c r="AA53" s="209" t="s">
        <v>55</v>
      </c>
      <c r="AB53" s="209" t="s">
        <v>306</v>
      </c>
      <c r="AC53" s="207"/>
      <c r="AD53" s="377" t="s">
        <v>363</v>
      </c>
      <c r="AE53" s="230"/>
      <c r="AF53" s="183" t="str">
        <f t="shared" si="178"/>
        <v/>
      </c>
      <c r="AG53" s="203" t="str">
        <f t="shared" si="175"/>
        <v>OK</v>
      </c>
      <c r="AH53" s="377" t="s">
        <v>363</v>
      </c>
      <c r="AI53" s="230"/>
      <c r="AJ53" s="183" t="str">
        <f t="shared" si="179"/>
        <v/>
      </c>
      <c r="AK53" s="203" t="str">
        <f t="shared" si="176"/>
        <v>OK</v>
      </c>
      <c r="AL53" s="377" t="s">
        <v>363</v>
      </c>
      <c r="AM53" s="230"/>
      <c r="AN53" s="183" t="str">
        <f t="shared" si="180"/>
        <v/>
      </c>
      <c r="AO53" s="203" t="str">
        <f t="shared" si="177"/>
        <v>OK</v>
      </c>
      <c r="AP53" s="377" t="s">
        <v>363</v>
      </c>
      <c r="AQ53" s="230"/>
      <c r="AR53" s="183" t="str">
        <f t="shared" si="181"/>
        <v/>
      </c>
      <c r="AS53" s="203" t="str">
        <f t="shared" si="8"/>
        <v>OK</v>
      </c>
      <c r="AT53" s="377" t="s">
        <v>363</v>
      </c>
      <c r="AU53" s="230"/>
      <c r="AV53" s="183" t="str">
        <f t="shared" si="182"/>
        <v/>
      </c>
      <c r="AW53" s="203" t="str">
        <f t="shared" si="10"/>
        <v>OK</v>
      </c>
      <c r="AX53" s="377" t="s">
        <v>363</v>
      </c>
      <c r="AY53" s="230"/>
      <c r="AZ53" s="183" t="str">
        <f t="shared" si="183"/>
        <v/>
      </c>
      <c r="BA53" s="203" t="str">
        <f t="shared" si="12"/>
        <v>OK</v>
      </c>
      <c r="BB53" s="377" t="s">
        <v>363</v>
      </c>
      <c r="BC53" s="230"/>
      <c r="BD53" s="183" t="str">
        <f t="shared" si="184"/>
        <v/>
      </c>
      <c r="BE53" s="203" t="str">
        <f t="shared" si="14"/>
        <v>OK</v>
      </c>
      <c r="BF53" s="377" t="s">
        <v>363</v>
      </c>
      <c r="BG53" s="230"/>
      <c r="BH53" s="183" t="str">
        <f t="shared" si="185"/>
        <v/>
      </c>
      <c r="BI53" s="203" t="str">
        <f t="shared" si="16"/>
        <v>OK</v>
      </c>
      <c r="BJ53" s="377" t="s">
        <v>363</v>
      </c>
      <c r="BK53" s="230"/>
      <c r="BL53" s="183" t="str">
        <f t="shared" si="186"/>
        <v/>
      </c>
      <c r="BM53" s="203" t="str">
        <f t="shared" si="18"/>
        <v>OK</v>
      </c>
      <c r="BN53" s="377" t="s">
        <v>363</v>
      </c>
      <c r="BO53" s="230"/>
      <c r="BP53" s="183" t="str">
        <f t="shared" si="187"/>
        <v/>
      </c>
      <c r="BQ53" s="203" t="str">
        <f t="shared" si="20"/>
        <v>OK</v>
      </c>
      <c r="BR53" s="377" t="s">
        <v>363</v>
      </c>
      <c r="BS53" s="230"/>
      <c r="BT53" s="183" t="str">
        <f t="shared" si="188"/>
        <v/>
      </c>
      <c r="BU53" s="203" t="str">
        <f t="shared" si="22"/>
        <v>OK</v>
      </c>
      <c r="BV53" s="377" t="s">
        <v>363</v>
      </c>
      <c r="BW53" s="230"/>
      <c r="BX53" s="183" t="str">
        <f t="shared" si="189"/>
        <v/>
      </c>
      <c r="BY53" s="203" t="str">
        <f t="shared" si="24"/>
        <v>OK</v>
      </c>
      <c r="BZ53" s="377" t="s">
        <v>363</v>
      </c>
      <c r="CA53" s="230"/>
      <c r="CB53" s="183" t="str">
        <f t="shared" si="190"/>
        <v/>
      </c>
      <c r="CC53" s="203" t="str">
        <f t="shared" si="26"/>
        <v>OK</v>
      </c>
      <c r="CD53" s="377" t="s">
        <v>363</v>
      </c>
      <c r="CE53" s="230"/>
      <c r="CF53" s="183" t="str">
        <f t="shared" si="191"/>
        <v/>
      </c>
      <c r="CG53" s="203" t="str">
        <f t="shared" si="28"/>
        <v>OK</v>
      </c>
      <c r="CH53" s="377" t="s">
        <v>363</v>
      </c>
      <c r="CI53" s="230"/>
      <c r="CJ53" s="183" t="str">
        <f t="shared" si="192"/>
        <v/>
      </c>
      <c r="CK53" s="203" t="str">
        <f t="shared" si="30"/>
        <v>OK</v>
      </c>
      <c r="CL53" s="377" t="s">
        <v>363</v>
      </c>
      <c r="CM53" s="230"/>
      <c r="CN53" s="183" t="str">
        <f t="shared" si="193"/>
        <v/>
      </c>
      <c r="CO53" s="203" t="str">
        <f t="shared" si="32"/>
        <v>OK</v>
      </c>
      <c r="CP53" s="377" t="s">
        <v>363</v>
      </c>
      <c r="CQ53" s="230"/>
      <c r="CR53" s="183" t="str">
        <f t="shared" si="194"/>
        <v/>
      </c>
      <c r="CS53" s="203" t="str">
        <f t="shared" si="34"/>
        <v>OK</v>
      </c>
      <c r="CT53" s="377" t="s">
        <v>363</v>
      </c>
      <c r="CU53" s="230"/>
      <c r="CV53" s="183" t="str">
        <f t="shared" si="195"/>
        <v/>
      </c>
      <c r="CW53" s="203" t="str">
        <f t="shared" si="36"/>
        <v>OK</v>
      </c>
      <c r="CX53" s="377" t="s">
        <v>363</v>
      </c>
      <c r="CY53" s="230"/>
      <c r="CZ53" s="183" t="str">
        <f t="shared" si="196"/>
        <v/>
      </c>
      <c r="DA53" s="203" t="str">
        <f t="shared" si="38"/>
        <v>OK</v>
      </c>
      <c r="DB53" s="377" t="s">
        <v>363</v>
      </c>
      <c r="DC53" s="230"/>
      <c r="DD53" s="183" t="str">
        <f t="shared" si="197"/>
        <v/>
      </c>
      <c r="DE53" s="203" t="str">
        <f t="shared" si="40"/>
        <v>OK</v>
      </c>
      <c r="DF53" s="377" t="s">
        <v>363</v>
      </c>
      <c r="DG53" s="230"/>
      <c r="DH53" s="183" t="str">
        <f t="shared" si="198"/>
        <v/>
      </c>
      <c r="DI53" s="203" t="str">
        <f t="shared" si="42"/>
        <v>OK</v>
      </c>
      <c r="DJ53" s="377" t="s">
        <v>363</v>
      </c>
      <c r="DK53" s="230"/>
      <c r="DL53" s="183" t="str">
        <f t="shared" si="199"/>
        <v/>
      </c>
      <c r="DM53" s="203" t="str">
        <f t="shared" si="44"/>
        <v>OK</v>
      </c>
      <c r="DN53" s="377" t="s">
        <v>363</v>
      </c>
      <c r="DO53" s="230"/>
      <c r="DP53" s="183" t="str">
        <f t="shared" si="200"/>
        <v/>
      </c>
      <c r="DQ53" s="203" t="str">
        <f t="shared" si="46"/>
        <v>OK</v>
      </c>
      <c r="DR53" s="377" t="s">
        <v>363</v>
      </c>
      <c r="DS53" s="230"/>
      <c r="DT53" s="183" t="str">
        <f t="shared" si="201"/>
        <v/>
      </c>
      <c r="DU53" s="203" t="str">
        <f t="shared" si="48"/>
        <v>OK</v>
      </c>
      <c r="DV53" s="377" t="s">
        <v>363</v>
      </c>
      <c r="DW53" s="230"/>
      <c r="DX53" s="183" t="str">
        <f t="shared" si="202"/>
        <v/>
      </c>
      <c r="DY53" s="203" t="str">
        <f t="shared" si="50"/>
        <v>OK</v>
      </c>
      <c r="DZ53" s="377" t="s">
        <v>363</v>
      </c>
      <c r="EA53" s="230"/>
      <c r="EB53" s="183" t="str">
        <f t="shared" si="203"/>
        <v/>
      </c>
      <c r="EC53" s="203" t="str">
        <f t="shared" si="52"/>
        <v>OK</v>
      </c>
      <c r="ED53" s="377" t="s">
        <v>363</v>
      </c>
      <c r="EE53" s="230"/>
      <c r="EF53" s="183" t="str">
        <f t="shared" si="204"/>
        <v/>
      </c>
      <c r="EG53" s="203" t="str">
        <f t="shared" si="54"/>
        <v>OK</v>
      </c>
      <c r="EH53" s="377" t="s">
        <v>363</v>
      </c>
      <c r="EI53" s="230"/>
      <c r="EJ53" s="183" t="str">
        <f t="shared" si="205"/>
        <v/>
      </c>
      <c r="EK53" s="203" t="str">
        <f t="shared" si="56"/>
        <v>OK</v>
      </c>
      <c r="EL53" s="377" t="s">
        <v>363</v>
      </c>
      <c r="EM53" s="230"/>
      <c r="EN53" s="183" t="str">
        <f t="shared" si="206"/>
        <v/>
      </c>
      <c r="EO53" s="203" t="str">
        <f t="shared" si="58"/>
        <v>OK</v>
      </c>
      <c r="EP53" s="377" t="s">
        <v>363</v>
      </c>
      <c r="EQ53" s="230"/>
      <c r="ER53" s="183" t="str">
        <f t="shared" si="207"/>
        <v/>
      </c>
      <c r="ES53" s="203" t="str">
        <f t="shared" si="60"/>
        <v>OK</v>
      </c>
      <c r="ET53" s="377" t="s">
        <v>363</v>
      </c>
      <c r="EU53" s="230"/>
      <c r="EV53" s="183" t="str">
        <f t="shared" si="208"/>
        <v/>
      </c>
      <c r="EW53" s="203" t="str">
        <f t="shared" si="62"/>
        <v>OK</v>
      </c>
      <c r="EX53" s="377" t="s">
        <v>363</v>
      </c>
      <c r="EY53" s="230"/>
      <c r="EZ53" s="183" t="str">
        <f t="shared" si="209"/>
        <v/>
      </c>
      <c r="FA53" s="203" t="str">
        <f t="shared" si="64"/>
        <v>OK</v>
      </c>
      <c r="FB53" s="377" t="s">
        <v>363</v>
      </c>
      <c r="FC53" s="230"/>
      <c r="FD53" s="183" t="str">
        <f t="shared" si="210"/>
        <v/>
      </c>
      <c r="FE53" s="203" t="str">
        <f t="shared" si="66"/>
        <v>OK</v>
      </c>
      <c r="FF53" s="377" t="s">
        <v>363</v>
      </c>
      <c r="FG53" s="230"/>
      <c r="FH53" s="183" t="str">
        <f t="shared" si="211"/>
        <v/>
      </c>
      <c r="FI53" s="203" t="str">
        <f t="shared" si="68"/>
        <v>OK</v>
      </c>
      <c r="FJ53" s="377" t="s">
        <v>363</v>
      </c>
      <c r="FK53" s="230"/>
      <c r="FL53" s="183" t="str">
        <f t="shared" si="212"/>
        <v/>
      </c>
      <c r="FM53" s="203" t="str">
        <f t="shared" si="70"/>
        <v>OK</v>
      </c>
      <c r="FN53" s="377" t="s">
        <v>363</v>
      </c>
      <c r="FO53" s="230"/>
      <c r="FP53" s="183" t="str">
        <f t="shared" si="213"/>
        <v/>
      </c>
      <c r="FQ53" s="203" t="str">
        <f t="shared" si="72"/>
        <v>OK</v>
      </c>
      <c r="FR53" s="377" t="s">
        <v>363</v>
      </c>
      <c r="FS53" s="230"/>
      <c r="FT53" s="183" t="str">
        <f t="shared" si="214"/>
        <v/>
      </c>
      <c r="FU53" s="203" t="str">
        <f t="shared" si="74"/>
        <v>OK</v>
      </c>
      <c r="FV53" s="377" t="s">
        <v>363</v>
      </c>
      <c r="FW53" s="230"/>
      <c r="FX53" s="183" t="str">
        <f t="shared" si="215"/>
        <v/>
      </c>
      <c r="FY53" s="203" t="str">
        <f t="shared" si="76"/>
        <v>OK</v>
      </c>
      <c r="FZ53" s="377" t="s">
        <v>363</v>
      </c>
      <c r="GA53" s="230"/>
      <c r="GB53" s="183" t="str">
        <f t="shared" si="216"/>
        <v/>
      </c>
      <c r="GC53" s="203" t="str">
        <f t="shared" si="78"/>
        <v>OK</v>
      </c>
      <c r="GD53" s="377" t="s">
        <v>363</v>
      </c>
      <c r="GE53" s="230"/>
      <c r="GF53" s="183" t="str">
        <f t="shared" si="217"/>
        <v/>
      </c>
      <c r="GG53" s="203" t="str">
        <f t="shared" si="80"/>
        <v>OK</v>
      </c>
      <c r="GH53" s="377" t="s">
        <v>363</v>
      </c>
      <c r="GI53" s="230"/>
      <c r="GJ53" s="183" t="str">
        <f t="shared" si="218"/>
        <v/>
      </c>
      <c r="GK53" s="203" t="str">
        <f t="shared" si="82"/>
        <v>OK</v>
      </c>
      <c r="GL53" s="377" t="s">
        <v>363</v>
      </c>
      <c r="GM53" s="230"/>
      <c r="GN53" s="183" t="str">
        <f t="shared" si="219"/>
        <v/>
      </c>
      <c r="GO53" s="203" t="str">
        <f t="shared" si="84"/>
        <v>OK</v>
      </c>
      <c r="GP53" s="378" t="s">
        <v>363</v>
      </c>
      <c r="GQ53" s="230"/>
      <c r="GR53" s="183" t="str">
        <f t="shared" si="220"/>
        <v/>
      </c>
      <c r="GS53" s="203" t="str">
        <f t="shared" si="86"/>
        <v>OK</v>
      </c>
      <c r="GT53" s="202"/>
      <c r="GU53" s="202"/>
      <c r="GV53" s="201"/>
      <c r="GW53" s="201"/>
      <c r="GX53" s="201"/>
    </row>
    <row r="54" spans="1:206">
      <c r="A54" s="200" t="s">
        <v>59</v>
      </c>
      <c r="B54" s="225">
        <f t="shared" si="130"/>
        <v>47</v>
      </c>
      <c r="C54" s="229"/>
      <c r="D54" s="229"/>
      <c r="E54" s="228"/>
      <c r="F54" s="228"/>
      <c r="G54" s="222" t="s">
        <v>361</v>
      </c>
      <c r="H54" s="220"/>
      <c r="I54" s="209"/>
      <c r="J54" s="217" t="s">
        <v>326</v>
      </c>
      <c r="K54" s="219"/>
      <c r="L54" s="219"/>
      <c r="M54" s="218"/>
      <c r="N54" s="217"/>
      <c r="O54" s="216"/>
      <c r="P54" s="212"/>
      <c r="Q54" s="212"/>
      <c r="R54" s="215"/>
      <c r="S54" s="214"/>
      <c r="T54" s="212"/>
      <c r="U54" s="213"/>
      <c r="V54" s="212"/>
      <c r="W54" s="211" t="str">
        <f t="shared" si="131"/>
        <v>4</v>
      </c>
      <c r="X54" s="210" t="s">
        <v>362</v>
      </c>
      <c r="Y54" s="210">
        <v>1</v>
      </c>
      <c r="Z54" s="210">
        <v>180</v>
      </c>
      <c r="AA54" s="209" t="s">
        <v>55</v>
      </c>
      <c r="AB54" s="209" t="s">
        <v>306</v>
      </c>
      <c r="AC54" s="207"/>
      <c r="AD54" s="377" t="s">
        <v>361</v>
      </c>
      <c r="AE54" s="230"/>
      <c r="AF54" s="183" t="str">
        <f t="shared" si="178"/>
        <v/>
      </c>
      <c r="AG54" s="203" t="str">
        <f t="shared" si="175"/>
        <v>OK</v>
      </c>
      <c r="AH54" s="377" t="s">
        <v>361</v>
      </c>
      <c r="AI54" s="230"/>
      <c r="AJ54" s="183" t="str">
        <f t="shared" si="179"/>
        <v/>
      </c>
      <c r="AK54" s="203" t="str">
        <f t="shared" si="176"/>
        <v>OK</v>
      </c>
      <c r="AL54" s="377" t="s">
        <v>361</v>
      </c>
      <c r="AM54" s="230"/>
      <c r="AN54" s="183" t="str">
        <f t="shared" si="180"/>
        <v/>
      </c>
      <c r="AO54" s="203" t="str">
        <f t="shared" si="177"/>
        <v>OK</v>
      </c>
      <c r="AP54" s="377" t="s">
        <v>361</v>
      </c>
      <c r="AQ54" s="230"/>
      <c r="AR54" s="183" t="str">
        <f t="shared" si="181"/>
        <v/>
      </c>
      <c r="AS54" s="203" t="str">
        <f t="shared" si="8"/>
        <v>OK</v>
      </c>
      <c r="AT54" s="377" t="s">
        <v>361</v>
      </c>
      <c r="AU54" s="230"/>
      <c r="AV54" s="183" t="str">
        <f t="shared" si="182"/>
        <v/>
      </c>
      <c r="AW54" s="203" t="str">
        <f t="shared" si="10"/>
        <v>OK</v>
      </c>
      <c r="AX54" s="377" t="s">
        <v>361</v>
      </c>
      <c r="AY54" s="230"/>
      <c r="AZ54" s="183" t="str">
        <f t="shared" si="183"/>
        <v/>
      </c>
      <c r="BA54" s="203" t="str">
        <f t="shared" si="12"/>
        <v>OK</v>
      </c>
      <c r="BB54" s="377" t="s">
        <v>361</v>
      </c>
      <c r="BC54" s="230"/>
      <c r="BD54" s="183" t="str">
        <f t="shared" si="184"/>
        <v/>
      </c>
      <c r="BE54" s="203" t="str">
        <f t="shared" si="14"/>
        <v>OK</v>
      </c>
      <c r="BF54" s="377" t="s">
        <v>361</v>
      </c>
      <c r="BG54" s="230"/>
      <c r="BH54" s="183" t="str">
        <f t="shared" si="185"/>
        <v/>
      </c>
      <c r="BI54" s="203" t="str">
        <f t="shared" si="16"/>
        <v>OK</v>
      </c>
      <c r="BJ54" s="377" t="s">
        <v>361</v>
      </c>
      <c r="BK54" s="230"/>
      <c r="BL54" s="183" t="str">
        <f t="shared" si="186"/>
        <v/>
      </c>
      <c r="BM54" s="203" t="str">
        <f t="shared" si="18"/>
        <v>OK</v>
      </c>
      <c r="BN54" s="377" t="s">
        <v>361</v>
      </c>
      <c r="BO54" s="230"/>
      <c r="BP54" s="183" t="str">
        <f t="shared" si="187"/>
        <v/>
      </c>
      <c r="BQ54" s="203" t="str">
        <f t="shared" si="20"/>
        <v>OK</v>
      </c>
      <c r="BR54" s="377" t="s">
        <v>361</v>
      </c>
      <c r="BS54" s="230"/>
      <c r="BT54" s="183" t="str">
        <f t="shared" si="188"/>
        <v/>
      </c>
      <c r="BU54" s="203" t="str">
        <f t="shared" si="22"/>
        <v>OK</v>
      </c>
      <c r="BV54" s="377" t="s">
        <v>361</v>
      </c>
      <c r="BW54" s="230"/>
      <c r="BX54" s="183" t="str">
        <f t="shared" si="189"/>
        <v/>
      </c>
      <c r="BY54" s="203" t="str">
        <f t="shared" si="24"/>
        <v>OK</v>
      </c>
      <c r="BZ54" s="377" t="s">
        <v>361</v>
      </c>
      <c r="CA54" s="230"/>
      <c r="CB54" s="183" t="str">
        <f t="shared" si="190"/>
        <v/>
      </c>
      <c r="CC54" s="203" t="str">
        <f t="shared" si="26"/>
        <v>OK</v>
      </c>
      <c r="CD54" s="377" t="s">
        <v>361</v>
      </c>
      <c r="CE54" s="230"/>
      <c r="CF54" s="183" t="str">
        <f t="shared" si="191"/>
        <v/>
      </c>
      <c r="CG54" s="203" t="str">
        <f t="shared" si="28"/>
        <v>OK</v>
      </c>
      <c r="CH54" s="377" t="s">
        <v>361</v>
      </c>
      <c r="CI54" s="230"/>
      <c r="CJ54" s="183" t="str">
        <f t="shared" si="192"/>
        <v/>
      </c>
      <c r="CK54" s="203" t="str">
        <f t="shared" si="30"/>
        <v>OK</v>
      </c>
      <c r="CL54" s="377" t="s">
        <v>361</v>
      </c>
      <c r="CM54" s="230"/>
      <c r="CN54" s="183" t="str">
        <f t="shared" si="193"/>
        <v/>
      </c>
      <c r="CO54" s="203" t="str">
        <f t="shared" si="32"/>
        <v>OK</v>
      </c>
      <c r="CP54" s="377" t="s">
        <v>361</v>
      </c>
      <c r="CQ54" s="230"/>
      <c r="CR54" s="183" t="str">
        <f t="shared" si="194"/>
        <v/>
      </c>
      <c r="CS54" s="203" t="str">
        <f t="shared" si="34"/>
        <v>OK</v>
      </c>
      <c r="CT54" s="377" t="s">
        <v>361</v>
      </c>
      <c r="CU54" s="230"/>
      <c r="CV54" s="183" t="str">
        <f t="shared" si="195"/>
        <v/>
      </c>
      <c r="CW54" s="203" t="str">
        <f t="shared" si="36"/>
        <v>OK</v>
      </c>
      <c r="CX54" s="377" t="s">
        <v>361</v>
      </c>
      <c r="CY54" s="230"/>
      <c r="CZ54" s="183" t="str">
        <f t="shared" si="196"/>
        <v/>
      </c>
      <c r="DA54" s="203" t="str">
        <f t="shared" si="38"/>
        <v>OK</v>
      </c>
      <c r="DB54" s="377" t="s">
        <v>361</v>
      </c>
      <c r="DC54" s="230"/>
      <c r="DD54" s="183" t="str">
        <f t="shared" si="197"/>
        <v/>
      </c>
      <c r="DE54" s="203" t="str">
        <f t="shared" si="40"/>
        <v>OK</v>
      </c>
      <c r="DF54" s="377" t="s">
        <v>361</v>
      </c>
      <c r="DG54" s="230"/>
      <c r="DH54" s="183" t="str">
        <f t="shared" si="198"/>
        <v/>
      </c>
      <c r="DI54" s="203" t="str">
        <f t="shared" si="42"/>
        <v>OK</v>
      </c>
      <c r="DJ54" s="377" t="s">
        <v>361</v>
      </c>
      <c r="DK54" s="230"/>
      <c r="DL54" s="183" t="str">
        <f t="shared" si="199"/>
        <v/>
      </c>
      <c r="DM54" s="203" t="str">
        <f t="shared" si="44"/>
        <v>OK</v>
      </c>
      <c r="DN54" s="377" t="s">
        <v>361</v>
      </c>
      <c r="DO54" s="230"/>
      <c r="DP54" s="183" t="str">
        <f t="shared" si="200"/>
        <v/>
      </c>
      <c r="DQ54" s="203" t="str">
        <f t="shared" si="46"/>
        <v>OK</v>
      </c>
      <c r="DR54" s="377" t="s">
        <v>361</v>
      </c>
      <c r="DS54" s="230"/>
      <c r="DT54" s="183" t="str">
        <f t="shared" si="201"/>
        <v/>
      </c>
      <c r="DU54" s="203" t="str">
        <f t="shared" si="48"/>
        <v>OK</v>
      </c>
      <c r="DV54" s="377" t="s">
        <v>361</v>
      </c>
      <c r="DW54" s="230"/>
      <c r="DX54" s="183" t="str">
        <f t="shared" si="202"/>
        <v/>
      </c>
      <c r="DY54" s="203" t="str">
        <f t="shared" si="50"/>
        <v>OK</v>
      </c>
      <c r="DZ54" s="377" t="s">
        <v>361</v>
      </c>
      <c r="EA54" s="230"/>
      <c r="EB54" s="183" t="str">
        <f t="shared" si="203"/>
        <v/>
      </c>
      <c r="EC54" s="203" t="str">
        <f t="shared" si="52"/>
        <v>OK</v>
      </c>
      <c r="ED54" s="377" t="s">
        <v>361</v>
      </c>
      <c r="EE54" s="230"/>
      <c r="EF54" s="183" t="str">
        <f t="shared" si="204"/>
        <v/>
      </c>
      <c r="EG54" s="203" t="str">
        <f t="shared" si="54"/>
        <v>OK</v>
      </c>
      <c r="EH54" s="377" t="s">
        <v>361</v>
      </c>
      <c r="EI54" s="230"/>
      <c r="EJ54" s="183" t="str">
        <f t="shared" si="205"/>
        <v/>
      </c>
      <c r="EK54" s="203" t="str">
        <f t="shared" si="56"/>
        <v>OK</v>
      </c>
      <c r="EL54" s="377" t="s">
        <v>361</v>
      </c>
      <c r="EM54" s="230"/>
      <c r="EN54" s="183" t="str">
        <f t="shared" si="206"/>
        <v/>
      </c>
      <c r="EO54" s="203" t="str">
        <f t="shared" si="58"/>
        <v>OK</v>
      </c>
      <c r="EP54" s="377" t="s">
        <v>361</v>
      </c>
      <c r="EQ54" s="230"/>
      <c r="ER54" s="183" t="str">
        <f t="shared" si="207"/>
        <v/>
      </c>
      <c r="ES54" s="203" t="str">
        <f t="shared" si="60"/>
        <v>OK</v>
      </c>
      <c r="ET54" s="377" t="s">
        <v>361</v>
      </c>
      <c r="EU54" s="230"/>
      <c r="EV54" s="183" t="str">
        <f t="shared" si="208"/>
        <v/>
      </c>
      <c r="EW54" s="203" t="str">
        <f t="shared" si="62"/>
        <v>OK</v>
      </c>
      <c r="EX54" s="377" t="s">
        <v>361</v>
      </c>
      <c r="EY54" s="230"/>
      <c r="EZ54" s="183" t="str">
        <f t="shared" si="209"/>
        <v/>
      </c>
      <c r="FA54" s="203" t="str">
        <f t="shared" si="64"/>
        <v>OK</v>
      </c>
      <c r="FB54" s="377" t="s">
        <v>361</v>
      </c>
      <c r="FC54" s="230"/>
      <c r="FD54" s="183" t="str">
        <f t="shared" si="210"/>
        <v/>
      </c>
      <c r="FE54" s="203" t="str">
        <f t="shared" si="66"/>
        <v>OK</v>
      </c>
      <c r="FF54" s="377" t="s">
        <v>361</v>
      </c>
      <c r="FG54" s="230"/>
      <c r="FH54" s="183" t="str">
        <f t="shared" si="211"/>
        <v/>
      </c>
      <c r="FI54" s="203" t="str">
        <f t="shared" si="68"/>
        <v>OK</v>
      </c>
      <c r="FJ54" s="377" t="s">
        <v>361</v>
      </c>
      <c r="FK54" s="230"/>
      <c r="FL54" s="183" t="str">
        <f t="shared" si="212"/>
        <v/>
      </c>
      <c r="FM54" s="203" t="str">
        <f t="shared" si="70"/>
        <v>OK</v>
      </c>
      <c r="FN54" s="377" t="s">
        <v>361</v>
      </c>
      <c r="FO54" s="230"/>
      <c r="FP54" s="183" t="str">
        <f t="shared" si="213"/>
        <v/>
      </c>
      <c r="FQ54" s="203" t="str">
        <f t="shared" si="72"/>
        <v>OK</v>
      </c>
      <c r="FR54" s="377" t="s">
        <v>361</v>
      </c>
      <c r="FS54" s="230"/>
      <c r="FT54" s="183" t="str">
        <f t="shared" si="214"/>
        <v/>
      </c>
      <c r="FU54" s="203" t="str">
        <f t="shared" si="74"/>
        <v>OK</v>
      </c>
      <c r="FV54" s="377" t="s">
        <v>361</v>
      </c>
      <c r="FW54" s="230"/>
      <c r="FX54" s="183" t="str">
        <f t="shared" si="215"/>
        <v/>
      </c>
      <c r="FY54" s="203" t="str">
        <f t="shared" si="76"/>
        <v>OK</v>
      </c>
      <c r="FZ54" s="377" t="s">
        <v>361</v>
      </c>
      <c r="GA54" s="230"/>
      <c r="GB54" s="183" t="str">
        <f t="shared" si="216"/>
        <v/>
      </c>
      <c r="GC54" s="203" t="str">
        <f t="shared" si="78"/>
        <v>OK</v>
      </c>
      <c r="GD54" s="377" t="s">
        <v>361</v>
      </c>
      <c r="GE54" s="230"/>
      <c r="GF54" s="183" t="str">
        <f t="shared" si="217"/>
        <v/>
      </c>
      <c r="GG54" s="203" t="str">
        <f t="shared" si="80"/>
        <v>OK</v>
      </c>
      <c r="GH54" s="377" t="s">
        <v>361</v>
      </c>
      <c r="GI54" s="230"/>
      <c r="GJ54" s="183" t="str">
        <f t="shared" si="218"/>
        <v/>
      </c>
      <c r="GK54" s="203" t="str">
        <f t="shared" si="82"/>
        <v>OK</v>
      </c>
      <c r="GL54" s="377" t="s">
        <v>361</v>
      </c>
      <c r="GM54" s="230"/>
      <c r="GN54" s="183" t="str">
        <f t="shared" si="219"/>
        <v/>
      </c>
      <c r="GO54" s="203" t="str">
        <f t="shared" si="84"/>
        <v>OK</v>
      </c>
      <c r="GP54" s="378" t="s">
        <v>361</v>
      </c>
      <c r="GQ54" s="230"/>
      <c r="GR54" s="183" t="str">
        <f t="shared" si="220"/>
        <v/>
      </c>
      <c r="GS54" s="203" t="str">
        <f t="shared" si="86"/>
        <v>OK</v>
      </c>
      <c r="GT54" s="202"/>
      <c r="GU54" s="202"/>
      <c r="GV54" s="201"/>
      <c r="GW54" s="201"/>
      <c r="GX54" s="201"/>
    </row>
    <row r="55" spans="1:206">
      <c r="A55" s="200" t="s">
        <v>59</v>
      </c>
      <c r="B55" s="225">
        <f t="shared" ref="B55:B81" si="221">ROW()-7</f>
        <v>48</v>
      </c>
      <c r="C55" s="229"/>
      <c r="D55" s="229"/>
      <c r="E55" s="228"/>
      <c r="F55" s="228"/>
      <c r="G55" s="222" t="s">
        <v>359</v>
      </c>
      <c r="H55" s="220"/>
      <c r="I55" s="209"/>
      <c r="J55" s="217" t="s">
        <v>326</v>
      </c>
      <c r="K55" s="219"/>
      <c r="L55" s="219"/>
      <c r="M55" s="218"/>
      <c r="N55" s="217"/>
      <c r="O55" s="216"/>
      <c r="P55" s="212"/>
      <c r="Q55" s="212"/>
      <c r="R55" s="215"/>
      <c r="S55" s="214"/>
      <c r="T55" s="212"/>
      <c r="U55" s="213"/>
      <c r="V55" s="212"/>
      <c r="W55" s="211" t="str">
        <f t="shared" si="131"/>
        <v>4</v>
      </c>
      <c r="X55" s="210" t="s">
        <v>360</v>
      </c>
      <c r="Y55" s="210">
        <v>1</v>
      </c>
      <c r="Z55" s="210">
        <v>180</v>
      </c>
      <c r="AA55" s="209" t="s">
        <v>55</v>
      </c>
      <c r="AB55" s="209" t="s">
        <v>306</v>
      </c>
      <c r="AC55" s="207"/>
      <c r="AD55" s="377" t="s">
        <v>359</v>
      </c>
      <c r="AE55" s="230"/>
      <c r="AF55" s="183" t="str">
        <f t="shared" si="178"/>
        <v/>
      </c>
      <c r="AG55" s="203" t="str">
        <f t="shared" si="175"/>
        <v>OK</v>
      </c>
      <c r="AH55" s="377" t="s">
        <v>359</v>
      </c>
      <c r="AI55" s="230"/>
      <c r="AJ55" s="183" t="str">
        <f t="shared" si="179"/>
        <v/>
      </c>
      <c r="AK55" s="203" t="str">
        <f t="shared" si="176"/>
        <v>OK</v>
      </c>
      <c r="AL55" s="377" t="s">
        <v>359</v>
      </c>
      <c r="AM55" s="230"/>
      <c r="AN55" s="183" t="str">
        <f t="shared" si="180"/>
        <v/>
      </c>
      <c r="AO55" s="203" t="str">
        <f t="shared" si="177"/>
        <v>OK</v>
      </c>
      <c r="AP55" s="377" t="s">
        <v>359</v>
      </c>
      <c r="AQ55" s="230"/>
      <c r="AR55" s="183" t="str">
        <f t="shared" si="181"/>
        <v/>
      </c>
      <c r="AS55" s="203" t="str">
        <f t="shared" si="8"/>
        <v>OK</v>
      </c>
      <c r="AT55" s="377" t="s">
        <v>359</v>
      </c>
      <c r="AU55" s="230"/>
      <c r="AV55" s="183" t="str">
        <f t="shared" si="182"/>
        <v/>
      </c>
      <c r="AW55" s="203" t="str">
        <f t="shared" si="10"/>
        <v>OK</v>
      </c>
      <c r="AX55" s="377" t="s">
        <v>359</v>
      </c>
      <c r="AY55" s="230"/>
      <c r="AZ55" s="183" t="str">
        <f t="shared" si="183"/>
        <v/>
      </c>
      <c r="BA55" s="203" t="str">
        <f t="shared" si="12"/>
        <v>OK</v>
      </c>
      <c r="BB55" s="377" t="s">
        <v>359</v>
      </c>
      <c r="BC55" s="230"/>
      <c r="BD55" s="183" t="str">
        <f t="shared" si="184"/>
        <v/>
      </c>
      <c r="BE55" s="203" t="str">
        <f t="shared" si="14"/>
        <v>OK</v>
      </c>
      <c r="BF55" s="377" t="s">
        <v>359</v>
      </c>
      <c r="BG55" s="230"/>
      <c r="BH55" s="183" t="str">
        <f t="shared" si="185"/>
        <v/>
      </c>
      <c r="BI55" s="203" t="str">
        <f t="shared" si="16"/>
        <v>OK</v>
      </c>
      <c r="BJ55" s="377" t="s">
        <v>359</v>
      </c>
      <c r="BK55" s="230"/>
      <c r="BL55" s="183" t="str">
        <f t="shared" si="186"/>
        <v/>
      </c>
      <c r="BM55" s="203" t="str">
        <f t="shared" si="18"/>
        <v>OK</v>
      </c>
      <c r="BN55" s="377" t="s">
        <v>359</v>
      </c>
      <c r="BO55" s="230"/>
      <c r="BP55" s="183" t="str">
        <f t="shared" si="187"/>
        <v/>
      </c>
      <c r="BQ55" s="203" t="str">
        <f t="shared" si="20"/>
        <v>OK</v>
      </c>
      <c r="BR55" s="377" t="s">
        <v>359</v>
      </c>
      <c r="BS55" s="230"/>
      <c r="BT55" s="183" t="str">
        <f t="shared" si="188"/>
        <v/>
      </c>
      <c r="BU55" s="203" t="str">
        <f t="shared" si="22"/>
        <v>OK</v>
      </c>
      <c r="BV55" s="377" t="s">
        <v>359</v>
      </c>
      <c r="BW55" s="230"/>
      <c r="BX55" s="183" t="str">
        <f t="shared" si="189"/>
        <v/>
      </c>
      <c r="BY55" s="203" t="str">
        <f t="shared" si="24"/>
        <v>OK</v>
      </c>
      <c r="BZ55" s="377" t="s">
        <v>359</v>
      </c>
      <c r="CA55" s="230"/>
      <c r="CB55" s="183" t="str">
        <f t="shared" si="190"/>
        <v/>
      </c>
      <c r="CC55" s="203" t="str">
        <f t="shared" si="26"/>
        <v>OK</v>
      </c>
      <c r="CD55" s="377" t="s">
        <v>359</v>
      </c>
      <c r="CE55" s="230"/>
      <c r="CF55" s="183" t="str">
        <f t="shared" si="191"/>
        <v/>
      </c>
      <c r="CG55" s="203" t="str">
        <f t="shared" si="28"/>
        <v>OK</v>
      </c>
      <c r="CH55" s="377" t="s">
        <v>359</v>
      </c>
      <c r="CI55" s="230"/>
      <c r="CJ55" s="183" t="str">
        <f t="shared" si="192"/>
        <v/>
      </c>
      <c r="CK55" s="203" t="str">
        <f t="shared" si="30"/>
        <v>OK</v>
      </c>
      <c r="CL55" s="377" t="s">
        <v>359</v>
      </c>
      <c r="CM55" s="230"/>
      <c r="CN55" s="183" t="str">
        <f t="shared" si="193"/>
        <v/>
      </c>
      <c r="CO55" s="203" t="str">
        <f t="shared" si="32"/>
        <v>OK</v>
      </c>
      <c r="CP55" s="377" t="s">
        <v>359</v>
      </c>
      <c r="CQ55" s="230"/>
      <c r="CR55" s="183" t="str">
        <f t="shared" si="194"/>
        <v/>
      </c>
      <c r="CS55" s="203" t="str">
        <f t="shared" si="34"/>
        <v>OK</v>
      </c>
      <c r="CT55" s="377" t="s">
        <v>359</v>
      </c>
      <c r="CU55" s="230"/>
      <c r="CV55" s="183" t="str">
        <f t="shared" si="195"/>
        <v/>
      </c>
      <c r="CW55" s="203" t="str">
        <f t="shared" si="36"/>
        <v>OK</v>
      </c>
      <c r="CX55" s="377" t="s">
        <v>359</v>
      </c>
      <c r="CY55" s="230"/>
      <c r="CZ55" s="183" t="str">
        <f t="shared" si="196"/>
        <v/>
      </c>
      <c r="DA55" s="203" t="str">
        <f t="shared" si="38"/>
        <v>OK</v>
      </c>
      <c r="DB55" s="377" t="s">
        <v>359</v>
      </c>
      <c r="DC55" s="230"/>
      <c r="DD55" s="183" t="str">
        <f t="shared" si="197"/>
        <v/>
      </c>
      <c r="DE55" s="203" t="str">
        <f t="shared" si="40"/>
        <v>OK</v>
      </c>
      <c r="DF55" s="377" t="s">
        <v>359</v>
      </c>
      <c r="DG55" s="230"/>
      <c r="DH55" s="183" t="str">
        <f t="shared" si="198"/>
        <v/>
      </c>
      <c r="DI55" s="203" t="str">
        <f t="shared" si="42"/>
        <v>OK</v>
      </c>
      <c r="DJ55" s="377" t="s">
        <v>359</v>
      </c>
      <c r="DK55" s="230"/>
      <c r="DL55" s="183" t="str">
        <f t="shared" si="199"/>
        <v/>
      </c>
      <c r="DM55" s="203" t="str">
        <f t="shared" si="44"/>
        <v>OK</v>
      </c>
      <c r="DN55" s="377" t="s">
        <v>359</v>
      </c>
      <c r="DO55" s="230"/>
      <c r="DP55" s="183" t="str">
        <f t="shared" si="200"/>
        <v/>
      </c>
      <c r="DQ55" s="203" t="str">
        <f t="shared" si="46"/>
        <v>OK</v>
      </c>
      <c r="DR55" s="377" t="s">
        <v>359</v>
      </c>
      <c r="DS55" s="230"/>
      <c r="DT55" s="183" t="str">
        <f t="shared" si="201"/>
        <v/>
      </c>
      <c r="DU55" s="203" t="str">
        <f t="shared" si="48"/>
        <v>OK</v>
      </c>
      <c r="DV55" s="377" t="s">
        <v>359</v>
      </c>
      <c r="DW55" s="230"/>
      <c r="DX55" s="183" t="str">
        <f t="shared" si="202"/>
        <v/>
      </c>
      <c r="DY55" s="203" t="str">
        <f t="shared" si="50"/>
        <v>OK</v>
      </c>
      <c r="DZ55" s="377" t="s">
        <v>359</v>
      </c>
      <c r="EA55" s="230"/>
      <c r="EB55" s="183" t="str">
        <f t="shared" si="203"/>
        <v/>
      </c>
      <c r="EC55" s="203" t="str">
        <f t="shared" si="52"/>
        <v>OK</v>
      </c>
      <c r="ED55" s="377" t="s">
        <v>359</v>
      </c>
      <c r="EE55" s="230"/>
      <c r="EF55" s="183" t="str">
        <f t="shared" si="204"/>
        <v/>
      </c>
      <c r="EG55" s="203" t="str">
        <f t="shared" si="54"/>
        <v>OK</v>
      </c>
      <c r="EH55" s="377" t="s">
        <v>359</v>
      </c>
      <c r="EI55" s="230"/>
      <c r="EJ55" s="183" t="str">
        <f t="shared" si="205"/>
        <v/>
      </c>
      <c r="EK55" s="203" t="str">
        <f t="shared" si="56"/>
        <v>OK</v>
      </c>
      <c r="EL55" s="377" t="s">
        <v>359</v>
      </c>
      <c r="EM55" s="230"/>
      <c r="EN55" s="183" t="str">
        <f t="shared" si="206"/>
        <v/>
      </c>
      <c r="EO55" s="203" t="str">
        <f t="shared" si="58"/>
        <v>OK</v>
      </c>
      <c r="EP55" s="377" t="s">
        <v>359</v>
      </c>
      <c r="EQ55" s="230"/>
      <c r="ER55" s="183" t="str">
        <f t="shared" si="207"/>
        <v/>
      </c>
      <c r="ES55" s="203" t="str">
        <f t="shared" si="60"/>
        <v>OK</v>
      </c>
      <c r="ET55" s="377" t="s">
        <v>359</v>
      </c>
      <c r="EU55" s="230"/>
      <c r="EV55" s="183" t="str">
        <f t="shared" si="208"/>
        <v/>
      </c>
      <c r="EW55" s="203" t="str">
        <f t="shared" si="62"/>
        <v>OK</v>
      </c>
      <c r="EX55" s="377" t="s">
        <v>359</v>
      </c>
      <c r="EY55" s="230"/>
      <c r="EZ55" s="183" t="str">
        <f t="shared" si="209"/>
        <v/>
      </c>
      <c r="FA55" s="203" t="str">
        <f t="shared" si="64"/>
        <v>OK</v>
      </c>
      <c r="FB55" s="377" t="s">
        <v>359</v>
      </c>
      <c r="FC55" s="230"/>
      <c r="FD55" s="183" t="str">
        <f t="shared" si="210"/>
        <v/>
      </c>
      <c r="FE55" s="203" t="str">
        <f t="shared" si="66"/>
        <v>OK</v>
      </c>
      <c r="FF55" s="377" t="s">
        <v>359</v>
      </c>
      <c r="FG55" s="230"/>
      <c r="FH55" s="183" t="str">
        <f t="shared" si="211"/>
        <v/>
      </c>
      <c r="FI55" s="203" t="str">
        <f t="shared" si="68"/>
        <v>OK</v>
      </c>
      <c r="FJ55" s="377" t="s">
        <v>359</v>
      </c>
      <c r="FK55" s="230"/>
      <c r="FL55" s="183" t="str">
        <f t="shared" si="212"/>
        <v/>
      </c>
      <c r="FM55" s="203" t="str">
        <f t="shared" si="70"/>
        <v>OK</v>
      </c>
      <c r="FN55" s="377" t="s">
        <v>359</v>
      </c>
      <c r="FO55" s="230"/>
      <c r="FP55" s="183" t="str">
        <f t="shared" si="213"/>
        <v/>
      </c>
      <c r="FQ55" s="203" t="str">
        <f t="shared" si="72"/>
        <v>OK</v>
      </c>
      <c r="FR55" s="377" t="s">
        <v>359</v>
      </c>
      <c r="FS55" s="230"/>
      <c r="FT55" s="183" t="str">
        <f t="shared" si="214"/>
        <v/>
      </c>
      <c r="FU55" s="203" t="str">
        <f t="shared" si="74"/>
        <v>OK</v>
      </c>
      <c r="FV55" s="377" t="s">
        <v>359</v>
      </c>
      <c r="FW55" s="230"/>
      <c r="FX55" s="183" t="str">
        <f t="shared" si="215"/>
        <v/>
      </c>
      <c r="FY55" s="203" t="str">
        <f t="shared" si="76"/>
        <v>OK</v>
      </c>
      <c r="FZ55" s="377" t="s">
        <v>359</v>
      </c>
      <c r="GA55" s="230"/>
      <c r="GB55" s="183" t="str">
        <f t="shared" si="216"/>
        <v/>
      </c>
      <c r="GC55" s="203" t="str">
        <f t="shared" si="78"/>
        <v>OK</v>
      </c>
      <c r="GD55" s="377" t="s">
        <v>359</v>
      </c>
      <c r="GE55" s="230"/>
      <c r="GF55" s="183" t="str">
        <f t="shared" si="217"/>
        <v/>
      </c>
      <c r="GG55" s="203" t="str">
        <f t="shared" si="80"/>
        <v>OK</v>
      </c>
      <c r="GH55" s="377" t="s">
        <v>359</v>
      </c>
      <c r="GI55" s="230"/>
      <c r="GJ55" s="183" t="str">
        <f t="shared" si="218"/>
        <v/>
      </c>
      <c r="GK55" s="203" t="str">
        <f t="shared" si="82"/>
        <v>OK</v>
      </c>
      <c r="GL55" s="377" t="s">
        <v>359</v>
      </c>
      <c r="GM55" s="230"/>
      <c r="GN55" s="183" t="str">
        <f t="shared" si="219"/>
        <v/>
      </c>
      <c r="GO55" s="203" t="str">
        <f t="shared" si="84"/>
        <v>OK</v>
      </c>
      <c r="GP55" s="378" t="s">
        <v>359</v>
      </c>
      <c r="GQ55" s="230"/>
      <c r="GR55" s="183" t="str">
        <f t="shared" si="220"/>
        <v/>
      </c>
      <c r="GS55" s="203" t="str">
        <f t="shared" si="86"/>
        <v>OK</v>
      </c>
      <c r="GT55" s="202"/>
      <c r="GU55" s="202"/>
      <c r="GV55" s="201"/>
      <c r="GW55" s="201"/>
      <c r="GX55" s="201"/>
    </row>
    <row r="56" spans="1:206">
      <c r="A56" s="200" t="s">
        <v>336</v>
      </c>
      <c r="B56" s="225">
        <f t="shared" si="221"/>
        <v>49</v>
      </c>
      <c r="C56" s="229"/>
      <c r="D56" s="229"/>
      <c r="E56" s="228"/>
      <c r="F56" s="228"/>
      <c r="G56" s="222" t="s">
        <v>357</v>
      </c>
      <c r="H56" s="220"/>
      <c r="I56" s="209"/>
      <c r="J56" s="217" t="s">
        <v>326</v>
      </c>
      <c r="K56" s="219"/>
      <c r="L56" s="219"/>
      <c r="M56" s="218"/>
      <c r="N56" s="217"/>
      <c r="O56" s="216"/>
      <c r="P56" s="212"/>
      <c r="Q56" s="212"/>
      <c r="R56" s="215"/>
      <c r="S56" s="214"/>
      <c r="T56" s="212"/>
      <c r="U56" s="213"/>
      <c r="V56" s="212"/>
      <c r="W56" s="211" t="str">
        <f t="shared" ref="W56:W81" si="222">IF(C56&lt;&gt;"","0",IF(D56&lt;&gt;"","1",IF(E56&lt;&gt;"","2",IF(F56&lt;&gt;"","3",IF(G56&lt;&gt;"","4",IF(H56&lt;&gt;"","5"))))))</f>
        <v>4</v>
      </c>
      <c r="X56" s="210" t="s">
        <v>358</v>
      </c>
      <c r="Y56" s="210">
        <v>1</v>
      </c>
      <c r="Z56" s="210">
        <v>180</v>
      </c>
      <c r="AA56" s="209" t="s">
        <v>55</v>
      </c>
      <c r="AB56" s="209" t="s">
        <v>306</v>
      </c>
      <c r="AC56" s="207"/>
      <c r="AD56" s="377" t="s">
        <v>357</v>
      </c>
      <c r="AE56" s="230"/>
      <c r="AF56" s="183" t="str">
        <f t="shared" si="178"/>
        <v/>
      </c>
      <c r="AG56" s="203" t="str">
        <f t="shared" si="175"/>
        <v>OK</v>
      </c>
      <c r="AH56" s="377" t="s">
        <v>357</v>
      </c>
      <c r="AI56" s="230"/>
      <c r="AJ56" s="183" t="str">
        <f t="shared" si="179"/>
        <v/>
      </c>
      <c r="AK56" s="203" t="str">
        <f t="shared" si="176"/>
        <v>OK</v>
      </c>
      <c r="AL56" s="377" t="s">
        <v>357</v>
      </c>
      <c r="AM56" s="230"/>
      <c r="AN56" s="183" t="str">
        <f t="shared" si="180"/>
        <v/>
      </c>
      <c r="AO56" s="203" t="str">
        <f t="shared" si="177"/>
        <v>OK</v>
      </c>
      <c r="AP56" s="377" t="s">
        <v>357</v>
      </c>
      <c r="AQ56" s="230"/>
      <c r="AR56" s="183" t="str">
        <f t="shared" si="181"/>
        <v/>
      </c>
      <c r="AS56" s="203" t="str">
        <f t="shared" si="8"/>
        <v>OK</v>
      </c>
      <c r="AT56" s="377" t="s">
        <v>357</v>
      </c>
      <c r="AU56" s="230"/>
      <c r="AV56" s="183" t="str">
        <f t="shared" si="182"/>
        <v/>
      </c>
      <c r="AW56" s="203" t="str">
        <f t="shared" si="10"/>
        <v>OK</v>
      </c>
      <c r="AX56" s="377" t="s">
        <v>357</v>
      </c>
      <c r="AY56" s="230"/>
      <c r="AZ56" s="183" t="str">
        <f t="shared" si="183"/>
        <v/>
      </c>
      <c r="BA56" s="203" t="str">
        <f t="shared" si="12"/>
        <v>OK</v>
      </c>
      <c r="BB56" s="377" t="s">
        <v>357</v>
      </c>
      <c r="BC56" s="230"/>
      <c r="BD56" s="183" t="str">
        <f t="shared" si="184"/>
        <v/>
      </c>
      <c r="BE56" s="203" t="str">
        <f t="shared" si="14"/>
        <v>OK</v>
      </c>
      <c r="BF56" s="377" t="s">
        <v>357</v>
      </c>
      <c r="BG56" s="230"/>
      <c r="BH56" s="183" t="str">
        <f t="shared" si="185"/>
        <v/>
      </c>
      <c r="BI56" s="203" t="str">
        <f t="shared" si="16"/>
        <v>OK</v>
      </c>
      <c r="BJ56" s="377" t="s">
        <v>357</v>
      </c>
      <c r="BK56" s="230"/>
      <c r="BL56" s="183" t="str">
        <f t="shared" si="186"/>
        <v/>
      </c>
      <c r="BM56" s="203" t="str">
        <f t="shared" si="18"/>
        <v>OK</v>
      </c>
      <c r="BN56" s="377" t="s">
        <v>357</v>
      </c>
      <c r="BO56" s="230"/>
      <c r="BP56" s="183" t="str">
        <f t="shared" si="187"/>
        <v/>
      </c>
      <c r="BQ56" s="203" t="str">
        <f t="shared" si="20"/>
        <v>OK</v>
      </c>
      <c r="BR56" s="377" t="s">
        <v>357</v>
      </c>
      <c r="BS56" s="230"/>
      <c r="BT56" s="183" t="str">
        <f t="shared" si="188"/>
        <v/>
      </c>
      <c r="BU56" s="203" t="str">
        <f t="shared" si="22"/>
        <v>OK</v>
      </c>
      <c r="BV56" s="377" t="s">
        <v>357</v>
      </c>
      <c r="BW56" s="230"/>
      <c r="BX56" s="183" t="str">
        <f t="shared" si="189"/>
        <v/>
      </c>
      <c r="BY56" s="203" t="str">
        <f t="shared" si="24"/>
        <v>OK</v>
      </c>
      <c r="BZ56" s="377" t="s">
        <v>357</v>
      </c>
      <c r="CA56" s="230"/>
      <c r="CB56" s="183" t="str">
        <f t="shared" si="190"/>
        <v/>
      </c>
      <c r="CC56" s="203" t="str">
        <f t="shared" si="26"/>
        <v>OK</v>
      </c>
      <c r="CD56" s="377" t="s">
        <v>357</v>
      </c>
      <c r="CE56" s="230"/>
      <c r="CF56" s="183" t="str">
        <f t="shared" si="191"/>
        <v/>
      </c>
      <c r="CG56" s="203" t="str">
        <f t="shared" si="28"/>
        <v>OK</v>
      </c>
      <c r="CH56" s="377" t="s">
        <v>357</v>
      </c>
      <c r="CI56" s="230"/>
      <c r="CJ56" s="183" t="str">
        <f t="shared" si="192"/>
        <v/>
      </c>
      <c r="CK56" s="203" t="str">
        <f t="shared" si="30"/>
        <v>OK</v>
      </c>
      <c r="CL56" s="377" t="s">
        <v>357</v>
      </c>
      <c r="CM56" s="230"/>
      <c r="CN56" s="183" t="str">
        <f t="shared" si="193"/>
        <v/>
      </c>
      <c r="CO56" s="203" t="str">
        <f t="shared" si="32"/>
        <v>OK</v>
      </c>
      <c r="CP56" s="377" t="s">
        <v>357</v>
      </c>
      <c r="CQ56" s="230"/>
      <c r="CR56" s="183" t="str">
        <f t="shared" si="194"/>
        <v/>
      </c>
      <c r="CS56" s="203" t="str">
        <f t="shared" si="34"/>
        <v>OK</v>
      </c>
      <c r="CT56" s="377" t="s">
        <v>357</v>
      </c>
      <c r="CU56" s="230"/>
      <c r="CV56" s="183" t="str">
        <f t="shared" si="195"/>
        <v/>
      </c>
      <c r="CW56" s="203" t="str">
        <f t="shared" si="36"/>
        <v>OK</v>
      </c>
      <c r="CX56" s="377" t="s">
        <v>357</v>
      </c>
      <c r="CY56" s="230"/>
      <c r="CZ56" s="183" t="str">
        <f t="shared" si="196"/>
        <v/>
      </c>
      <c r="DA56" s="203" t="str">
        <f t="shared" si="38"/>
        <v>OK</v>
      </c>
      <c r="DB56" s="377" t="s">
        <v>357</v>
      </c>
      <c r="DC56" s="230"/>
      <c r="DD56" s="183" t="str">
        <f t="shared" si="197"/>
        <v/>
      </c>
      <c r="DE56" s="203" t="str">
        <f t="shared" si="40"/>
        <v>OK</v>
      </c>
      <c r="DF56" s="377" t="s">
        <v>357</v>
      </c>
      <c r="DG56" s="230"/>
      <c r="DH56" s="183" t="str">
        <f t="shared" si="198"/>
        <v/>
      </c>
      <c r="DI56" s="203" t="str">
        <f t="shared" si="42"/>
        <v>OK</v>
      </c>
      <c r="DJ56" s="377" t="s">
        <v>357</v>
      </c>
      <c r="DK56" s="230"/>
      <c r="DL56" s="183" t="str">
        <f t="shared" si="199"/>
        <v/>
      </c>
      <c r="DM56" s="203" t="str">
        <f t="shared" si="44"/>
        <v>OK</v>
      </c>
      <c r="DN56" s="377" t="s">
        <v>357</v>
      </c>
      <c r="DO56" s="230"/>
      <c r="DP56" s="183" t="str">
        <f t="shared" si="200"/>
        <v/>
      </c>
      <c r="DQ56" s="203" t="str">
        <f t="shared" si="46"/>
        <v>OK</v>
      </c>
      <c r="DR56" s="377" t="s">
        <v>357</v>
      </c>
      <c r="DS56" s="230"/>
      <c r="DT56" s="183" t="str">
        <f t="shared" si="201"/>
        <v/>
      </c>
      <c r="DU56" s="203" t="str">
        <f t="shared" si="48"/>
        <v>OK</v>
      </c>
      <c r="DV56" s="377" t="s">
        <v>357</v>
      </c>
      <c r="DW56" s="230"/>
      <c r="DX56" s="183" t="str">
        <f t="shared" si="202"/>
        <v/>
      </c>
      <c r="DY56" s="203" t="str">
        <f t="shared" si="50"/>
        <v>OK</v>
      </c>
      <c r="DZ56" s="377" t="s">
        <v>357</v>
      </c>
      <c r="EA56" s="230"/>
      <c r="EB56" s="183" t="str">
        <f t="shared" si="203"/>
        <v/>
      </c>
      <c r="EC56" s="203" t="str">
        <f t="shared" si="52"/>
        <v>OK</v>
      </c>
      <c r="ED56" s="377" t="s">
        <v>357</v>
      </c>
      <c r="EE56" s="230"/>
      <c r="EF56" s="183" t="str">
        <f t="shared" si="204"/>
        <v/>
      </c>
      <c r="EG56" s="203" t="str">
        <f t="shared" si="54"/>
        <v>OK</v>
      </c>
      <c r="EH56" s="377" t="s">
        <v>357</v>
      </c>
      <c r="EI56" s="230"/>
      <c r="EJ56" s="183" t="str">
        <f t="shared" si="205"/>
        <v/>
      </c>
      <c r="EK56" s="203" t="str">
        <f t="shared" si="56"/>
        <v>OK</v>
      </c>
      <c r="EL56" s="377" t="s">
        <v>357</v>
      </c>
      <c r="EM56" s="230"/>
      <c r="EN56" s="183" t="str">
        <f t="shared" si="206"/>
        <v/>
      </c>
      <c r="EO56" s="203" t="str">
        <f t="shared" si="58"/>
        <v>OK</v>
      </c>
      <c r="EP56" s="377" t="s">
        <v>357</v>
      </c>
      <c r="EQ56" s="230"/>
      <c r="ER56" s="183" t="str">
        <f t="shared" si="207"/>
        <v/>
      </c>
      <c r="ES56" s="203" t="str">
        <f t="shared" si="60"/>
        <v>OK</v>
      </c>
      <c r="ET56" s="377" t="s">
        <v>357</v>
      </c>
      <c r="EU56" s="230"/>
      <c r="EV56" s="183" t="str">
        <f t="shared" si="208"/>
        <v/>
      </c>
      <c r="EW56" s="203" t="str">
        <f t="shared" si="62"/>
        <v>OK</v>
      </c>
      <c r="EX56" s="377" t="s">
        <v>357</v>
      </c>
      <c r="EY56" s="230"/>
      <c r="EZ56" s="183" t="str">
        <f t="shared" si="209"/>
        <v/>
      </c>
      <c r="FA56" s="203" t="str">
        <f t="shared" si="64"/>
        <v>OK</v>
      </c>
      <c r="FB56" s="377" t="s">
        <v>357</v>
      </c>
      <c r="FC56" s="230"/>
      <c r="FD56" s="183" t="str">
        <f t="shared" si="210"/>
        <v/>
      </c>
      <c r="FE56" s="203" t="str">
        <f t="shared" si="66"/>
        <v>OK</v>
      </c>
      <c r="FF56" s="377" t="s">
        <v>357</v>
      </c>
      <c r="FG56" s="230"/>
      <c r="FH56" s="183" t="str">
        <f t="shared" si="211"/>
        <v/>
      </c>
      <c r="FI56" s="203" t="str">
        <f t="shared" si="68"/>
        <v>OK</v>
      </c>
      <c r="FJ56" s="377" t="s">
        <v>357</v>
      </c>
      <c r="FK56" s="230"/>
      <c r="FL56" s="183" t="str">
        <f t="shared" si="212"/>
        <v/>
      </c>
      <c r="FM56" s="203" t="str">
        <f t="shared" si="70"/>
        <v>OK</v>
      </c>
      <c r="FN56" s="377" t="s">
        <v>357</v>
      </c>
      <c r="FO56" s="230"/>
      <c r="FP56" s="183" t="str">
        <f t="shared" si="213"/>
        <v/>
      </c>
      <c r="FQ56" s="203" t="str">
        <f t="shared" si="72"/>
        <v>OK</v>
      </c>
      <c r="FR56" s="377" t="s">
        <v>357</v>
      </c>
      <c r="FS56" s="230"/>
      <c r="FT56" s="183" t="str">
        <f t="shared" si="214"/>
        <v/>
      </c>
      <c r="FU56" s="203" t="str">
        <f t="shared" si="74"/>
        <v>OK</v>
      </c>
      <c r="FV56" s="377" t="s">
        <v>357</v>
      </c>
      <c r="FW56" s="230"/>
      <c r="FX56" s="183" t="str">
        <f t="shared" si="215"/>
        <v/>
      </c>
      <c r="FY56" s="203" t="str">
        <f t="shared" si="76"/>
        <v>OK</v>
      </c>
      <c r="FZ56" s="377" t="s">
        <v>357</v>
      </c>
      <c r="GA56" s="230"/>
      <c r="GB56" s="183" t="str">
        <f t="shared" si="216"/>
        <v/>
      </c>
      <c r="GC56" s="203" t="str">
        <f t="shared" si="78"/>
        <v>OK</v>
      </c>
      <c r="GD56" s="377" t="s">
        <v>357</v>
      </c>
      <c r="GE56" s="230"/>
      <c r="GF56" s="183" t="str">
        <f t="shared" si="217"/>
        <v/>
      </c>
      <c r="GG56" s="203" t="str">
        <f t="shared" si="80"/>
        <v>OK</v>
      </c>
      <c r="GH56" s="377" t="s">
        <v>357</v>
      </c>
      <c r="GI56" s="230"/>
      <c r="GJ56" s="183" t="str">
        <f t="shared" si="218"/>
        <v/>
      </c>
      <c r="GK56" s="203" t="str">
        <f t="shared" si="82"/>
        <v>OK</v>
      </c>
      <c r="GL56" s="377" t="s">
        <v>357</v>
      </c>
      <c r="GM56" s="230"/>
      <c r="GN56" s="183" t="str">
        <f t="shared" si="219"/>
        <v/>
      </c>
      <c r="GO56" s="203" t="str">
        <f t="shared" si="84"/>
        <v>OK</v>
      </c>
      <c r="GP56" s="378" t="s">
        <v>357</v>
      </c>
      <c r="GQ56" s="230"/>
      <c r="GR56" s="183" t="str">
        <f t="shared" si="220"/>
        <v/>
      </c>
      <c r="GS56" s="203" t="str">
        <f t="shared" si="86"/>
        <v>OK</v>
      </c>
      <c r="GT56" s="202"/>
      <c r="GU56" s="202"/>
      <c r="GV56" s="201"/>
      <c r="GW56" s="201"/>
      <c r="GX56" s="201"/>
    </row>
    <row r="57" spans="1:206">
      <c r="A57" s="200" t="s">
        <v>336</v>
      </c>
      <c r="B57" s="225">
        <f t="shared" si="221"/>
        <v>50</v>
      </c>
      <c r="C57" s="229"/>
      <c r="D57" s="229"/>
      <c r="E57" s="228"/>
      <c r="F57" s="228"/>
      <c r="G57" s="222" t="s">
        <v>355</v>
      </c>
      <c r="H57" s="220"/>
      <c r="I57" s="209"/>
      <c r="J57" s="217" t="s">
        <v>326</v>
      </c>
      <c r="K57" s="219"/>
      <c r="L57" s="219"/>
      <c r="M57" s="218"/>
      <c r="N57" s="217"/>
      <c r="O57" s="216"/>
      <c r="P57" s="212"/>
      <c r="Q57" s="212"/>
      <c r="R57" s="215"/>
      <c r="S57" s="214"/>
      <c r="T57" s="212"/>
      <c r="U57" s="213"/>
      <c r="V57" s="212"/>
      <c r="W57" s="211" t="str">
        <f t="shared" si="222"/>
        <v>4</v>
      </c>
      <c r="X57" s="210" t="s">
        <v>356</v>
      </c>
      <c r="Y57" s="210">
        <v>1</v>
      </c>
      <c r="Z57" s="210">
        <v>180</v>
      </c>
      <c r="AA57" s="209" t="s">
        <v>55</v>
      </c>
      <c r="AB57" s="209" t="s">
        <v>306</v>
      </c>
      <c r="AC57" s="207"/>
      <c r="AD57" s="377" t="s">
        <v>355</v>
      </c>
      <c r="AE57" s="230"/>
      <c r="AF57" s="183" t="str">
        <f t="shared" si="178"/>
        <v/>
      </c>
      <c r="AG57" s="203" t="str">
        <f t="shared" si="175"/>
        <v>OK</v>
      </c>
      <c r="AH57" s="377" t="s">
        <v>355</v>
      </c>
      <c r="AI57" s="230"/>
      <c r="AJ57" s="183" t="str">
        <f t="shared" si="179"/>
        <v/>
      </c>
      <c r="AK57" s="203" t="str">
        <f t="shared" si="176"/>
        <v>OK</v>
      </c>
      <c r="AL57" s="377" t="s">
        <v>355</v>
      </c>
      <c r="AM57" s="230"/>
      <c r="AN57" s="183" t="str">
        <f t="shared" si="180"/>
        <v/>
      </c>
      <c r="AO57" s="203" t="str">
        <f t="shared" si="177"/>
        <v>OK</v>
      </c>
      <c r="AP57" s="377" t="s">
        <v>355</v>
      </c>
      <c r="AQ57" s="230"/>
      <c r="AR57" s="183" t="str">
        <f t="shared" si="181"/>
        <v/>
      </c>
      <c r="AS57" s="203" t="str">
        <f t="shared" si="8"/>
        <v>OK</v>
      </c>
      <c r="AT57" s="377" t="s">
        <v>355</v>
      </c>
      <c r="AU57" s="230"/>
      <c r="AV57" s="183" t="str">
        <f t="shared" si="182"/>
        <v/>
      </c>
      <c r="AW57" s="203" t="str">
        <f t="shared" si="10"/>
        <v>OK</v>
      </c>
      <c r="AX57" s="377" t="s">
        <v>355</v>
      </c>
      <c r="AY57" s="230"/>
      <c r="AZ57" s="183" t="str">
        <f t="shared" si="183"/>
        <v/>
      </c>
      <c r="BA57" s="203" t="str">
        <f t="shared" si="12"/>
        <v>OK</v>
      </c>
      <c r="BB57" s="377" t="s">
        <v>355</v>
      </c>
      <c r="BC57" s="230"/>
      <c r="BD57" s="183" t="str">
        <f t="shared" si="184"/>
        <v/>
      </c>
      <c r="BE57" s="203" t="str">
        <f t="shared" si="14"/>
        <v>OK</v>
      </c>
      <c r="BF57" s="377" t="s">
        <v>355</v>
      </c>
      <c r="BG57" s="230"/>
      <c r="BH57" s="183" t="str">
        <f t="shared" si="185"/>
        <v/>
      </c>
      <c r="BI57" s="203" t="str">
        <f t="shared" si="16"/>
        <v>OK</v>
      </c>
      <c r="BJ57" s="377" t="s">
        <v>355</v>
      </c>
      <c r="BK57" s="230"/>
      <c r="BL57" s="183" t="str">
        <f t="shared" si="186"/>
        <v/>
      </c>
      <c r="BM57" s="203" t="str">
        <f t="shared" si="18"/>
        <v>OK</v>
      </c>
      <c r="BN57" s="377" t="s">
        <v>355</v>
      </c>
      <c r="BO57" s="230"/>
      <c r="BP57" s="183" t="str">
        <f t="shared" si="187"/>
        <v/>
      </c>
      <c r="BQ57" s="203" t="str">
        <f t="shared" si="20"/>
        <v>OK</v>
      </c>
      <c r="BR57" s="377" t="s">
        <v>355</v>
      </c>
      <c r="BS57" s="230"/>
      <c r="BT57" s="183" t="str">
        <f t="shared" si="188"/>
        <v/>
      </c>
      <c r="BU57" s="203" t="str">
        <f t="shared" si="22"/>
        <v>OK</v>
      </c>
      <c r="BV57" s="377" t="s">
        <v>355</v>
      </c>
      <c r="BW57" s="230"/>
      <c r="BX57" s="183" t="str">
        <f t="shared" si="189"/>
        <v/>
      </c>
      <c r="BY57" s="203" t="str">
        <f t="shared" si="24"/>
        <v>OK</v>
      </c>
      <c r="BZ57" s="377" t="s">
        <v>355</v>
      </c>
      <c r="CA57" s="230"/>
      <c r="CB57" s="183" t="str">
        <f t="shared" si="190"/>
        <v/>
      </c>
      <c r="CC57" s="203" t="str">
        <f t="shared" si="26"/>
        <v>OK</v>
      </c>
      <c r="CD57" s="377" t="s">
        <v>355</v>
      </c>
      <c r="CE57" s="230"/>
      <c r="CF57" s="183" t="str">
        <f t="shared" si="191"/>
        <v/>
      </c>
      <c r="CG57" s="203" t="str">
        <f t="shared" si="28"/>
        <v>OK</v>
      </c>
      <c r="CH57" s="377" t="s">
        <v>355</v>
      </c>
      <c r="CI57" s="230"/>
      <c r="CJ57" s="183" t="str">
        <f t="shared" si="192"/>
        <v/>
      </c>
      <c r="CK57" s="203" t="str">
        <f t="shared" si="30"/>
        <v>OK</v>
      </c>
      <c r="CL57" s="377" t="s">
        <v>355</v>
      </c>
      <c r="CM57" s="230"/>
      <c r="CN57" s="183" t="str">
        <f t="shared" si="193"/>
        <v/>
      </c>
      <c r="CO57" s="203" t="str">
        <f t="shared" si="32"/>
        <v>OK</v>
      </c>
      <c r="CP57" s="377" t="s">
        <v>355</v>
      </c>
      <c r="CQ57" s="230"/>
      <c r="CR57" s="183" t="str">
        <f t="shared" si="194"/>
        <v/>
      </c>
      <c r="CS57" s="203" t="str">
        <f t="shared" si="34"/>
        <v>OK</v>
      </c>
      <c r="CT57" s="377" t="s">
        <v>355</v>
      </c>
      <c r="CU57" s="230"/>
      <c r="CV57" s="183" t="str">
        <f t="shared" si="195"/>
        <v/>
      </c>
      <c r="CW57" s="203" t="str">
        <f t="shared" si="36"/>
        <v>OK</v>
      </c>
      <c r="CX57" s="377" t="s">
        <v>355</v>
      </c>
      <c r="CY57" s="230"/>
      <c r="CZ57" s="183" t="str">
        <f t="shared" si="196"/>
        <v/>
      </c>
      <c r="DA57" s="203" t="str">
        <f t="shared" si="38"/>
        <v>OK</v>
      </c>
      <c r="DB57" s="377" t="s">
        <v>355</v>
      </c>
      <c r="DC57" s="230"/>
      <c r="DD57" s="183" t="str">
        <f t="shared" si="197"/>
        <v/>
      </c>
      <c r="DE57" s="203" t="str">
        <f t="shared" si="40"/>
        <v>OK</v>
      </c>
      <c r="DF57" s="377" t="s">
        <v>355</v>
      </c>
      <c r="DG57" s="230"/>
      <c r="DH57" s="183" t="str">
        <f t="shared" si="198"/>
        <v/>
      </c>
      <c r="DI57" s="203" t="str">
        <f t="shared" si="42"/>
        <v>OK</v>
      </c>
      <c r="DJ57" s="377" t="s">
        <v>355</v>
      </c>
      <c r="DK57" s="230"/>
      <c r="DL57" s="183" t="str">
        <f t="shared" si="199"/>
        <v/>
      </c>
      <c r="DM57" s="203" t="str">
        <f t="shared" si="44"/>
        <v>OK</v>
      </c>
      <c r="DN57" s="377" t="s">
        <v>355</v>
      </c>
      <c r="DO57" s="230"/>
      <c r="DP57" s="183" t="str">
        <f t="shared" si="200"/>
        <v/>
      </c>
      <c r="DQ57" s="203" t="str">
        <f t="shared" si="46"/>
        <v>OK</v>
      </c>
      <c r="DR57" s="377" t="s">
        <v>355</v>
      </c>
      <c r="DS57" s="230"/>
      <c r="DT57" s="183" t="str">
        <f t="shared" si="201"/>
        <v/>
      </c>
      <c r="DU57" s="203" t="str">
        <f t="shared" si="48"/>
        <v>OK</v>
      </c>
      <c r="DV57" s="377" t="s">
        <v>355</v>
      </c>
      <c r="DW57" s="230"/>
      <c r="DX57" s="183" t="str">
        <f t="shared" si="202"/>
        <v/>
      </c>
      <c r="DY57" s="203" t="str">
        <f t="shared" si="50"/>
        <v>OK</v>
      </c>
      <c r="DZ57" s="377" t="s">
        <v>355</v>
      </c>
      <c r="EA57" s="230"/>
      <c r="EB57" s="183" t="str">
        <f t="shared" si="203"/>
        <v/>
      </c>
      <c r="EC57" s="203" t="str">
        <f t="shared" si="52"/>
        <v>OK</v>
      </c>
      <c r="ED57" s="377" t="s">
        <v>355</v>
      </c>
      <c r="EE57" s="230"/>
      <c r="EF57" s="183" t="str">
        <f t="shared" si="204"/>
        <v/>
      </c>
      <c r="EG57" s="203" t="str">
        <f t="shared" si="54"/>
        <v>OK</v>
      </c>
      <c r="EH57" s="377" t="s">
        <v>355</v>
      </c>
      <c r="EI57" s="230"/>
      <c r="EJ57" s="183" t="str">
        <f t="shared" si="205"/>
        <v/>
      </c>
      <c r="EK57" s="203" t="str">
        <f t="shared" si="56"/>
        <v>OK</v>
      </c>
      <c r="EL57" s="377" t="s">
        <v>355</v>
      </c>
      <c r="EM57" s="230"/>
      <c r="EN57" s="183" t="str">
        <f t="shared" si="206"/>
        <v/>
      </c>
      <c r="EO57" s="203" t="str">
        <f t="shared" si="58"/>
        <v>OK</v>
      </c>
      <c r="EP57" s="377" t="s">
        <v>355</v>
      </c>
      <c r="EQ57" s="230"/>
      <c r="ER57" s="183" t="str">
        <f t="shared" si="207"/>
        <v/>
      </c>
      <c r="ES57" s="203" t="str">
        <f t="shared" si="60"/>
        <v>OK</v>
      </c>
      <c r="ET57" s="377" t="s">
        <v>355</v>
      </c>
      <c r="EU57" s="230"/>
      <c r="EV57" s="183" t="str">
        <f t="shared" si="208"/>
        <v/>
      </c>
      <c r="EW57" s="203" t="str">
        <f t="shared" si="62"/>
        <v>OK</v>
      </c>
      <c r="EX57" s="377" t="s">
        <v>355</v>
      </c>
      <c r="EY57" s="230"/>
      <c r="EZ57" s="183" t="str">
        <f t="shared" si="209"/>
        <v/>
      </c>
      <c r="FA57" s="203" t="str">
        <f t="shared" si="64"/>
        <v>OK</v>
      </c>
      <c r="FB57" s="377" t="s">
        <v>355</v>
      </c>
      <c r="FC57" s="230"/>
      <c r="FD57" s="183" t="str">
        <f t="shared" si="210"/>
        <v/>
      </c>
      <c r="FE57" s="203" t="str">
        <f t="shared" si="66"/>
        <v>OK</v>
      </c>
      <c r="FF57" s="377" t="s">
        <v>355</v>
      </c>
      <c r="FG57" s="230"/>
      <c r="FH57" s="183" t="str">
        <f t="shared" si="211"/>
        <v/>
      </c>
      <c r="FI57" s="203" t="str">
        <f t="shared" si="68"/>
        <v>OK</v>
      </c>
      <c r="FJ57" s="377" t="s">
        <v>355</v>
      </c>
      <c r="FK57" s="230"/>
      <c r="FL57" s="183" t="str">
        <f t="shared" si="212"/>
        <v/>
      </c>
      <c r="FM57" s="203" t="str">
        <f t="shared" si="70"/>
        <v>OK</v>
      </c>
      <c r="FN57" s="377" t="s">
        <v>355</v>
      </c>
      <c r="FO57" s="230"/>
      <c r="FP57" s="183" t="str">
        <f t="shared" si="213"/>
        <v/>
      </c>
      <c r="FQ57" s="203" t="str">
        <f t="shared" si="72"/>
        <v>OK</v>
      </c>
      <c r="FR57" s="377" t="s">
        <v>355</v>
      </c>
      <c r="FS57" s="230"/>
      <c r="FT57" s="183" t="str">
        <f t="shared" si="214"/>
        <v/>
      </c>
      <c r="FU57" s="203" t="str">
        <f t="shared" si="74"/>
        <v>OK</v>
      </c>
      <c r="FV57" s="377" t="s">
        <v>355</v>
      </c>
      <c r="FW57" s="230"/>
      <c r="FX57" s="183" t="str">
        <f t="shared" si="215"/>
        <v/>
      </c>
      <c r="FY57" s="203" t="str">
        <f t="shared" si="76"/>
        <v>OK</v>
      </c>
      <c r="FZ57" s="377" t="s">
        <v>355</v>
      </c>
      <c r="GA57" s="230"/>
      <c r="GB57" s="183" t="str">
        <f t="shared" si="216"/>
        <v/>
      </c>
      <c r="GC57" s="203" t="str">
        <f t="shared" si="78"/>
        <v>OK</v>
      </c>
      <c r="GD57" s="377" t="s">
        <v>355</v>
      </c>
      <c r="GE57" s="230"/>
      <c r="GF57" s="183" t="str">
        <f t="shared" si="217"/>
        <v/>
      </c>
      <c r="GG57" s="203" t="str">
        <f t="shared" si="80"/>
        <v>OK</v>
      </c>
      <c r="GH57" s="377" t="s">
        <v>355</v>
      </c>
      <c r="GI57" s="230"/>
      <c r="GJ57" s="183" t="str">
        <f t="shared" si="218"/>
        <v/>
      </c>
      <c r="GK57" s="203" t="str">
        <f t="shared" si="82"/>
        <v>OK</v>
      </c>
      <c r="GL57" s="377" t="s">
        <v>355</v>
      </c>
      <c r="GM57" s="230"/>
      <c r="GN57" s="183" t="str">
        <f t="shared" si="219"/>
        <v/>
      </c>
      <c r="GO57" s="203" t="str">
        <f t="shared" si="84"/>
        <v>OK</v>
      </c>
      <c r="GP57" s="378" t="s">
        <v>355</v>
      </c>
      <c r="GQ57" s="230"/>
      <c r="GR57" s="183" t="str">
        <f t="shared" si="220"/>
        <v/>
      </c>
      <c r="GS57" s="203" t="str">
        <f t="shared" si="86"/>
        <v>OK</v>
      </c>
      <c r="GT57" s="202"/>
      <c r="GU57" s="202"/>
      <c r="GV57" s="201"/>
      <c r="GW57" s="201"/>
      <c r="GX57" s="201"/>
    </row>
    <row r="58" spans="1:206">
      <c r="A58" s="200" t="s">
        <v>336</v>
      </c>
      <c r="B58" s="225">
        <f t="shared" si="221"/>
        <v>51</v>
      </c>
      <c r="C58" s="229"/>
      <c r="D58" s="229"/>
      <c r="E58" s="228"/>
      <c r="F58" s="228"/>
      <c r="G58" s="222" t="s">
        <v>353</v>
      </c>
      <c r="H58" s="220"/>
      <c r="I58" s="209"/>
      <c r="J58" s="217" t="s">
        <v>326</v>
      </c>
      <c r="K58" s="219"/>
      <c r="L58" s="219"/>
      <c r="M58" s="218"/>
      <c r="N58" s="217"/>
      <c r="O58" s="216"/>
      <c r="P58" s="212"/>
      <c r="Q58" s="212"/>
      <c r="R58" s="215"/>
      <c r="S58" s="214"/>
      <c r="T58" s="212"/>
      <c r="U58" s="213"/>
      <c r="V58" s="212"/>
      <c r="W58" s="211" t="str">
        <f t="shared" si="222"/>
        <v>4</v>
      </c>
      <c r="X58" s="210" t="s">
        <v>354</v>
      </c>
      <c r="Y58" s="210">
        <v>1</v>
      </c>
      <c r="Z58" s="210">
        <v>180</v>
      </c>
      <c r="AA58" s="209" t="s">
        <v>55</v>
      </c>
      <c r="AB58" s="209" t="s">
        <v>306</v>
      </c>
      <c r="AC58" s="207"/>
      <c r="AD58" s="378"/>
      <c r="AE58" s="230"/>
      <c r="AF58" s="183" t="str">
        <f t="shared" si="178"/>
        <v/>
      </c>
      <c r="AG58" s="203" t="str">
        <f t="shared" si="175"/>
        <v>OK</v>
      </c>
      <c r="AH58" s="379" t="s">
        <v>581</v>
      </c>
      <c r="AI58" s="230"/>
      <c r="AJ58" s="183" t="str">
        <f t="shared" si="179"/>
        <v/>
      </c>
      <c r="AK58" s="203" t="str">
        <f t="shared" si="176"/>
        <v>OK</v>
      </c>
      <c r="AL58" s="379" t="s">
        <v>573</v>
      </c>
      <c r="AM58" s="230"/>
      <c r="AN58" s="183" t="str">
        <f t="shared" si="180"/>
        <v/>
      </c>
      <c r="AO58" s="203" t="str">
        <f t="shared" si="177"/>
        <v>OK</v>
      </c>
      <c r="AP58" s="377" t="s">
        <v>353</v>
      </c>
      <c r="AQ58" s="230"/>
      <c r="AR58" s="183" t="str">
        <f>IF($AB58="I","",IF($AA58="","",IF(AP58="","",AP58)))</f>
        <v/>
      </c>
      <c r="AS58" s="203" t="str">
        <f>IF(OR(AQ$8="判定対象外",AR58="-"),"-",IF(AQ58=AR58,"OK","NG"))</f>
        <v>OK</v>
      </c>
      <c r="AT58" s="377" t="s">
        <v>353</v>
      </c>
      <c r="AU58" s="230"/>
      <c r="AV58" s="183" t="str">
        <f>IF($AB58="I","",IF($AA58="","",IF(AT58="","",AT58)))</f>
        <v/>
      </c>
      <c r="AW58" s="203" t="str">
        <f>IF(OR(AU$8="判定対象外",AV58="-"),"-",IF(AU58=AV58,"OK","NG"))</f>
        <v>OK</v>
      </c>
      <c r="AX58" s="377" t="s">
        <v>353</v>
      </c>
      <c r="AY58" s="230"/>
      <c r="AZ58" s="183" t="str">
        <f t="shared" si="183"/>
        <v/>
      </c>
      <c r="BA58" s="203" t="str">
        <f t="shared" si="12"/>
        <v>OK</v>
      </c>
      <c r="BB58" s="377" t="s">
        <v>353</v>
      </c>
      <c r="BC58" s="230"/>
      <c r="BD58" s="183" t="str">
        <f t="shared" si="184"/>
        <v/>
      </c>
      <c r="BE58" s="203" t="str">
        <f t="shared" si="14"/>
        <v>OK</v>
      </c>
      <c r="BF58" s="377" t="s">
        <v>353</v>
      </c>
      <c r="BG58" s="230"/>
      <c r="BH58" s="183" t="str">
        <f t="shared" si="185"/>
        <v/>
      </c>
      <c r="BI58" s="203" t="str">
        <f t="shared" si="16"/>
        <v>OK</v>
      </c>
      <c r="BJ58" s="377" t="s">
        <v>353</v>
      </c>
      <c r="BK58" s="230"/>
      <c r="BL58" s="183" t="str">
        <f t="shared" si="186"/>
        <v/>
      </c>
      <c r="BM58" s="203" t="str">
        <f t="shared" si="18"/>
        <v>OK</v>
      </c>
      <c r="BN58" s="377" t="s">
        <v>353</v>
      </c>
      <c r="BO58" s="230"/>
      <c r="BP58" s="183" t="str">
        <f t="shared" si="187"/>
        <v/>
      </c>
      <c r="BQ58" s="203" t="str">
        <f t="shared" si="20"/>
        <v>OK</v>
      </c>
      <c r="BR58" s="377" t="s">
        <v>353</v>
      </c>
      <c r="BS58" s="230"/>
      <c r="BT58" s="183" t="str">
        <f t="shared" si="188"/>
        <v/>
      </c>
      <c r="BU58" s="203" t="str">
        <f t="shared" si="22"/>
        <v>OK</v>
      </c>
      <c r="BV58" s="377" t="s">
        <v>353</v>
      </c>
      <c r="BW58" s="230"/>
      <c r="BX58" s="183" t="str">
        <f t="shared" si="189"/>
        <v/>
      </c>
      <c r="BY58" s="203" t="str">
        <f t="shared" si="24"/>
        <v>OK</v>
      </c>
      <c r="BZ58" s="377" t="s">
        <v>353</v>
      </c>
      <c r="CA58" s="230"/>
      <c r="CB58" s="183" t="str">
        <f t="shared" si="190"/>
        <v/>
      </c>
      <c r="CC58" s="203" t="str">
        <f t="shared" si="26"/>
        <v>OK</v>
      </c>
      <c r="CD58" s="377" t="s">
        <v>353</v>
      </c>
      <c r="CE58" s="230"/>
      <c r="CF58" s="183" t="str">
        <f t="shared" si="191"/>
        <v/>
      </c>
      <c r="CG58" s="203" t="str">
        <f t="shared" si="28"/>
        <v>OK</v>
      </c>
      <c r="CH58" s="377" t="s">
        <v>353</v>
      </c>
      <c r="CI58" s="230"/>
      <c r="CJ58" s="183" t="str">
        <f t="shared" si="192"/>
        <v/>
      </c>
      <c r="CK58" s="203" t="str">
        <f t="shared" si="30"/>
        <v>OK</v>
      </c>
      <c r="CL58" s="377" t="s">
        <v>353</v>
      </c>
      <c r="CM58" s="230"/>
      <c r="CN58" s="183" t="str">
        <f t="shared" si="193"/>
        <v/>
      </c>
      <c r="CO58" s="203" t="str">
        <f t="shared" si="32"/>
        <v>OK</v>
      </c>
      <c r="CP58" s="377" t="s">
        <v>353</v>
      </c>
      <c r="CQ58" s="230"/>
      <c r="CR58" s="183" t="str">
        <f t="shared" si="194"/>
        <v/>
      </c>
      <c r="CS58" s="203" t="str">
        <f t="shared" si="34"/>
        <v>OK</v>
      </c>
      <c r="CT58" s="377" t="s">
        <v>353</v>
      </c>
      <c r="CU58" s="230"/>
      <c r="CV58" s="183" t="str">
        <f t="shared" si="195"/>
        <v/>
      </c>
      <c r="CW58" s="203" t="str">
        <f t="shared" si="36"/>
        <v>OK</v>
      </c>
      <c r="CX58" s="377" t="s">
        <v>353</v>
      </c>
      <c r="CY58" s="230"/>
      <c r="CZ58" s="183" t="str">
        <f t="shared" si="196"/>
        <v/>
      </c>
      <c r="DA58" s="203" t="str">
        <f t="shared" si="38"/>
        <v>OK</v>
      </c>
      <c r="DB58" s="377" t="s">
        <v>353</v>
      </c>
      <c r="DC58" s="230"/>
      <c r="DD58" s="183" t="str">
        <f t="shared" si="197"/>
        <v/>
      </c>
      <c r="DE58" s="203" t="str">
        <f t="shared" si="40"/>
        <v>OK</v>
      </c>
      <c r="DF58" s="377" t="s">
        <v>353</v>
      </c>
      <c r="DG58" s="230"/>
      <c r="DH58" s="183" t="str">
        <f t="shared" si="198"/>
        <v/>
      </c>
      <c r="DI58" s="203" t="str">
        <f t="shared" si="42"/>
        <v>OK</v>
      </c>
      <c r="DJ58" s="377" t="s">
        <v>353</v>
      </c>
      <c r="DK58" s="230"/>
      <c r="DL58" s="183" t="str">
        <f t="shared" si="199"/>
        <v/>
      </c>
      <c r="DM58" s="203" t="str">
        <f t="shared" si="44"/>
        <v>OK</v>
      </c>
      <c r="DN58" s="377" t="s">
        <v>353</v>
      </c>
      <c r="DO58" s="230"/>
      <c r="DP58" s="183" t="str">
        <f t="shared" si="200"/>
        <v/>
      </c>
      <c r="DQ58" s="203" t="str">
        <f t="shared" si="46"/>
        <v>OK</v>
      </c>
      <c r="DR58" s="377" t="s">
        <v>353</v>
      </c>
      <c r="DS58" s="230"/>
      <c r="DT58" s="183" t="str">
        <f t="shared" si="201"/>
        <v/>
      </c>
      <c r="DU58" s="203" t="str">
        <f t="shared" si="48"/>
        <v>OK</v>
      </c>
      <c r="DV58" s="377" t="s">
        <v>353</v>
      </c>
      <c r="DW58" s="230"/>
      <c r="DX58" s="183" t="str">
        <f t="shared" si="202"/>
        <v/>
      </c>
      <c r="DY58" s="203" t="str">
        <f t="shared" si="50"/>
        <v>OK</v>
      </c>
      <c r="DZ58" s="377" t="s">
        <v>353</v>
      </c>
      <c r="EA58" s="230"/>
      <c r="EB58" s="183" t="str">
        <f t="shared" si="203"/>
        <v/>
      </c>
      <c r="EC58" s="203" t="str">
        <f t="shared" si="52"/>
        <v>OK</v>
      </c>
      <c r="ED58" s="377" t="s">
        <v>353</v>
      </c>
      <c r="EE58" s="230"/>
      <c r="EF58" s="183" t="str">
        <f t="shared" si="204"/>
        <v/>
      </c>
      <c r="EG58" s="203" t="str">
        <f t="shared" si="54"/>
        <v>OK</v>
      </c>
      <c r="EH58" s="377" t="s">
        <v>353</v>
      </c>
      <c r="EI58" s="230"/>
      <c r="EJ58" s="183" t="str">
        <f t="shared" si="205"/>
        <v/>
      </c>
      <c r="EK58" s="203" t="str">
        <f t="shared" si="56"/>
        <v>OK</v>
      </c>
      <c r="EL58" s="377" t="s">
        <v>353</v>
      </c>
      <c r="EM58" s="230"/>
      <c r="EN58" s="183" t="str">
        <f t="shared" si="206"/>
        <v/>
      </c>
      <c r="EO58" s="203" t="str">
        <f t="shared" si="58"/>
        <v>OK</v>
      </c>
      <c r="EP58" s="377" t="s">
        <v>353</v>
      </c>
      <c r="EQ58" s="230"/>
      <c r="ER58" s="183" t="str">
        <f t="shared" si="207"/>
        <v/>
      </c>
      <c r="ES58" s="203" t="str">
        <f t="shared" si="60"/>
        <v>OK</v>
      </c>
      <c r="ET58" s="377" t="s">
        <v>353</v>
      </c>
      <c r="EU58" s="230"/>
      <c r="EV58" s="183" t="str">
        <f t="shared" si="208"/>
        <v/>
      </c>
      <c r="EW58" s="203" t="str">
        <f t="shared" si="62"/>
        <v>OK</v>
      </c>
      <c r="EX58" s="377" t="s">
        <v>353</v>
      </c>
      <c r="EY58" s="230"/>
      <c r="EZ58" s="183" t="str">
        <f t="shared" si="209"/>
        <v/>
      </c>
      <c r="FA58" s="203" t="str">
        <f t="shared" si="64"/>
        <v>OK</v>
      </c>
      <c r="FB58" s="377" t="s">
        <v>353</v>
      </c>
      <c r="FC58" s="230"/>
      <c r="FD58" s="183" t="str">
        <f t="shared" si="210"/>
        <v/>
      </c>
      <c r="FE58" s="203" t="str">
        <f t="shared" si="66"/>
        <v>OK</v>
      </c>
      <c r="FF58" s="377" t="s">
        <v>353</v>
      </c>
      <c r="FG58" s="230"/>
      <c r="FH58" s="183" t="str">
        <f t="shared" si="211"/>
        <v/>
      </c>
      <c r="FI58" s="203" t="str">
        <f t="shared" si="68"/>
        <v>OK</v>
      </c>
      <c r="FJ58" s="377" t="s">
        <v>353</v>
      </c>
      <c r="FK58" s="230"/>
      <c r="FL58" s="183" t="str">
        <f t="shared" si="212"/>
        <v/>
      </c>
      <c r="FM58" s="203" t="str">
        <f t="shared" si="70"/>
        <v>OK</v>
      </c>
      <c r="FN58" s="377" t="s">
        <v>353</v>
      </c>
      <c r="FO58" s="230"/>
      <c r="FP58" s="183" t="str">
        <f t="shared" si="213"/>
        <v/>
      </c>
      <c r="FQ58" s="203" t="str">
        <f t="shared" si="72"/>
        <v>OK</v>
      </c>
      <c r="FR58" s="377" t="s">
        <v>353</v>
      </c>
      <c r="FS58" s="230"/>
      <c r="FT58" s="183" t="str">
        <f t="shared" si="214"/>
        <v/>
      </c>
      <c r="FU58" s="203" t="str">
        <f t="shared" si="74"/>
        <v>OK</v>
      </c>
      <c r="FV58" s="377" t="s">
        <v>353</v>
      </c>
      <c r="FW58" s="230"/>
      <c r="FX58" s="183" t="str">
        <f t="shared" si="215"/>
        <v/>
      </c>
      <c r="FY58" s="203" t="str">
        <f t="shared" si="76"/>
        <v>OK</v>
      </c>
      <c r="FZ58" s="377" t="s">
        <v>353</v>
      </c>
      <c r="GA58" s="230"/>
      <c r="GB58" s="183" t="str">
        <f t="shared" si="216"/>
        <v/>
      </c>
      <c r="GC58" s="203" t="str">
        <f t="shared" si="78"/>
        <v>OK</v>
      </c>
      <c r="GD58" s="377" t="s">
        <v>353</v>
      </c>
      <c r="GE58" s="230"/>
      <c r="GF58" s="183" t="str">
        <f t="shared" si="217"/>
        <v/>
      </c>
      <c r="GG58" s="203" t="str">
        <f t="shared" si="80"/>
        <v>OK</v>
      </c>
      <c r="GH58" s="377" t="s">
        <v>353</v>
      </c>
      <c r="GI58" s="230"/>
      <c r="GJ58" s="183" t="str">
        <f t="shared" si="218"/>
        <v/>
      </c>
      <c r="GK58" s="203" t="str">
        <f t="shared" si="82"/>
        <v>OK</v>
      </c>
      <c r="GL58" s="377" t="s">
        <v>353</v>
      </c>
      <c r="GM58" s="230"/>
      <c r="GN58" s="183" t="str">
        <f t="shared" si="219"/>
        <v/>
      </c>
      <c r="GO58" s="203" t="str">
        <f t="shared" si="84"/>
        <v>OK</v>
      </c>
      <c r="GP58" s="378" t="s">
        <v>353</v>
      </c>
      <c r="GQ58" s="230"/>
      <c r="GR58" s="183" t="str">
        <f t="shared" si="220"/>
        <v/>
      </c>
      <c r="GS58" s="203" t="str">
        <f t="shared" si="86"/>
        <v>OK</v>
      </c>
      <c r="GT58" s="202"/>
      <c r="GU58" s="202"/>
      <c r="GV58" s="201"/>
      <c r="GW58" s="201"/>
      <c r="GX58" s="201"/>
    </row>
    <row r="59" spans="1:206">
      <c r="A59" s="200" t="s">
        <v>336</v>
      </c>
      <c r="B59" s="225">
        <f t="shared" si="221"/>
        <v>52</v>
      </c>
      <c r="C59" s="229"/>
      <c r="D59" s="229"/>
      <c r="E59" s="228"/>
      <c r="F59" s="228"/>
      <c r="G59" s="222" t="s">
        <v>351</v>
      </c>
      <c r="H59" s="220"/>
      <c r="I59" s="209"/>
      <c r="J59" s="217" t="s">
        <v>326</v>
      </c>
      <c r="K59" s="219"/>
      <c r="L59" s="219"/>
      <c r="M59" s="218"/>
      <c r="N59" s="217"/>
      <c r="O59" s="216"/>
      <c r="P59" s="212"/>
      <c r="Q59" s="212"/>
      <c r="R59" s="215"/>
      <c r="S59" s="214"/>
      <c r="T59" s="212"/>
      <c r="U59" s="213"/>
      <c r="V59" s="212"/>
      <c r="W59" s="211" t="str">
        <f t="shared" si="222"/>
        <v>4</v>
      </c>
      <c r="X59" s="210" t="s">
        <v>352</v>
      </c>
      <c r="Y59" s="210">
        <v>1</v>
      </c>
      <c r="Z59" s="210">
        <v>180</v>
      </c>
      <c r="AA59" s="209" t="s">
        <v>55</v>
      </c>
      <c r="AB59" s="209" t="s">
        <v>306</v>
      </c>
      <c r="AC59" s="207"/>
      <c r="AD59" s="377" t="s">
        <v>351</v>
      </c>
      <c r="AE59" s="230"/>
      <c r="AF59" s="183" t="str">
        <f t="shared" si="178"/>
        <v/>
      </c>
      <c r="AG59" s="203" t="str">
        <f t="shared" si="175"/>
        <v>OK</v>
      </c>
      <c r="AH59" s="377" t="s">
        <v>351</v>
      </c>
      <c r="AI59" s="230"/>
      <c r="AJ59" s="183" t="str">
        <f t="shared" si="179"/>
        <v/>
      </c>
      <c r="AK59" s="203" t="str">
        <f t="shared" si="176"/>
        <v>OK</v>
      </c>
      <c r="AL59" s="377" t="s">
        <v>351</v>
      </c>
      <c r="AM59" s="230"/>
      <c r="AN59" s="183" t="str">
        <f t="shared" si="180"/>
        <v/>
      </c>
      <c r="AO59" s="203" t="str">
        <f t="shared" si="177"/>
        <v>OK</v>
      </c>
      <c r="AP59" s="378"/>
      <c r="AQ59" s="230"/>
      <c r="AR59" s="183" t="str">
        <f>IF($AB59="I","",IF($AA59="","",IF(AP59="","",AP59)))</f>
        <v/>
      </c>
      <c r="AS59" s="203" t="str">
        <f>IF(OR(AQ$8="判定対象外",AR59="-"),"-",IF(AQ59=AR59,"OK","NG"))</f>
        <v>OK</v>
      </c>
      <c r="AT59" s="379" t="s">
        <v>581</v>
      </c>
      <c r="AU59" s="230"/>
      <c r="AV59" s="183" t="str">
        <f>IF($AB59="I","",IF($AA59="","",IF(AT59="","",AT59)))</f>
        <v/>
      </c>
      <c r="AW59" s="203" t="str">
        <f>IF(OR(AU$8="判定対象外",AV59="-"),"-",IF(AU59=AV59,"OK","NG"))</f>
        <v>OK</v>
      </c>
      <c r="AX59" s="379" t="s">
        <v>573</v>
      </c>
      <c r="AY59" s="230"/>
      <c r="AZ59" s="183" t="str">
        <f t="shared" si="183"/>
        <v/>
      </c>
      <c r="BA59" s="203" t="str">
        <f t="shared" si="12"/>
        <v>OK</v>
      </c>
      <c r="BB59" s="377" t="s">
        <v>351</v>
      </c>
      <c r="BC59" s="230"/>
      <c r="BD59" s="183" t="str">
        <f>IF($AB59="I","",IF($AA59="","",IF(BB59="","",BB59)))</f>
        <v/>
      </c>
      <c r="BE59" s="203" t="str">
        <f>IF(OR(BC$8="判定対象外",BD59="-"),"-",IF(BC59=BD59,"OK","NG"))</f>
        <v>OK</v>
      </c>
      <c r="BF59" s="377" t="s">
        <v>351</v>
      </c>
      <c r="BG59" s="230"/>
      <c r="BH59" s="183" t="str">
        <f>IF($AB59="I","",IF($AA59="","",IF(BF59="","",BF59)))</f>
        <v/>
      </c>
      <c r="BI59" s="203" t="str">
        <f>IF(OR(BG$8="判定対象外",BH59="-"),"-",IF(BG59=BH59,"OK","NG"))</f>
        <v>OK</v>
      </c>
      <c r="BJ59" s="377" t="s">
        <v>351</v>
      </c>
      <c r="BK59" s="230"/>
      <c r="BL59" s="183" t="str">
        <f t="shared" si="186"/>
        <v/>
      </c>
      <c r="BM59" s="203" t="str">
        <f t="shared" si="18"/>
        <v>OK</v>
      </c>
      <c r="BN59" s="377" t="s">
        <v>351</v>
      </c>
      <c r="BO59" s="230"/>
      <c r="BP59" s="183" t="str">
        <f t="shared" si="187"/>
        <v/>
      </c>
      <c r="BQ59" s="203" t="str">
        <f t="shared" si="20"/>
        <v>OK</v>
      </c>
      <c r="BR59" s="377" t="s">
        <v>351</v>
      </c>
      <c r="BS59" s="230"/>
      <c r="BT59" s="183" t="str">
        <f t="shared" si="188"/>
        <v/>
      </c>
      <c r="BU59" s="203" t="str">
        <f t="shared" si="22"/>
        <v>OK</v>
      </c>
      <c r="BV59" s="377" t="s">
        <v>351</v>
      </c>
      <c r="BW59" s="230"/>
      <c r="BX59" s="183" t="str">
        <f t="shared" si="189"/>
        <v/>
      </c>
      <c r="BY59" s="203" t="str">
        <f t="shared" si="24"/>
        <v>OK</v>
      </c>
      <c r="BZ59" s="377" t="s">
        <v>351</v>
      </c>
      <c r="CA59" s="230"/>
      <c r="CB59" s="183" t="str">
        <f t="shared" si="190"/>
        <v/>
      </c>
      <c r="CC59" s="203" t="str">
        <f t="shared" si="26"/>
        <v>OK</v>
      </c>
      <c r="CD59" s="377" t="s">
        <v>351</v>
      </c>
      <c r="CE59" s="230"/>
      <c r="CF59" s="183" t="str">
        <f t="shared" si="191"/>
        <v/>
      </c>
      <c r="CG59" s="203" t="str">
        <f t="shared" si="28"/>
        <v>OK</v>
      </c>
      <c r="CH59" s="377" t="s">
        <v>351</v>
      </c>
      <c r="CI59" s="230"/>
      <c r="CJ59" s="183" t="str">
        <f t="shared" si="192"/>
        <v/>
      </c>
      <c r="CK59" s="203" t="str">
        <f t="shared" si="30"/>
        <v>OK</v>
      </c>
      <c r="CL59" s="377" t="s">
        <v>351</v>
      </c>
      <c r="CM59" s="230"/>
      <c r="CN59" s="183" t="str">
        <f t="shared" si="193"/>
        <v/>
      </c>
      <c r="CO59" s="203" t="str">
        <f t="shared" si="32"/>
        <v>OK</v>
      </c>
      <c r="CP59" s="377" t="s">
        <v>351</v>
      </c>
      <c r="CQ59" s="230"/>
      <c r="CR59" s="183" t="str">
        <f t="shared" si="194"/>
        <v/>
      </c>
      <c r="CS59" s="203" t="str">
        <f t="shared" si="34"/>
        <v>OK</v>
      </c>
      <c r="CT59" s="377" t="s">
        <v>351</v>
      </c>
      <c r="CU59" s="230"/>
      <c r="CV59" s="183" t="str">
        <f t="shared" si="195"/>
        <v/>
      </c>
      <c r="CW59" s="203" t="str">
        <f t="shared" si="36"/>
        <v>OK</v>
      </c>
      <c r="CX59" s="377" t="s">
        <v>351</v>
      </c>
      <c r="CY59" s="230"/>
      <c r="CZ59" s="183" t="str">
        <f t="shared" si="196"/>
        <v/>
      </c>
      <c r="DA59" s="203" t="str">
        <f t="shared" si="38"/>
        <v>OK</v>
      </c>
      <c r="DB59" s="377" t="s">
        <v>351</v>
      </c>
      <c r="DC59" s="230"/>
      <c r="DD59" s="183" t="str">
        <f t="shared" si="197"/>
        <v/>
      </c>
      <c r="DE59" s="203" t="str">
        <f t="shared" si="40"/>
        <v>OK</v>
      </c>
      <c r="DF59" s="377" t="s">
        <v>351</v>
      </c>
      <c r="DG59" s="230"/>
      <c r="DH59" s="183" t="str">
        <f t="shared" si="198"/>
        <v/>
      </c>
      <c r="DI59" s="203" t="str">
        <f t="shared" si="42"/>
        <v>OK</v>
      </c>
      <c r="DJ59" s="377" t="s">
        <v>351</v>
      </c>
      <c r="DK59" s="230"/>
      <c r="DL59" s="183" t="str">
        <f t="shared" si="199"/>
        <v/>
      </c>
      <c r="DM59" s="203" t="str">
        <f t="shared" si="44"/>
        <v>OK</v>
      </c>
      <c r="DN59" s="377" t="s">
        <v>351</v>
      </c>
      <c r="DO59" s="230"/>
      <c r="DP59" s="183" t="str">
        <f t="shared" si="200"/>
        <v/>
      </c>
      <c r="DQ59" s="203" t="str">
        <f t="shared" si="46"/>
        <v>OK</v>
      </c>
      <c r="DR59" s="377" t="s">
        <v>351</v>
      </c>
      <c r="DS59" s="230"/>
      <c r="DT59" s="183" t="str">
        <f t="shared" si="201"/>
        <v/>
      </c>
      <c r="DU59" s="203" t="str">
        <f t="shared" si="48"/>
        <v>OK</v>
      </c>
      <c r="DV59" s="377" t="s">
        <v>351</v>
      </c>
      <c r="DW59" s="230"/>
      <c r="DX59" s="183" t="str">
        <f t="shared" si="202"/>
        <v/>
      </c>
      <c r="DY59" s="203" t="str">
        <f t="shared" si="50"/>
        <v>OK</v>
      </c>
      <c r="DZ59" s="377" t="s">
        <v>351</v>
      </c>
      <c r="EA59" s="230"/>
      <c r="EB59" s="183" t="str">
        <f t="shared" si="203"/>
        <v/>
      </c>
      <c r="EC59" s="203" t="str">
        <f t="shared" si="52"/>
        <v>OK</v>
      </c>
      <c r="ED59" s="377" t="s">
        <v>351</v>
      </c>
      <c r="EE59" s="230"/>
      <c r="EF59" s="183" t="str">
        <f t="shared" si="204"/>
        <v/>
      </c>
      <c r="EG59" s="203" t="str">
        <f t="shared" si="54"/>
        <v>OK</v>
      </c>
      <c r="EH59" s="377" t="s">
        <v>351</v>
      </c>
      <c r="EI59" s="230"/>
      <c r="EJ59" s="183" t="str">
        <f t="shared" si="205"/>
        <v/>
      </c>
      <c r="EK59" s="203" t="str">
        <f t="shared" si="56"/>
        <v>OK</v>
      </c>
      <c r="EL59" s="377" t="s">
        <v>351</v>
      </c>
      <c r="EM59" s="230"/>
      <c r="EN59" s="183" t="str">
        <f t="shared" si="206"/>
        <v/>
      </c>
      <c r="EO59" s="203" t="str">
        <f t="shared" si="58"/>
        <v>OK</v>
      </c>
      <c r="EP59" s="377" t="s">
        <v>351</v>
      </c>
      <c r="EQ59" s="230"/>
      <c r="ER59" s="183" t="str">
        <f t="shared" si="207"/>
        <v/>
      </c>
      <c r="ES59" s="203" t="str">
        <f t="shared" si="60"/>
        <v>OK</v>
      </c>
      <c r="ET59" s="377" t="s">
        <v>351</v>
      </c>
      <c r="EU59" s="230"/>
      <c r="EV59" s="183" t="str">
        <f t="shared" si="208"/>
        <v/>
      </c>
      <c r="EW59" s="203" t="str">
        <f t="shared" si="62"/>
        <v>OK</v>
      </c>
      <c r="EX59" s="377" t="s">
        <v>351</v>
      </c>
      <c r="EY59" s="230"/>
      <c r="EZ59" s="183" t="str">
        <f t="shared" si="209"/>
        <v/>
      </c>
      <c r="FA59" s="203" t="str">
        <f t="shared" si="64"/>
        <v>OK</v>
      </c>
      <c r="FB59" s="377" t="s">
        <v>351</v>
      </c>
      <c r="FC59" s="230"/>
      <c r="FD59" s="183" t="str">
        <f t="shared" si="210"/>
        <v/>
      </c>
      <c r="FE59" s="203" t="str">
        <f t="shared" si="66"/>
        <v>OK</v>
      </c>
      <c r="FF59" s="377" t="s">
        <v>351</v>
      </c>
      <c r="FG59" s="230"/>
      <c r="FH59" s="183" t="str">
        <f t="shared" si="211"/>
        <v/>
      </c>
      <c r="FI59" s="203" t="str">
        <f t="shared" si="68"/>
        <v>OK</v>
      </c>
      <c r="FJ59" s="377" t="s">
        <v>351</v>
      </c>
      <c r="FK59" s="230"/>
      <c r="FL59" s="183" t="str">
        <f t="shared" si="212"/>
        <v/>
      </c>
      <c r="FM59" s="203" t="str">
        <f t="shared" si="70"/>
        <v>OK</v>
      </c>
      <c r="FN59" s="377" t="s">
        <v>351</v>
      </c>
      <c r="FO59" s="230"/>
      <c r="FP59" s="183" t="str">
        <f t="shared" si="213"/>
        <v/>
      </c>
      <c r="FQ59" s="203" t="str">
        <f t="shared" si="72"/>
        <v>OK</v>
      </c>
      <c r="FR59" s="377" t="s">
        <v>351</v>
      </c>
      <c r="FS59" s="230"/>
      <c r="FT59" s="183" t="str">
        <f t="shared" si="214"/>
        <v/>
      </c>
      <c r="FU59" s="203" t="str">
        <f t="shared" si="74"/>
        <v>OK</v>
      </c>
      <c r="FV59" s="377" t="s">
        <v>351</v>
      </c>
      <c r="FW59" s="230"/>
      <c r="FX59" s="183" t="str">
        <f t="shared" si="215"/>
        <v/>
      </c>
      <c r="FY59" s="203" t="str">
        <f t="shared" si="76"/>
        <v>OK</v>
      </c>
      <c r="FZ59" s="377" t="s">
        <v>351</v>
      </c>
      <c r="GA59" s="230"/>
      <c r="GB59" s="183" t="str">
        <f t="shared" si="216"/>
        <v/>
      </c>
      <c r="GC59" s="203" t="str">
        <f t="shared" si="78"/>
        <v>OK</v>
      </c>
      <c r="GD59" s="377" t="s">
        <v>351</v>
      </c>
      <c r="GE59" s="230"/>
      <c r="GF59" s="183" t="str">
        <f t="shared" si="217"/>
        <v/>
      </c>
      <c r="GG59" s="203" t="str">
        <f t="shared" si="80"/>
        <v>OK</v>
      </c>
      <c r="GH59" s="377" t="s">
        <v>351</v>
      </c>
      <c r="GI59" s="230"/>
      <c r="GJ59" s="183" t="str">
        <f t="shared" si="218"/>
        <v/>
      </c>
      <c r="GK59" s="203" t="str">
        <f t="shared" si="82"/>
        <v>OK</v>
      </c>
      <c r="GL59" s="377" t="s">
        <v>351</v>
      </c>
      <c r="GM59" s="230"/>
      <c r="GN59" s="183" t="str">
        <f t="shared" si="219"/>
        <v/>
      </c>
      <c r="GO59" s="203" t="str">
        <f t="shared" si="84"/>
        <v>OK</v>
      </c>
      <c r="GP59" s="378" t="s">
        <v>351</v>
      </c>
      <c r="GQ59" s="230"/>
      <c r="GR59" s="183" t="str">
        <f t="shared" si="220"/>
        <v/>
      </c>
      <c r="GS59" s="203" t="str">
        <f t="shared" si="86"/>
        <v>OK</v>
      </c>
      <c r="GT59" s="202"/>
      <c r="GU59" s="202"/>
      <c r="GV59" s="201"/>
      <c r="GW59" s="201"/>
      <c r="GX59" s="201"/>
    </row>
    <row r="60" spans="1:206">
      <c r="A60" s="200" t="s">
        <v>336</v>
      </c>
      <c r="B60" s="225">
        <f t="shared" si="221"/>
        <v>53</v>
      </c>
      <c r="C60" s="229"/>
      <c r="D60" s="229"/>
      <c r="E60" s="228"/>
      <c r="F60" s="228"/>
      <c r="G60" s="222" t="s">
        <v>349</v>
      </c>
      <c r="H60" s="220"/>
      <c r="I60" s="209"/>
      <c r="J60" s="217" t="s">
        <v>326</v>
      </c>
      <c r="K60" s="219"/>
      <c r="L60" s="219"/>
      <c r="M60" s="218"/>
      <c r="N60" s="217"/>
      <c r="O60" s="216"/>
      <c r="P60" s="212"/>
      <c r="Q60" s="212"/>
      <c r="R60" s="215"/>
      <c r="S60" s="214"/>
      <c r="T60" s="212"/>
      <c r="U60" s="213"/>
      <c r="V60" s="212"/>
      <c r="W60" s="211" t="str">
        <f t="shared" si="222"/>
        <v>4</v>
      </c>
      <c r="X60" s="210" t="s">
        <v>350</v>
      </c>
      <c r="Y60" s="210">
        <v>1</v>
      </c>
      <c r="Z60" s="210">
        <v>180</v>
      </c>
      <c r="AA60" s="209" t="s">
        <v>55</v>
      </c>
      <c r="AB60" s="209" t="s">
        <v>306</v>
      </c>
      <c r="AC60" s="207"/>
      <c r="AD60" s="377" t="s">
        <v>349</v>
      </c>
      <c r="AE60" s="230"/>
      <c r="AF60" s="183" t="str">
        <f t="shared" si="178"/>
        <v/>
      </c>
      <c r="AG60" s="203" t="str">
        <f t="shared" si="175"/>
        <v>OK</v>
      </c>
      <c r="AH60" s="377" t="s">
        <v>349</v>
      </c>
      <c r="AI60" s="230"/>
      <c r="AJ60" s="183" t="str">
        <f t="shared" si="179"/>
        <v/>
      </c>
      <c r="AK60" s="203" t="str">
        <f t="shared" si="176"/>
        <v>OK</v>
      </c>
      <c r="AL60" s="377" t="s">
        <v>349</v>
      </c>
      <c r="AM60" s="230"/>
      <c r="AN60" s="183" t="str">
        <f t="shared" si="180"/>
        <v/>
      </c>
      <c r="AO60" s="203" t="str">
        <f t="shared" si="177"/>
        <v>OK</v>
      </c>
      <c r="AP60" s="377" t="s">
        <v>349</v>
      </c>
      <c r="AQ60" s="230"/>
      <c r="AR60" s="183" t="str">
        <f t="shared" si="181"/>
        <v/>
      </c>
      <c r="AS60" s="203" t="str">
        <f t="shared" si="8"/>
        <v>OK</v>
      </c>
      <c r="AT60" s="377" t="s">
        <v>349</v>
      </c>
      <c r="AU60" s="230"/>
      <c r="AV60" s="183" t="str">
        <f t="shared" si="182"/>
        <v/>
      </c>
      <c r="AW60" s="203" t="str">
        <f t="shared" si="10"/>
        <v>OK</v>
      </c>
      <c r="AX60" s="377" t="s">
        <v>349</v>
      </c>
      <c r="AY60" s="230"/>
      <c r="AZ60" s="183" t="str">
        <f t="shared" si="183"/>
        <v/>
      </c>
      <c r="BA60" s="203" t="str">
        <f t="shared" si="12"/>
        <v>OK</v>
      </c>
      <c r="BB60" s="378"/>
      <c r="BC60" s="230"/>
      <c r="BD60" s="183" t="str">
        <f>IF($AB60="I","",IF($AA60="","",IF(BB60="","",BB60)))</f>
        <v/>
      </c>
      <c r="BE60" s="203" t="str">
        <f>IF(OR(BC$8="判定対象外",BD60="-"),"-",IF(BC60=BD60,"OK","NG"))</f>
        <v>OK</v>
      </c>
      <c r="BF60" s="379" t="s">
        <v>581</v>
      </c>
      <c r="BG60" s="230"/>
      <c r="BH60" s="183" t="str">
        <f>IF($AB60="I","",IF($AA60="","",IF(BF60="","",BF60)))</f>
        <v/>
      </c>
      <c r="BI60" s="203" t="str">
        <f>IF(OR(BG$8="判定対象外",BH60="-"),"-",IF(BG60=BH60,"OK","NG"))</f>
        <v>OK</v>
      </c>
      <c r="BJ60" s="379" t="s">
        <v>573</v>
      </c>
      <c r="BK60" s="230"/>
      <c r="BL60" s="183" t="str">
        <f t="shared" si="186"/>
        <v/>
      </c>
      <c r="BM60" s="203" t="str">
        <f t="shared" si="18"/>
        <v>OK</v>
      </c>
      <c r="BN60" s="377" t="s">
        <v>349</v>
      </c>
      <c r="BO60" s="230"/>
      <c r="BP60" s="183" t="str">
        <f>IF($AB60="I","",IF($AA60="","",IF(BN60="","",BN60)))</f>
        <v/>
      </c>
      <c r="BQ60" s="203" t="str">
        <f>IF(OR(BO$9="判定対象外",BP60="-"),"-",IF(BO60=BP60,"OK","NG"))</f>
        <v>OK</v>
      </c>
      <c r="BR60" s="377" t="s">
        <v>349</v>
      </c>
      <c r="BS60" s="230"/>
      <c r="BT60" s="183" t="str">
        <f>IF($AB60="I","",IF($AA60="","",IF(BR60="","",BR60)))</f>
        <v/>
      </c>
      <c r="BU60" s="203" t="str">
        <f>IF(OR(BS$9="判定対象外",BT60="-"),"-",IF(BS60=BT60,"OK","NG"))</f>
        <v>OK</v>
      </c>
      <c r="BV60" s="377" t="s">
        <v>349</v>
      </c>
      <c r="BW60" s="230"/>
      <c r="BX60" s="183" t="str">
        <f t="shared" si="189"/>
        <v/>
      </c>
      <c r="BY60" s="203" t="str">
        <f t="shared" si="24"/>
        <v>OK</v>
      </c>
      <c r="BZ60" s="377" t="s">
        <v>349</v>
      </c>
      <c r="CA60" s="230"/>
      <c r="CB60" s="183" t="str">
        <f t="shared" si="190"/>
        <v/>
      </c>
      <c r="CC60" s="203" t="str">
        <f>IF(OR(CA$9="判定対象外",CB60="-"),"-",IF(CA60=CB60,"OK","NG"))</f>
        <v>OK</v>
      </c>
      <c r="CD60" s="377" t="s">
        <v>349</v>
      </c>
      <c r="CE60" s="230"/>
      <c r="CF60" s="183" t="str">
        <f t="shared" si="191"/>
        <v/>
      </c>
      <c r="CG60" s="203" t="str">
        <f>IF(OR(CE$9="判定対象外",CF60="-"),"-",IF(CE60=CF60,"OK","NG"))</f>
        <v>OK</v>
      </c>
      <c r="CH60" s="377" t="s">
        <v>349</v>
      </c>
      <c r="CI60" s="230"/>
      <c r="CJ60" s="183" t="str">
        <f t="shared" si="192"/>
        <v/>
      </c>
      <c r="CK60" s="203" t="str">
        <f t="shared" si="30"/>
        <v>OK</v>
      </c>
      <c r="CL60" s="377" t="s">
        <v>349</v>
      </c>
      <c r="CM60" s="230"/>
      <c r="CN60" s="183" t="str">
        <f t="shared" si="193"/>
        <v/>
      </c>
      <c r="CO60" s="203" t="str">
        <f>IF(OR(CM$9="判定対象外",CN60="-"),"-",IF(CM60=CN60,"OK","NG"))</f>
        <v>OK</v>
      </c>
      <c r="CP60" s="377" t="s">
        <v>349</v>
      </c>
      <c r="CQ60" s="230"/>
      <c r="CR60" s="183" t="str">
        <f t="shared" si="194"/>
        <v/>
      </c>
      <c r="CS60" s="203" t="str">
        <f>IF(OR(CQ$9="判定対象外",CR60="-"),"-",IF(CQ60=CR60,"OK","NG"))</f>
        <v>OK</v>
      </c>
      <c r="CT60" s="377" t="s">
        <v>349</v>
      </c>
      <c r="CU60" s="230"/>
      <c r="CV60" s="183" t="str">
        <f t="shared" si="195"/>
        <v/>
      </c>
      <c r="CW60" s="203" t="str">
        <f t="shared" si="36"/>
        <v>OK</v>
      </c>
      <c r="CX60" s="377" t="s">
        <v>349</v>
      </c>
      <c r="CY60" s="230"/>
      <c r="CZ60" s="183" t="str">
        <f t="shared" si="196"/>
        <v/>
      </c>
      <c r="DA60" s="203" t="str">
        <f>IF(OR(CY$9="判定対象外",CZ60="-"),"-",IF(CY60=CZ60,"OK","NG"))</f>
        <v>OK</v>
      </c>
      <c r="DB60" s="377" t="s">
        <v>349</v>
      </c>
      <c r="DC60" s="230"/>
      <c r="DD60" s="183" t="str">
        <f t="shared" si="197"/>
        <v/>
      </c>
      <c r="DE60" s="203" t="str">
        <f>IF(OR(DC$9="判定対象外",DD60="-"),"-",IF(DC60=DD60,"OK","NG"))</f>
        <v>OK</v>
      </c>
      <c r="DF60" s="377" t="s">
        <v>349</v>
      </c>
      <c r="DG60" s="230"/>
      <c r="DH60" s="183" t="str">
        <f t="shared" si="198"/>
        <v/>
      </c>
      <c r="DI60" s="203" t="str">
        <f t="shared" si="42"/>
        <v>OK</v>
      </c>
      <c r="DJ60" s="377" t="s">
        <v>349</v>
      </c>
      <c r="DK60" s="230"/>
      <c r="DL60" s="183" t="str">
        <f t="shared" si="199"/>
        <v/>
      </c>
      <c r="DM60" s="203" t="str">
        <f>IF(OR(DK$9="判定対象外",DL60="-"),"-",IF(DK60=DL60,"OK","NG"))</f>
        <v>OK</v>
      </c>
      <c r="DN60" s="377" t="s">
        <v>349</v>
      </c>
      <c r="DO60" s="230"/>
      <c r="DP60" s="183" t="str">
        <f t="shared" si="200"/>
        <v/>
      </c>
      <c r="DQ60" s="203" t="str">
        <f>IF(OR(DO$9="判定対象外",DP60="-"),"-",IF(DO60=DP60,"OK","NG"))</f>
        <v>OK</v>
      </c>
      <c r="DR60" s="377" t="s">
        <v>349</v>
      </c>
      <c r="DS60" s="230"/>
      <c r="DT60" s="183" t="str">
        <f t="shared" si="201"/>
        <v/>
      </c>
      <c r="DU60" s="203" t="str">
        <f t="shared" si="48"/>
        <v>OK</v>
      </c>
      <c r="DV60" s="377" t="s">
        <v>349</v>
      </c>
      <c r="DW60" s="230"/>
      <c r="DX60" s="183" t="str">
        <f t="shared" si="202"/>
        <v/>
      </c>
      <c r="DY60" s="203" t="str">
        <f>IF(OR(DW$9="判定対象外",DX60="-"),"-",IF(DW60=DX60,"OK","NG"))</f>
        <v>OK</v>
      </c>
      <c r="DZ60" s="377" t="s">
        <v>349</v>
      </c>
      <c r="EA60" s="230"/>
      <c r="EB60" s="183" t="str">
        <f t="shared" si="203"/>
        <v/>
      </c>
      <c r="EC60" s="203" t="str">
        <f>IF(OR(EA$9="判定対象外",EB60="-"),"-",IF(EA60=EB60,"OK","NG"))</f>
        <v>OK</v>
      </c>
      <c r="ED60" s="377" t="s">
        <v>349</v>
      </c>
      <c r="EE60" s="230"/>
      <c r="EF60" s="183" t="str">
        <f t="shared" si="204"/>
        <v/>
      </c>
      <c r="EG60" s="203" t="str">
        <f t="shared" si="54"/>
        <v>OK</v>
      </c>
      <c r="EH60" s="377" t="s">
        <v>349</v>
      </c>
      <c r="EI60" s="230"/>
      <c r="EJ60" s="183" t="str">
        <f t="shared" si="205"/>
        <v/>
      </c>
      <c r="EK60" s="203" t="str">
        <f>IF(OR(EI$9="判定対象外",EJ60="-"),"-",IF(EI60=EJ60,"OK","NG"))</f>
        <v>OK</v>
      </c>
      <c r="EL60" s="377" t="s">
        <v>349</v>
      </c>
      <c r="EM60" s="230"/>
      <c r="EN60" s="183" t="str">
        <f t="shared" si="206"/>
        <v/>
      </c>
      <c r="EO60" s="203" t="str">
        <f>IF(OR(EM$9="判定対象外",EN60="-"),"-",IF(EM60=EN60,"OK","NG"))</f>
        <v>OK</v>
      </c>
      <c r="EP60" s="377" t="s">
        <v>349</v>
      </c>
      <c r="EQ60" s="230"/>
      <c r="ER60" s="183" t="str">
        <f t="shared" si="207"/>
        <v/>
      </c>
      <c r="ES60" s="203" t="str">
        <f t="shared" si="60"/>
        <v>OK</v>
      </c>
      <c r="ET60" s="377" t="s">
        <v>349</v>
      </c>
      <c r="EU60" s="230"/>
      <c r="EV60" s="183" t="str">
        <f t="shared" si="208"/>
        <v/>
      </c>
      <c r="EW60" s="203" t="str">
        <f>IF(OR(EU$9="判定対象外",EV60="-"),"-",IF(EU60=EV60,"OK","NG"))</f>
        <v>OK</v>
      </c>
      <c r="EX60" s="377" t="s">
        <v>349</v>
      </c>
      <c r="EY60" s="230"/>
      <c r="EZ60" s="183" t="str">
        <f t="shared" si="209"/>
        <v/>
      </c>
      <c r="FA60" s="203" t="str">
        <f>IF(OR(EY$9="判定対象外",EZ60="-"),"-",IF(EY60=EZ60,"OK","NG"))</f>
        <v>OK</v>
      </c>
      <c r="FB60" s="377" t="s">
        <v>349</v>
      </c>
      <c r="FC60" s="230"/>
      <c r="FD60" s="183" t="str">
        <f t="shared" si="210"/>
        <v/>
      </c>
      <c r="FE60" s="203" t="str">
        <f t="shared" si="66"/>
        <v>OK</v>
      </c>
      <c r="FF60" s="377" t="s">
        <v>349</v>
      </c>
      <c r="FG60" s="230"/>
      <c r="FH60" s="183" t="str">
        <f t="shared" si="211"/>
        <v/>
      </c>
      <c r="FI60" s="203" t="str">
        <f>IF(OR(FG$9="判定対象外",FH60="-"),"-",IF(FG60=FH60,"OK","NG"))</f>
        <v>OK</v>
      </c>
      <c r="FJ60" s="377" t="s">
        <v>349</v>
      </c>
      <c r="FK60" s="230"/>
      <c r="FL60" s="183" t="str">
        <f t="shared" si="212"/>
        <v/>
      </c>
      <c r="FM60" s="203" t="str">
        <f>IF(OR(FK$9="判定対象外",FL60="-"),"-",IF(FK60=FL60,"OK","NG"))</f>
        <v>OK</v>
      </c>
      <c r="FN60" s="377" t="s">
        <v>349</v>
      </c>
      <c r="FO60" s="230"/>
      <c r="FP60" s="183" t="str">
        <f t="shared" si="213"/>
        <v/>
      </c>
      <c r="FQ60" s="203" t="str">
        <f t="shared" si="72"/>
        <v>OK</v>
      </c>
      <c r="FR60" s="377" t="s">
        <v>349</v>
      </c>
      <c r="FS60" s="230"/>
      <c r="FT60" s="183" t="str">
        <f t="shared" si="214"/>
        <v/>
      </c>
      <c r="FU60" s="203" t="str">
        <f>IF(OR(FS$9="判定対象外",FT60="-"),"-",IF(FS60=FT60,"OK","NG"))</f>
        <v>OK</v>
      </c>
      <c r="FV60" s="377" t="s">
        <v>349</v>
      </c>
      <c r="FW60" s="230"/>
      <c r="FX60" s="183" t="str">
        <f t="shared" si="215"/>
        <v/>
      </c>
      <c r="FY60" s="203" t="str">
        <f>IF(OR(FW$9="判定対象外",FX60="-"),"-",IF(FW60=FX60,"OK","NG"))</f>
        <v>OK</v>
      </c>
      <c r="FZ60" s="377" t="s">
        <v>349</v>
      </c>
      <c r="GA60" s="230"/>
      <c r="GB60" s="183" t="str">
        <f t="shared" si="216"/>
        <v/>
      </c>
      <c r="GC60" s="203" t="str">
        <f t="shared" si="78"/>
        <v>OK</v>
      </c>
      <c r="GD60" s="377" t="s">
        <v>349</v>
      </c>
      <c r="GE60" s="230"/>
      <c r="GF60" s="183" t="str">
        <f t="shared" si="217"/>
        <v/>
      </c>
      <c r="GG60" s="203" t="str">
        <f>IF(OR(GE$9="判定対象外",GF60="-"),"-",IF(GE60=GF60,"OK","NG"))</f>
        <v>OK</v>
      </c>
      <c r="GH60" s="377" t="s">
        <v>349</v>
      </c>
      <c r="GI60" s="230"/>
      <c r="GJ60" s="183" t="str">
        <f t="shared" si="218"/>
        <v/>
      </c>
      <c r="GK60" s="203" t="str">
        <f>IF(OR(GI$9="判定対象外",GJ60="-"),"-",IF(GI60=GJ60,"OK","NG"))</f>
        <v>OK</v>
      </c>
      <c r="GL60" s="377" t="s">
        <v>349</v>
      </c>
      <c r="GM60" s="230"/>
      <c r="GN60" s="183" t="str">
        <f t="shared" si="219"/>
        <v/>
      </c>
      <c r="GO60" s="203" t="str">
        <f t="shared" si="84"/>
        <v>OK</v>
      </c>
      <c r="GP60" s="378" t="s">
        <v>349</v>
      </c>
      <c r="GQ60" s="230"/>
      <c r="GR60" s="183" t="str">
        <f t="shared" si="220"/>
        <v/>
      </c>
      <c r="GS60" s="203" t="str">
        <f>IF(OR(GQ$9="判定対象外",GR60="-"),"-",IF(GQ60=GR60,"OK","NG"))</f>
        <v>OK</v>
      </c>
      <c r="GT60" s="202"/>
      <c r="GU60" s="202"/>
      <c r="GV60" s="201"/>
      <c r="GW60" s="201"/>
      <c r="GX60" s="201"/>
    </row>
    <row r="61" spans="1:206">
      <c r="A61" s="200" t="s">
        <v>336</v>
      </c>
      <c r="B61" s="225">
        <f t="shared" si="221"/>
        <v>54</v>
      </c>
      <c r="C61" s="229"/>
      <c r="D61" s="229"/>
      <c r="E61" s="228"/>
      <c r="F61" s="228"/>
      <c r="G61" s="222" t="s">
        <v>347</v>
      </c>
      <c r="H61" s="220"/>
      <c r="I61" s="209"/>
      <c r="J61" s="217" t="s">
        <v>326</v>
      </c>
      <c r="K61" s="219"/>
      <c r="L61" s="219"/>
      <c r="M61" s="218"/>
      <c r="N61" s="217"/>
      <c r="O61" s="216"/>
      <c r="P61" s="212"/>
      <c r="Q61" s="212"/>
      <c r="R61" s="215"/>
      <c r="S61" s="214"/>
      <c r="T61" s="212"/>
      <c r="U61" s="213"/>
      <c r="V61" s="212"/>
      <c r="W61" s="211" t="str">
        <f t="shared" si="222"/>
        <v>4</v>
      </c>
      <c r="X61" s="210" t="s">
        <v>348</v>
      </c>
      <c r="Y61" s="210">
        <v>1</v>
      </c>
      <c r="Z61" s="210">
        <v>180</v>
      </c>
      <c r="AA61" s="209" t="s">
        <v>55</v>
      </c>
      <c r="AB61" s="209" t="s">
        <v>306</v>
      </c>
      <c r="AC61" s="207"/>
      <c r="AD61" s="377" t="s">
        <v>347</v>
      </c>
      <c r="AE61" s="230"/>
      <c r="AF61" s="183" t="str">
        <f t="shared" si="178"/>
        <v/>
      </c>
      <c r="AG61" s="203" t="str">
        <f t="shared" si="175"/>
        <v>OK</v>
      </c>
      <c r="AH61" s="377" t="s">
        <v>347</v>
      </c>
      <c r="AI61" s="230"/>
      <c r="AJ61" s="183" t="str">
        <f t="shared" si="179"/>
        <v/>
      </c>
      <c r="AK61" s="203" t="str">
        <f t="shared" si="176"/>
        <v>OK</v>
      </c>
      <c r="AL61" s="377" t="s">
        <v>347</v>
      </c>
      <c r="AM61" s="230"/>
      <c r="AN61" s="183" t="str">
        <f t="shared" si="180"/>
        <v/>
      </c>
      <c r="AO61" s="203" t="str">
        <f t="shared" si="177"/>
        <v>OK</v>
      </c>
      <c r="AP61" s="377" t="s">
        <v>347</v>
      </c>
      <c r="AQ61" s="230"/>
      <c r="AR61" s="183" t="str">
        <f t="shared" si="181"/>
        <v/>
      </c>
      <c r="AS61" s="203" t="str">
        <f t="shared" si="8"/>
        <v>OK</v>
      </c>
      <c r="AT61" s="377" t="s">
        <v>347</v>
      </c>
      <c r="AU61" s="230"/>
      <c r="AV61" s="183" t="str">
        <f t="shared" si="182"/>
        <v/>
      </c>
      <c r="AW61" s="203" t="str">
        <f t="shared" si="10"/>
        <v>OK</v>
      </c>
      <c r="AX61" s="377" t="s">
        <v>347</v>
      </c>
      <c r="AY61" s="230"/>
      <c r="AZ61" s="183" t="str">
        <f t="shared" si="183"/>
        <v/>
      </c>
      <c r="BA61" s="203" t="str">
        <f t="shared" si="12"/>
        <v>OK</v>
      </c>
      <c r="BB61" s="377" t="s">
        <v>347</v>
      </c>
      <c r="BC61" s="230"/>
      <c r="BD61" s="183" t="str">
        <f t="shared" si="184"/>
        <v/>
      </c>
      <c r="BE61" s="203" t="str">
        <f t="shared" si="14"/>
        <v>OK</v>
      </c>
      <c r="BF61" s="377" t="s">
        <v>347</v>
      </c>
      <c r="BG61" s="230"/>
      <c r="BH61" s="183" t="str">
        <f t="shared" si="185"/>
        <v/>
      </c>
      <c r="BI61" s="203" t="str">
        <f t="shared" si="16"/>
        <v>OK</v>
      </c>
      <c r="BJ61" s="377" t="s">
        <v>347</v>
      </c>
      <c r="BK61" s="230"/>
      <c r="BL61" s="183" t="str">
        <f t="shared" si="186"/>
        <v/>
      </c>
      <c r="BM61" s="203" t="str">
        <f t="shared" si="18"/>
        <v>OK</v>
      </c>
      <c r="BN61" s="378"/>
      <c r="BO61" s="230"/>
      <c r="BP61" s="183" t="str">
        <f>IF($AB61="I","",IF($AA61="","",IF(BN61="","",BN61)))</f>
        <v/>
      </c>
      <c r="BQ61" s="203" t="str">
        <f>IF(OR(BO$8="判定対象外",BP61="-"),"-",IF(BO61=BP61,"OK","NG"))</f>
        <v>OK</v>
      </c>
      <c r="BR61" s="379" t="s">
        <v>581</v>
      </c>
      <c r="BS61" s="230"/>
      <c r="BT61" s="183" t="str">
        <f>IF($AB61="I","",IF($AA61="","",IF(BR61="","",BR61)))</f>
        <v/>
      </c>
      <c r="BU61" s="203" t="str">
        <f>IF(OR(BS$8="判定対象外",BT61="-"),"-",IF(BS61=BT61,"OK","NG"))</f>
        <v>OK</v>
      </c>
      <c r="BV61" s="379" t="s">
        <v>573</v>
      </c>
      <c r="BW61" s="230"/>
      <c r="BX61" s="183" t="str">
        <f t="shared" si="189"/>
        <v/>
      </c>
      <c r="BY61" s="203" t="str">
        <f t="shared" si="24"/>
        <v>OK</v>
      </c>
      <c r="BZ61" s="377" t="s">
        <v>347</v>
      </c>
      <c r="CA61" s="230"/>
      <c r="CB61" s="183" t="str">
        <f>IF($AB61="I","",IF($AA61="","",IF(BZ61="","",BZ61)))</f>
        <v/>
      </c>
      <c r="CC61" s="203" t="str">
        <f>IF(OR(CA$10="判定対象外",CB61="-"),"-",IF(CA61=CB61,"OK","NG"))</f>
        <v>OK</v>
      </c>
      <c r="CD61" s="377" t="s">
        <v>347</v>
      </c>
      <c r="CE61" s="230"/>
      <c r="CF61" s="183" t="str">
        <f>IF($AB61="I","",IF($AA61="","",IF(CD61="","",CD61)))</f>
        <v/>
      </c>
      <c r="CG61" s="203" t="str">
        <f>IF(OR(CE$10="判定対象外",CF61="-"),"-",IF(CE61=CF61,"OK","NG"))</f>
        <v>OK</v>
      </c>
      <c r="CH61" s="377" t="s">
        <v>347</v>
      </c>
      <c r="CI61" s="230"/>
      <c r="CJ61" s="183" t="str">
        <f t="shared" si="192"/>
        <v/>
      </c>
      <c r="CK61" s="203" t="str">
        <f t="shared" si="30"/>
        <v>OK</v>
      </c>
      <c r="CL61" s="377" t="s">
        <v>347</v>
      </c>
      <c r="CM61" s="230"/>
      <c r="CN61" s="183" t="str">
        <f t="shared" si="193"/>
        <v/>
      </c>
      <c r="CO61" s="203" t="str">
        <f>IF(OR(CM$10="判定対象外",CN61="-"),"-",IF(CM61=CN61,"OK","NG"))</f>
        <v>OK</v>
      </c>
      <c r="CP61" s="377" t="s">
        <v>347</v>
      </c>
      <c r="CQ61" s="230"/>
      <c r="CR61" s="183" t="str">
        <f t="shared" si="194"/>
        <v/>
      </c>
      <c r="CS61" s="203" t="str">
        <f>IF(OR(CQ$10="判定対象外",CR61="-"),"-",IF(CQ61=CR61,"OK","NG"))</f>
        <v>OK</v>
      </c>
      <c r="CT61" s="377" t="s">
        <v>347</v>
      </c>
      <c r="CU61" s="230"/>
      <c r="CV61" s="183" t="str">
        <f t="shared" si="195"/>
        <v/>
      </c>
      <c r="CW61" s="203" t="str">
        <f t="shared" si="36"/>
        <v>OK</v>
      </c>
      <c r="CX61" s="377" t="s">
        <v>347</v>
      </c>
      <c r="CY61" s="230"/>
      <c r="CZ61" s="183" t="str">
        <f t="shared" si="196"/>
        <v/>
      </c>
      <c r="DA61" s="203" t="str">
        <f>IF(OR(CY$10="判定対象外",CZ61="-"),"-",IF(CY61=CZ61,"OK","NG"))</f>
        <v>OK</v>
      </c>
      <c r="DB61" s="377" t="s">
        <v>347</v>
      </c>
      <c r="DC61" s="230"/>
      <c r="DD61" s="183" t="str">
        <f t="shared" si="197"/>
        <v/>
      </c>
      <c r="DE61" s="203" t="str">
        <f>IF(OR(DC$10="判定対象外",DD61="-"),"-",IF(DC61=DD61,"OK","NG"))</f>
        <v>OK</v>
      </c>
      <c r="DF61" s="377" t="s">
        <v>347</v>
      </c>
      <c r="DG61" s="230"/>
      <c r="DH61" s="183" t="str">
        <f t="shared" si="198"/>
        <v/>
      </c>
      <c r="DI61" s="203" t="str">
        <f t="shared" si="42"/>
        <v>OK</v>
      </c>
      <c r="DJ61" s="377" t="s">
        <v>347</v>
      </c>
      <c r="DK61" s="230"/>
      <c r="DL61" s="183" t="str">
        <f t="shared" si="199"/>
        <v/>
      </c>
      <c r="DM61" s="203" t="str">
        <f>IF(OR(DK$10="判定対象外",DL61="-"),"-",IF(DK61=DL61,"OK","NG"))</f>
        <v>OK</v>
      </c>
      <c r="DN61" s="377" t="s">
        <v>347</v>
      </c>
      <c r="DO61" s="230"/>
      <c r="DP61" s="183" t="str">
        <f t="shared" si="200"/>
        <v/>
      </c>
      <c r="DQ61" s="203" t="str">
        <f>IF(OR(DO$10="判定対象外",DP61="-"),"-",IF(DO61=DP61,"OK","NG"))</f>
        <v>OK</v>
      </c>
      <c r="DR61" s="377" t="s">
        <v>347</v>
      </c>
      <c r="DS61" s="230"/>
      <c r="DT61" s="183" t="str">
        <f t="shared" si="201"/>
        <v/>
      </c>
      <c r="DU61" s="203" t="str">
        <f t="shared" si="48"/>
        <v>OK</v>
      </c>
      <c r="DV61" s="377" t="s">
        <v>347</v>
      </c>
      <c r="DW61" s="230"/>
      <c r="DX61" s="183" t="str">
        <f t="shared" si="202"/>
        <v/>
      </c>
      <c r="DY61" s="203" t="str">
        <f>IF(OR(DW$10="判定対象外",DX61="-"),"-",IF(DW61=DX61,"OK","NG"))</f>
        <v>OK</v>
      </c>
      <c r="DZ61" s="377" t="s">
        <v>347</v>
      </c>
      <c r="EA61" s="230"/>
      <c r="EB61" s="183" t="str">
        <f t="shared" si="203"/>
        <v/>
      </c>
      <c r="EC61" s="203" t="str">
        <f>IF(OR(EA$10="判定対象外",EB61="-"),"-",IF(EA61=EB61,"OK","NG"))</f>
        <v>OK</v>
      </c>
      <c r="ED61" s="377" t="s">
        <v>347</v>
      </c>
      <c r="EE61" s="230"/>
      <c r="EF61" s="183" t="str">
        <f t="shared" si="204"/>
        <v/>
      </c>
      <c r="EG61" s="203" t="str">
        <f t="shared" si="54"/>
        <v>OK</v>
      </c>
      <c r="EH61" s="377" t="s">
        <v>347</v>
      </c>
      <c r="EI61" s="230"/>
      <c r="EJ61" s="183" t="str">
        <f t="shared" si="205"/>
        <v/>
      </c>
      <c r="EK61" s="203" t="str">
        <f>IF(OR(EI$10="判定対象外",EJ61="-"),"-",IF(EI61=EJ61,"OK","NG"))</f>
        <v>OK</v>
      </c>
      <c r="EL61" s="377" t="s">
        <v>347</v>
      </c>
      <c r="EM61" s="230"/>
      <c r="EN61" s="183" t="str">
        <f t="shared" si="206"/>
        <v/>
      </c>
      <c r="EO61" s="203" t="str">
        <f>IF(OR(EM$10="判定対象外",EN61="-"),"-",IF(EM61=EN61,"OK","NG"))</f>
        <v>OK</v>
      </c>
      <c r="EP61" s="377" t="s">
        <v>347</v>
      </c>
      <c r="EQ61" s="230"/>
      <c r="ER61" s="183" t="str">
        <f t="shared" si="207"/>
        <v/>
      </c>
      <c r="ES61" s="203" t="str">
        <f t="shared" si="60"/>
        <v>OK</v>
      </c>
      <c r="ET61" s="377" t="s">
        <v>347</v>
      </c>
      <c r="EU61" s="230"/>
      <c r="EV61" s="183" t="str">
        <f t="shared" si="208"/>
        <v/>
      </c>
      <c r="EW61" s="203" t="str">
        <f>IF(OR(EU$10="判定対象外",EV61="-"),"-",IF(EU61=EV61,"OK","NG"))</f>
        <v>OK</v>
      </c>
      <c r="EX61" s="377" t="s">
        <v>347</v>
      </c>
      <c r="EY61" s="230"/>
      <c r="EZ61" s="183" t="str">
        <f t="shared" si="209"/>
        <v/>
      </c>
      <c r="FA61" s="203" t="str">
        <f>IF(OR(EY$10="判定対象外",EZ61="-"),"-",IF(EY61=EZ61,"OK","NG"))</f>
        <v>OK</v>
      </c>
      <c r="FB61" s="377" t="s">
        <v>347</v>
      </c>
      <c r="FC61" s="230"/>
      <c r="FD61" s="183" t="str">
        <f t="shared" si="210"/>
        <v/>
      </c>
      <c r="FE61" s="203" t="str">
        <f t="shared" si="66"/>
        <v>OK</v>
      </c>
      <c r="FF61" s="377" t="s">
        <v>347</v>
      </c>
      <c r="FG61" s="230"/>
      <c r="FH61" s="183" t="str">
        <f t="shared" si="211"/>
        <v/>
      </c>
      <c r="FI61" s="203" t="str">
        <f>IF(OR(FG$10="判定対象外",FH61="-"),"-",IF(FG61=FH61,"OK","NG"))</f>
        <v>OK</v>
      </c>
      <c r="FJ61" s="377" t="s">
        <v>347</v>
      </c>
      <c r="FK61" s="230"/>
      <c r="FL61" s="183" t="str">
        <f t="shared" si="212"/>
        <v/>
      </c>
      <c r="FM61" s="203" t="str">
        <f>IF(OR(FK$10="判定対象外",FL61="-"),"-",IF(FK61=FL61,"OK","NG"))</f>
        <v>OK</v>
      </c>
      <c r="FN61" s="377" t="s">
        <v>347</v>
      </c>
      <c r="FO61" s="230"/>
      <c r="FP61" s="183" t="str">
        <f t="shared" si="213"/>
        <v/>
      </c>
      <c r="FQ61" s="203" t="str">
        <f t="shared" si="72"/>
        <v>OK</v>
      </c>
      <c r="FR61" s="377" t="s">
        <v>347</v>
      </c>
      <c r="FS61" s="230"/>
      <c r="FT61" s="183" t="str">
        <f t="shared" si="214"/>
        <v/>
      </c>
      <c r="FU61" s="203" t="str">
        <f>IF(OR(FS$10="判定対象外",FT61="-"),"-",IF(FS61=FT61,"OK","NG"))</f>
        <v>OK</v>
      </c>
      <c r="FV61" s="377" t="s">
        <v>347</v>
      </c>
      <c r="FW61" s="230"/>
      <c r="FX61" s="183" t="str">
        <f t="shared" si="215"/>
        <v/>
      </c>
      <c r="FY61" s="203" t="str">
        <f>IF(OR(FW$10="判定対象外",FX61="-"),"-",IF(FW61=FX61,"OK","NG"))</f>
        <v>OK</v>
      </c>
      <c r="FZ61" s="377" t="s">
        <v>347</v>
      </c>
      <c r="GA61" s="230"/>
      <c r="GB61" s="183" t="str">
        <f t="shared" si="216"/>
        <v/>
      </c>
      <c r="GC61" s="203" t="str">
        <f t="shared" si="78"/>
        <v>OK</v>
      </c>
      <c r="GD61" s="377" t="s">
        <v>347</v>
      </c>
      <c r="GE61" s="230"/>
      <c r="GF61" s="183" t="str">
        <f t="shared" si="217"/>
        <v/>
      </c>
      <c r="GG61" s="203" t="str">
        <f>IF(OR(GE$10="判定対象外",GF61="-"),"-",IF(GE61=GF61,"OK","NG"))</f>
        <v>OK</v>
      </c>
      <c r="GH61" s="377" t="s">
        <v>347</v>
      </c>
      <c r="GI61" s="230"/>
      <c r="GJ61" s="183" t="str">
        <f t="shared" si="218"/>
        <v/>
      </c>
      <c r="GK61" s="203" t="str">
        <f>IF(OR(GI$10="判定対象外",GJ61="-"),"-",IF(GI61=GJ61,"OK","NG"))</f>
        <v>OK</v>
      </c>
      <c r="GL61" s="377" t="s">
        <v>347</v>
      </c>
      <c r="GM61" s="230"/>
      <c r="GN61" s="183" t="str">
        <f t="shared" si="219"/>
        <v/>
      </c>
      <c r="GO61" s="203" t="str">
        <f t="shared" si="84"/>
        <v>OK</v>
      </c>
      <c r="GP61" s="378" t="s">
        <v>347</v>
      </c>
      <c r="GQ61" s="230"/>
      <c r="GR61" s="183" t="str">
        <f t="shared" si="220"/>
        <v/>
      </c>
      <c r="GS61" s="203" t="str">
        <f>IF(OR(GQ$10="判定対象外",GR61="-"),"-",IF(GQ61=GR61,"OK","NG"))</f>
        <v>OK</v>
      </c>
      <c r="GT61" s="202"/>
      <c r="GU61" s="202"/>
      <c r="GV61" s="201"/>
      <c r="GW61" s="201"/>
      <c r="GX61" s="201"/>
    </row>
    <row r="62" spans="1:206">
      <c r="A62" s="200" t="s">
        <v>336</v>
      </c>
      <c r="B62" s="225">
        <f t="shared" si="221"/>
        <v>55</v>
      </c>
      <c r="C62" s="229"/>
      <c r="D62" s="229"/>
      <c r="E62" s="228"/>
      <c r="F62" s="228"/>
      <c r="G62" s="222" t="s">
        <v>345</v>
      </c>
      <c r="H62" s="220"/>
      <c r="I62" s="209"/>
      <c r="J62" s="217" t="s">
        <v>326</v>
      </c>
      <c r="K62" s="219"/>
      <c r="L62" s="219"/>
      <c r="M62" s="218"/>
      <c r="N62" s="217"/>
      <c r="O62" s="216"/>
      <c r="P62" s="212"/>
      <c r="Q62" s="212"/>
      <c r="R62" s="215"/>
      <c r="S62" s="214"/>
      <c r="T62" s="212"/>
      <c r="U62" s="213"/>
      <c r="V62" s="212"/>
      <c r="W62" s="211" t="str">
        <f t="shared" si="222"/>
        <v>4</v>
      </c>
      <c r="X62" s="210" t="s">
        <v>346</v>
      </c>
      <c r="Y62" s="210">
        <v>1</v>
      </c>
      <c r="Z62" s="210">
        <v>180</v>
      </c>
      <c r="AA62" s="209" t="s">
        <v>55</v>
      </c>
      <c r="AB62" s="209" t="s">
        <v>306</v>
      </c>
      <c r="AC62" s="207"/>
      <c r="AD62" s="377" t="s">
        <v>345</v>
      </c>
      <c r="AE62" s="230"/>
      <c r="AF62" s="183" t="str">
        <f t="shared" si="178"/>
        <v/>
      </c>
      <c r="AG62" s="203" t="str">
        <f t="shared" si="175"/>
        <v>OK</v>
      </c>
      <c r="AH62" s="377" t="s">
        <v>345</v>
      </c>
      <c r="AI62" s="230"/>
      <c r="AJ62" s="183" t="str">
        <f t="shared" si="179"/>
        <v/>
      </c>
      <c r="AK62" s="203" t="str">
        <f t="shared" si="176"/>
        <v>OK</v>
      </c>
      <c r="AL62" s="377" t="s">
        <v>345</v>
      </c>
      <c r="AM62" s="230"/>
      <c r="AN62" s="183" t="str">
        <f t="shared" si="180"/>
        <v/>
      </c>
      <c r="AO62" s="203" t="str">
        <f t="shared" si="177"/>
        <v>OK</v>
      </c>
      <c r="AP62" s="377" t="s">
        <v>345</v>
      </c>
      <c r="AQ62" s="230"/>
      <c r="AR62" s="183" t="str">
        <f t="shared" si="181"/>
        <v/>
      </c>
      <c r="AS62" s="203" t="str">
        <f t="shared" si="8"/>
        <v>OK</v>
      </c>
      <c r="AT62" s="377" t="s">
        <v>345</v>
      </c>
      <c r="AU62" s="230"/>
      <c r="AV62" s="183" t="str">
        <f t="shared" si="182"/>
        <v/>
      </c>
      <c r="AW62" s="203" t="str">
        <f t="shared" si="10"/>
        <v>OK</v>
      </c>
      <c r="AX62" s="377" t="s">
        <v>345</v>
      </c>
      <c r="AY62" s="230"/>
      <c r="AZ62" s="183" t="str">
        <f t="shared" si="183"/>
        <v/>
      </c>
      <c r="BA62" s="203" t="str">
        <f t="shared" si="12"/>
        <v>OK</v>
      </c>
      <c r="BB62" s="377" t="s">
        <v>345</v>
      </c>
      <c r="BC62" s="230"/>
      <c r="BD62" s="183" t="str">
        <f t="shared" si="184"/>
        <v/>
      </c>
      <c r="BE62" s="203" t="str">
        <f t="shared" si="14"/>
        <v>OK</v>
      </c>
      <c r="BF62" s="377" t="s">
        <v>345</v>
      </c>
      <c r="BG62" s="230"/>
      <c r="BH62" s="183" t="str">
        <f t="shared" si="185"/>
        <v/>
      </c>
      <c r="BI62" s="203" t="str">
        <f t="shared" si="16"/>
        <v>OK</v>
      </c>
      <c r="BJ62" s="377" t="s">
        <v>345</v>
      </c>
      <c r="BK62" s="230"/>
      <c r="BL62" s="183" t="str">
        <f t="shared" si="186"/>
        <v/>
      </c>
      <c r="BM62" s="203" t="str">
        <f t="shared" si="18"/>
        <v>OK</v>
      </c>
      <c r="BN62" s="377" t="s">
        <v>345</v>
      </c>
      <c r="BO62" s="230"/>
      <c r="BP62" s="183" t="str">
        <f t="shared" si="187"/>
        <v/>
      </c>
      <c r="BQ62" s="203" t="str">
        <f t="shared" si="20"/>
        <v>OK</v>
      </c>
      <c r="BR62" s="377" t="s">
        <v>345</v>
      </c>
      <c r="BS62" s="230"/>
      <c r="BT62" s="183" t="str">
        <f t="shared" si="188"/>
        <v/>
      </c>
      <c r="BU62" s="203" t="str">
        <f t="shared" si="22"/>
        <v>OK</v>
      </c>
      <c r="BV62" s="377" t="s">
        <v>345</v>
      </c>
      <c r="BW62" s="230"/>
      <c r="BX62" s="183" t="str">
        <f t="shared" si="189"/>
        <v/>
      </c>
      <c r="BY62" s="203" t="str">
        <f t="shared" si="24"/>
        <v>OK</v>
      </c>
      <c r="BZ62" s="378"/>
      <c r="CA62" s="230"/>
      <c r="CB62" s="183" t="str">
        <f>IF($AB62="I","",IF($AA62="","",IF(BZ62="","",BZ62)))</f>
        <v/>
      </c>
      <c r="CC62" s="203" t="str">
        <f>IF(OR(CA$8="判定対象外",CB62="-"),"-",IF(CA62=CB62,"OK","NG"))</f>
        <v>OK</v>
      </c>
      <c r="CD62" s="379" t="s">
        <v>581</v>
      </c>
      <c r="CE62" s="230"/>
      <c r="CF62" s="183" t="str">
        <f>IF($AB62="I","",IF($AA62="","",IF(CD62="","",CD62)))</f>
        <v/>
      </c>
      <c r="CG62" s="203" t="str">
        <f>IF(OR(CE$8="判定対象外",CF62="-"),"-",IF(CE62=CF62,"OK","NG"))</f>
        <v>OK</v>
      </c>
      <c r="CH62" s="379" t="s">
        <v>573</v>
      </c>
      <c r="CI62" s="230"/>
      <c r="CJ62" s="183" t="str">
        <f t="shared" si="192"/>
        <v/>
      </c>
      <c r="CK62" s="203" t="str">
        <f t="shared" si="30"/>
        <v>OK</v>
      </c>
      <c r="CL62" s="377" t="s">
        <v>345</v>
      </c>
      <c r="CM62" s="230"/>
      <c r="CN62" s="183" t="str">
        <f>IF($AB62="I","",IF($AA62="","",IF(CL62="","",CL62)))</f>
        <v/>
      </c>
      <c r="CO62" s="203" t="str">
        <f>IF(OR(CM$11="判定対象外",CN62="-"),"-",IF(CM62=CN62,"OK","NG"))</f>
        <v>OK</v>
      </c>
      <c r="CP62" s="377" t="s">
        <v>345</v>
      </c>
      <c r="CQ62" s="230"/>
      <c r="CR62" s="183" t="str">
        <f>IF($AB62="I","",IF($AA62="","",IF(CP62="","",CP62)))</f>
        <v/>
      </c>
      <c r="CS62" s="203" t="str">
        <f>IF(OR(CQ$11="判定対象外",CR62="-"),"-",IF(CQ62=CR62,"OK","NG"))</f>
        <v>OK</v>
      </c>
      <c r="CT62" s="377" t="s">
        <v>345</v>
      </c>
      <c r="CU62" s="230"/>
      <c r="CV62" s="183" t="str">
        <f t="shared" si="195"/>
        <v/>
      </c>
      <c r="CW62" s="203" t="str">
        <f t="shared" si="36"/>
        <v>OK</v>
      </c>
      <c r="CX62" s="377" t="s">
        <v>345</v>
      </c>
      <c r="CY62" s="230"/>
      <c r="CZ62" s="183" t="str">
        <f t="shared" si="196"/>
        <v/>
      </c>
      <c r="DA62" s="203" t="str">
        <f>IF(OR(CY$11="判定対象外",CZ62="-"),"-",IF(CY62=CZ62,"OK","NG"))</f>
        <v>OK</v>
      </c>
      <c r="DB62" s="377" t="s">
        <v>345</v>
      </c>
      <c r="DC62" s="230"/>
      <c r="DD62" s="183" t="str">
        <f t="shared" si="197"/>
        <v/>
      </c>
      <c r="DE62" s="203" t="str">
        <f>IF(OR(DC$11="判定対象外",DD62="-"),"-",IF(DC62=DD62,"OK","NG"))</f>
        <v>OK</v>
      </c>
      <c r="DF62" s="377" t="s">
        <v>345</v>
      </c>
      <c r="DG62" s="230"/>
      <c r="DH62" s="183" t="str">
        <f t="shared" si="198"/>
        <v/>
      </c>
      <c r="DI62" s="203" t="str">
        <f t="shared" si="42"/>
        <v>OK</v>
      </c>
      <c r="DJ62" s="377" t="s">
        <v>345</v>
      </c>
      <c r="DK62" s="230"/>
      <c r="DL62" s="183" t="str">
        <f t="shared" si="199"/>
        <v/>
      </c>
      <c r="DM62" s="203" t="str">
        <f>IF(OR(DK$11="判定対象外",DL62="-"),"-",IF(DK62=DL62,"OK","NG"))</f>
        <v>OK</v>
      </c>
      <c r="DN62" s="377" t="s">
        <v>345</v>
      </c>
      <c r="DO62" s="230"/>
      <c r="DP62" s="183" t="str">
        <f t="shared" si="200"/>
        <v/>
      </c>
      <c r="DQ62" s="203" t="str">
        <f>IF(OR(DO$11="判定対象外",DP62="-"),"-",IF(DO62=DP62,"OK","NG"))</f>
        <v>OK</v>
      </c>
      <c r="DR62" s="377" t="s">
        <v>345</v>
      </c>
      <c r="DS62" s="230"/>
      <c r="DT62" s="183" t="str">
        <f t="shared" si="201"/>
        <v/>
      </c>
      <c r="DU62" s="203" t="str">
        <f t="shared" si="48"/>
        <v>OK</v>
      </c>
      <c r="DV62" s="377" t="s">
        <v>345</v>
      </c>
      <c r="DW62" s="230"/>
      <c r="DX62" s="183" t="str">
        <f t="shared" si="202"/>
        <v/>
      </c>
      <c r="DY62" s="203" t="str">
        <f>IF(OR(DW$11="判定対象外",DX62="-"),"-",IF(DW62=DX62,"OK","NG"))</f>
        <v>OK</v>
      </c>
      <c r="DZ62" s="377" t="s">
        <v>345</v>
      </c>
      <c r="EA62" s="230"/>
      <c r="EB62" s="183" t="str">
        <f t="shared" si="203"/>
        <v/>
      </c>
      <c r="EC62" s="203" t="str">
        <f>IF(OR(EA$11="判定対象外",EB62="-"),"-",IF(EA62=EB62,"OK","NG"))</f>
        <v>OK</v>
      </c>
      <c r="ED62" s="377" t="s">
        <v>345</v>
      </c>
      <c r="EE62" s="230"/>
      <c r="EF62" s="183" t="str">
        <f t="shared" si="204"/>
        <v/>
      </c>
      <c r="EG62" s="203" t="str">
        <f t="shared" si="54"/>
        <v>OK</v>
      </c>
      <c r="EH62" s="377" t="s">
        <v>345</v>
      </c>
      <c r="EI62" s="230"/>
      <c r="EJ62" s="183" t="str">
        <f t="shared" si="205"/>
        <v/>
      </c>
      <c r="EK62" s="203" t="str">
        <f>IF(OR(EI$11="判定対象外",EJ62="-"),"-",IF(EI62=EJ62,"OK","NG"))</f>
        <v>OK</v>
      </c>
      <c r="EL62" s="377" t="s">
        <v>345</v>
      </c>
      <c r="EM62" s="230"/>
      <c r="EN62" s="183" t="str">
        <f t="shared" si="206"/>
        <v/>
      </c>
      <c r="EO62" s="203" t="str">
        <f>IF(OR(EM$11="判定対象外",EN62="-"),"-",IF(EM62=EN62,"OK","NG"))</f>
        <v>OK</v>
      </c>
      <c r="EP62" s="377" t="s">
        <v>345</v>
      </c>
      <c r="EQ62" s="230"/>
      <c r="ER62" s="183" t="str">
        <f t="shared" si="207"/>
        <v/>
      </c>
      <c r="ES62" s="203" t="str">
        <f t="shared" si="60"/>
        <v>OK</v>
      </c>
      <c r="ET62" s="377" t="s">
        <v>345</v>
      </c>
      <c r="EU62" s="230"/>
      <c r="EV62" s="183" t="str">
        <f t="shared" si="208"/>
        <v/>
      </c>
      <c r="EW62" s="203" t="str">
        <f t="shared" ref="EW62:EW67" si="223">IF(OR(EU$11="判定対象外",EV62="-"),"-",IF(EU62=EV62,"OK","NG"))</f>
        <v>OK</v>
      </c>
      <c r="EX62" s="377" t="s">
        <v>345</v>
      </c>
      <c r="EY62" s="230"/>
      <c r="EZ62" s="183" t="str">
        <f t="shared" si="209"/>
        <v/>
      </c>
      <c r="FA62" s="203" t="str">
        <f t="shared" ref="FA62:FA67" si="224">IF(OR(EY$11="判定対象外",EZ62="-"),"-",IF(EY62=EZ62,"OK","NG"))</f>
        <v>OK</v>
      </c>
      <c r="FB62" s="377" t="s">
        <v>345</v>
      </c>
      <c r="FC62" s="230"/>
      <c r="FD62" s="183" t="str">
        <f t="shared" si="210"/>
        <v/>
      </c>
      <c r="FE62" s="203" t="str">
        <f t="shared" si="66"/>
        <v>OK</v>
      </c>
      <c r="FF62" s="377" t="s">
        <v>345</v>
      </c>
      <c r="FG62" s="230"/>
      <c r="FH62" s="183" t="str">
        <f t="shared" si="211"/>
        <v/>
      </c>
      <c r="FI62" s="203" t="str">
        <f t="shared" ref="FI62:FI68" si="225">IF(OR(FG$11="判定対象外",FH62="-"),"-",IF(FG62=FH62,"OK","NG"))</f>
        <v>OK</v>
      </c>
      <c r="FJ62" s="377" t="s">
        <v>345</v>
      </c>
      <c r="FK62" s="230"/>
      <c r="FL62" s="183" t="str">
        <f t="shared" si="212"/>
        <v/>
      </c>
      <c r="FM62" s="203" t="str">
        <f t="shared" ref="FM62:FM68" si="226">IF(OR(FK$11="判定対象外",FL62="-"),"-",IF(FK62=FL62,"OK","NG"))</f>
        <v>OK</v>
      </c>
      <c r="FN62" s="377" t="s">
        <v>345</v>
      </c>
      <c r="FO62" s="230"/>
      <c r="FP62" s="183" t="str">
        <f t="shared" si="213"/>
        <v/>
      </c>
      <c r="FQ62" s="203" t="str">
        <f t="shared" si="72"/>
        <v>OK</v>
      </c>
      <c r="FR62" s="377" t="s">
        <v>345</v>
      </c>
      <c r="FS62" s="230"/>
      <c r="FT62" s="183" t="str">
        <f t="shared" si="214"/>
        <v/>
      </c>
      <c r="FU62" s="203" t="str">
        <f t="shared" ref="FU62:FU69" si="227">IF(OR(FS$11="判定対象外",FT62="-"),"-",IF(FS62=FT62,"OK","NG"))</f>
        <v>OK</v>
      </c>
      <c r="FV62" s="377" t="s">
        <v>345</v>
      </c>
      <c r="FW62" s="230"/>
      <c r="FX62" s="183" t="str">
        <f t="shared" si="215"/>
        <v/>
      </c>
      <c r="FY62" s="203" t="str">
        <f t="shared" ref="FY62:FY69" si="228">IF(OR(FW$11="判定対象外",FX62="-"),"-",IF(FW62=FX62,"OK","NG"))</f>
        <v>OK</v>
      </c>
      <c r="FZ62" s="377" t="s">
        <v>345</v>
      </c>
      <c r="GA62" s="230"/>
      <c r="GB62" s="183" t="str">
        <f t="shared" si="216"/>
        <v/>
      </c>
      <c r="GC62" s="203" t="str">
        <f t="shared" si="78"/>
        <v>OK</v>
      </c>
      <c r="GD62" s="377" t="s">
        <v>345</v>
      </c>
      <c r="GE62" s="230"/>
      <c r="GF62" s="183" t="str">
        <f t="shared" si="217"/>
        <v/>
      </c>
      <c r="GG62" s="203" t="str">
        <f t="shared" ref="GG62:GG70" si="229">IF(OR(GE$11="判定対象外",GF62="-"),"-",IF(GE62=GF62,"OK","NG"))</f>
        <v>OK</v>
      </c>
      <c r="GH62" s="377" t="s">
        <v>345</v>
      </c>
      <c r="GI62" s="230"/>
      <c r="GJ62" s="183" t="str">
        <f t="shared" si="218"/>
        <v/>
      </c>
      <c r="GK62" s="203" t="str">
        <f t="shared" ref="GK62:GK70" si="230">IF(OR(GI$11="判定対象外",GJ62="-"),"-",IF(GI62=GJ62,"OK","NG"))</f>
        <v>OK</v>
      </c>
      <c r="GL62" s="377" t="s">
        <v>345</v>
      </c>
      <c r="GM62" s="230"/>
      <c r="GN62" s="183" t="str">
        <f t="shared" si="219"/>
        <v/>
      </c>
      <c r="GO62" s="203" t="str">
        <f t="shared" si="84"/>
        <v>OK</v>
      </c>
      <c r="GP62" s="378" t="s">
        <v>345</v>
      </c>
      <c r="GQ62" s="230"/>
      <c r="GR62" s="183" t="str">
        <f t="shared" si="220"/>
        <v/>
      </c>
      <c r="GS62" s="203" t="str">
        <f t="shared" ref="GS62:GS70" si="231">IF(OR(GQ$11="判定対象外",GR62="-"),"-",IF(GQ62=GR62,"OK","NG"))</f>
        <v>OK</v>
      </c>
      <c r="GT62" s="202"/>
      <c r="GU62" s="202"/>
      <c r="GV62" s="201"/>
      <c r="GW62" s="201"/>
      <c r="GX62" s="201"/>
    </row>
    <row r="63" spans="1:206">
      <c r="A63" s="200" t="s">
        <v>336</v>
      </c>
      <c r="B63" s="225">
        <f t="shared" si="221"/>
        <v>56</v>
      </c>
      <c r="C63" s="229"/>
      <c r="D63" s="229"/>
      <c r="E63" s="228"/>
      <c r="F63" s="228"/>
      <c r="G63" s="222" t="s">
        <v>343</v>
      </c>
      <c r="H63" s="220"/>
      <c r="I63" s="209"/>
      <c r="J63" s="217" t="s">
        <v>326</v>
      </c>
      <c r="K63" s="219"/>
      <c r="L63" s="219"/>
      <c r="M63" s="218"/>
      <c r="N63" s="217"/>
      <c r="O63" s="216"/>
      <c r="P63" s="212"/>
      <c r="Q63" s="212"/>
      <c r="R63" s="215"/>
      <c r="S63" s="214"/>
      <c r="T63" s="212"/>
      <c r="U63" s="213"/>
      <c r="V63" s="212"/>
      <c r="W63" s="211" t="str">
        <f t="shared" si="222"/>
        <v>4</v>
      </c>
      <c r="X63" s="210" t="s">
        <v>344</v>
      </c>
      <c r="Y63" s="210">
        <v>1</v>
      </c>
      <c r="Z63" s="210">
        <v>180</v>
      </c>
      <c r="AA63" s="209" t="s">
        <v>55</v>
      </c>
      <c r="AB63" s="209" t="s">
        <v>306</v>
      </c>
      <c r="AC63" s="207"/>
      <c r="AD63" s="377" t="s">
        <v>343</v>
      </c>
      <c r="AE63" s="230"/>
      <c r="AF63" s="183" t="str">
        <f t="shared" si="178"/>
        <v/>
      </c>
      <c r="AG63" s="203" t="str">
        <f t="shared" si="175"/>
        <v>OK</v>
      </c>
      <c r="AH63" s="377" t="s">
        <v>343</v>
      </c>
      <c r="AI63" s="230"/>
      <c r="AJ63" s="183" t="str">
        <f t="shared" si="179"/>
        <v/>
      </c>
      <c r="AK63" s="203" t="str">
        <f t="shared" si="176"/>
        <v>OK</v>
      </c>
      <c r="AL63" s="377" t="s">
        <v>343</v>
      </c>
      <c r="AM63" s="230"/>
      <c r="AN63" s="183" t="str">
        <f t="shared" si="180"/>
        <v/>
      </c>
      <c r="AO63" s="203" t="str">
        <f t="shared" si="177"/>
        <v>OK</v>
      </c>
      <c r="AP63" s="377" t="s">
        <v>343</v>
      </c>
      <c r="AQ63" s="230"/>
      <c r="AR63" s="183" t="str">
        <f t="shared" si="181"/>
        <v/>
      </c>
      <c r="AS63" s="203" t="str">
        <f t="shared" si="8"/>
        <v>OK</v>
      </c>
      <c r="AT63" s="377" t="s">
        <v>343</v>
      </c>
      <c r="AU63" s="230"/>
      <c r="AV63" s="183" t="str">
        <f t="shared" si="182"/>
        <v/>
      </c>
      <c r="AW63" s="203" t="str">
        <f t="shared" si="10"/>
        <v>OK</v>
      </c>
      <c r="AX63" s="377" t="s">
        <v>343</v>
      </c>
      <c r="AY63" s="230"/>
      <c r="AZ63" s="183" t="str">
        <f t="shared" si="183"/>
        <v/>
      </c>
      <c r="BA63" s="203" t="str">
        <f t="shared" si="12"/>
        <v>OK</v>
      </c>
      <c r="BB63" s="377" t="s">
        <v>343</v>
      </c>
      <c r="BC63" s="230"/>
      <c r="BD63" s="183" t="str">
        <f t="shared" si="184"/>
        <v/>
      </c>
      <c r="BE63" s="203" t="str">
        <f t="shared" si="14"/>
        <v>OK</v>
      </c>
      <c r="BF63" s="377" t="s">
        <v>343</v>
      </c>
      <c r="BG63" s="230"/>
      <c r="BH63" s="183" t="str">
        <f t="shared" si="185"/>
        <v/>
      </c>
      <c r="BI63" s="203" t="str">
        <f t="shared" si="16"/>
        <v>OK</v>
      </c>
      <c r="BJ63" s="377" t="s">
        <v>343</v>
      </c>
      <c r="BK63" s="230"/>
      <c r="BL63" s="183" t="str">
        <f t="shared" si="186"/>
        <v/>
      </c>
      <c r="BM63" s="203" t="str">
        <f t="shared" si="18"/>
        <v>OK</v>
      </c>
      <c r="BN63" s="377" t="s">
        <v>343</v>
      </c>
      <c r="BO63" s="230"/>
      <c r="BP63" s="183" t="str">
        <f t="shared" si="187"/>
        <v/>
      </c>
      <c r="BQ63" s="203" t="str">
        <f t="shared" si="20"/>
        <v>OK</v>
      </c>
      <c r="BR63" s="377" t="s">
        <v>343</v>
      </c>
      <c r="BS63" s="230"/>
      <c r="BT63" s="183" t="str">
        <f t="shared" si="188"/>
        <v/>
      </c>
      <c r="BU63" s="203" t="str">
        <f t="shared" si="22"/>
        <v>OK</v>
      </c>
      <c r="BV63" s="377" t="s">
        <v>343</v>
      </c>
      <c r="BW63" s="230"/>
      <c r="BX63" s="183" t="str">
        <f t="shared" si="189"/>
        <v/>
      </c>
      <c r="BY63" s="203" t="str">
        <f t="shared" si="24"/>
        <v>OK</v>
      </c>
      <c r="BZ63" s="377" t="s">
        <v>343</v>
      </c>
      <c r="CA63" s="230"/>
      <c r="CB63" s="183" t="str">
        <f t="shared" si="190"/>
        <v/>
      </c>
      <c r="CC63" s="203" t="str">
        <f t="shared" ref="CC63:CC81" si="232">IF(OR(CA$8="判定対象外",CB63="-"),"-",IF(CA63=CB63,"OK","NG"))</f>
        <v>OK</v>
      </c>
      <c r="CD63" s="377" t="s">
        <v>343</v>
      </c>
      <c r="CE63" s="230"/>
      <c r="CF63" s="183" t="str">
        <f t="shared" si="191"/>
        <v/>
      </c>
      <c r="CG63" s="203" t="str">
        <f t="shared" ref="CG63:CG81" si="233">IF(OR(CE$8="判定対象外",CF63="-"),"-",IF(CE63=CF63,"OK","NG"))</f>
        <v>OK</v>
      </c>
      <c r="CH63" s="377" t="s">
        <v>343</v>
      </c>
      <c r="CI63" s="230"/>
      <c r="CJ63" s="183" t="str">
        <f t="shared" si="192"/>
        <v/>
      </c>
      <c r="CK63" s="203" t="str">
        <f t="shared" si="30"/>
        <v>OK</v>
      </c>
      <c r="CL63" s="378"/>
      <c r="CM63" s="230"/>
      <c r="CN63" s="183" t="str">
        <f>IF($AB63="I","",IF($AA63="","",IF(CL63="","",CL63)))</f>
        <v/>
      </c>
      <c r="CO63" s="203" t="str">
        <f>IF(OR(CM$8="判定対象外",CN63="-"),"-",IF(CM63=CN63,"OK","NG"))</f>
        <v>OK</v>
      </c>
      <c r="CP63" s="379" t="s">
        <v>581</v>
      </c>
      <c r="CQ63" s="230"/>
      <c r="CR63" s="183" t="str">
        <f>IF($AB63="I","",IF($AA63="","",IF(CP63="","",CP63)))</f>
        <v/>
      </c>
      <c r="CS63" s="203" t="str">
        <f>IF(OR(CQ$8="判定対象外",CR63="-"),"-",IF(CQ63=CR63,"OK","NG"))</f>
        <v>OK</v>
      </c>
      <c r="CT63" s="379" t="s">
        <v>573</v>
      </c>
      <c r="CU63" s="230"/>
      <c r="CV63" s="183" t="str">
        <f t="shared" si="195"/>
        <v/>
      </c>
      <c r="CW63" s="203" t="str">
        <f t="shared" si="36"/>
        <v>OK</v>
      </c>
      <c r="CX63" s="377" t="s">
        <v>148</v>
      </c>
      <c r="CY63" s="230"/>
      <c r="CZ63" s="183" t="str">
        <f>IF($AB63="I","",IF($AA63="","",IF(CX63="","",CX63)))</f>
        <v/>
      </c>
      <c r="DA63" s="203" t="str">
        <f>IF(OR(CY$11="判定対象外",CZ63="-"),"-",IF(CY63=CZ63,"OK","NG"))</f>
        <v>OK</v>
      </c>
      <c r="DB63" s="377" t="s">
        <v>148</v>
      </c>
      <c r="DC63" s="230"/>
      <c r="DD63" s="183" t="str">
        <f>IF($AB63="I","",IF($AA63="","",IF(DB63="","",DB63)))</f>
        <v/>
      </c>
      <c r="DE63" s="203" t="str">
        <f>IF(OR(DC$11="判定対象外",DD63="-"),"-",IF(DC63=DD63,"OK","NG"))</f>
        <v>OK</v>
      </c>
      <c r="DF63" s="377" t="s">
        <v>148</v>
      </c>
      <c r="DG63" s="230"/>
      <c r="DH63" s="183" t="str">
        <f t="shared" si="198"/>
        <v/>
      </c>
      <c r="DI63" s="203" t="str">
        <f t="shared" si="42"/>
        <v>OK</v>
      </c>
      <c r="DJ63" s="377" t="s">
        <v>148</v>
      </c>
      <c r="DK63" s="230"/>
      <c r="DL63" s="183" t="str">
        <f t="shared" si="199"/>
        <v/>
      </c>
      <c r="DM63" s="203" t="str">
        <f>IF(OR(DK$11="判定対象外",DL63="-"),"-",IF(DK63=DL63,"OK","NG"))</f>
        <v>OK</v>
      </c>
      <c r="DN63" s="377" t="s">
        <v>148</v>
      </c>
      <c r="DO63" s="230"/>
      <c r="DP63" s="183" t="str">
        <f t="shared" si="200"/>
        <v/>
      </c>
      <c r="DQ63" s="203" t="str">
        <f>IF(OR(DO$11="判定対象外",DP63="-"),"-",IF(DO63=DP63,"OK","NG"))</f>
        <v>OK</v>
      </c>
      <c r="DR63" s="377" t="s">
        <v>148</v>
      </c>
      <c r="DS63" s="230"/>
      <c r="DT63" s="183" t="str">
        <f t="shared" si="201"/>
        <v/>
      </c>
      <c r="DU63" s="203" t="str">
        <f t="shared" si="48"/>
        <v>OK</v>
      </c>
      <c r="DV63" s="377" t="s">
        <v>148</v>
      </c>
      <c r="DW63" s="230"/>
      <c r="DX63" s="183" t="str">
        <f t="shared" si="202"/>
        <v/>
      </c>
      <c r="DY63" s="203" t="str">
        <f>IF(OR(DW$11="判定対象外",DX63="-"),"-",IF(DW63=DX63,"OK","NG"))</f>
        <v>OK</v>
      </c>
      <c r="DZ63" s="377" t="s">
        <v>148</v>
      </c>
      <c r="EA63" s="230"/>
      <c r="EB63" s="183" t="str">
        <f t="shared" si="203"/>
        <v/>
      </c>
      <c r="EC63" s="203" t="str">
        <f>IF(OR(EA$11="判定対象外",EB63="-"),"-",IF(EA63=EB63,"OK","NG"))</f>
        <v>OK</v>
      </c>
      <c r="ED63" s="377" t="s">
        <v>148</v>
      </c>
      <c r="EE63" s="230"/>
      <c r="EF63" s="183" t="str">
        <f t="shared" si="204"/>
        <v/>
      </c>
      <c r="EG63" s="203" t="str">
        <f t="shared" si="54"/>
        <v>OK</v>
      </c>
      <c r="EH63" s="377" t="s">
        <v>148</v>
      </c>
      <c r="EI63" s="230"/>
      <c r="EJ63" s="183" t="str">
        <f t="shared" si="205"/>
        <v/>
      </c>
      <c r="EK63" s="203" t="str">
        <f>IF(OR(EI$11="判定対象外",EJ63="-"),"-",IF(EI63=EJ63,"OK","NG"))</f>
        <v>OK</v>
      </c>
      <c r="EL63" s="377" t="s">
        <v>148</v>
      </c>
      <c r="EM63" s="230"/>
      <c r="EN63" s="183" t="str">
        <f t="shared" si="206"/>
        <v/>
      </c>
      <c r="EO63" s="203" t="str">
        <f>IF(OR(EM$11="判定対象外",EN63="-"),"-",IF(EM63=EN63,"OK","NG"))</f>
        <v>OK</v>
      </c>
      <c r="EP63" s="377" t="s">
        <v>148</v>
      </c>
      <c r="EQ63" s="230"/>
      <c r="ER63" s="183" t="str">
        <f t="shared" si="207"/>
        <v/>
      </c>
      <c r="ES63" s="203" t="str">
        <f t="shared" si="60"/>
        <v>OK</v>
      </c>
      <c r="ET63" s="377" t="s">
        <v>148</v>
      </c>
      <c r="EU63" s="230"/>
      <c r="EV63" s="183" t="str">
        <f t="shared" si="208"/>
        <v/>
      </c>
      <c r="EW63" s="203" t="str">
        <f t="shared" si="223"/>
        <v>OK</v>
      </c>
      <c r="EX63" s="377" t="s">
        <v>148</v>
      </c>
      <c r="EY63" s="230"/>
      <c r="EZ63" s="183" t="str">
        <f t="shared" si="209"/>
        <v/>
      </c>
      <c r="FA63" s="203" t="str">
        <f t="shared" si="224"/>
        <v>OK</v>
      </c>
      <c r="FB63" s="377" t="s">
        <v>148</v>
      </c>
      <c r="FC63" s="230"/>
      <c r="FD63" s="183" t="str">
        <f t="shared" si="210"/>
        <v/>
      </c>
      <c r="FE63" s="203" t="str">
        <f t="shared" si="66"/>
        <v>OK</v>
      </c>
      <c r="FF63" s="377" t="s">
        <v>148</v>
      </c>
      <c r="FG63" s="230"/>
      <c r="FH63" s="183" t="str">
        <f t="shared" si="211"/>
        <v/>
      </c>
      <c r="FI63" s="203" t="str">
        <f t="shared" si="225"/>
        <v>OK</v>
      </c>
      <c r="FJ63" s="377" t="s">
        <v>148</v>
      </c>
      <c r="FK63" s="230"/>
      <c r="FL63" s="183" t="str">
        <f t="shared" si="212"/>
        <v/>
      </c>
      <c r="FM63" s="203" t="str">
        <f t="shared" si="226"/>
        <v>OK</v>
      </c>
      <c r="FN63" s="377" t="s">
        <v>148</v>
      </c>
      <c r="FO63" s="230"/>
      <c r="FP63" s="183" t="str">
        <f t="shared" si="213"/>
        <v/>
      </c>
      <c r="FQ63" s="203" t="str">
        <f t="shared" si="72"/>
        <v>OK</v>
      </c>
      <c r="FR63" s="377" t="s">
        <v>148</v>
      </c>
      <c r="FS63" s="230"/>
      <c r="FT63" s="183" t="str">
        <f t="shared" si="214"/>
        <v/>
      </c>
      <c r="FU63" s="203" t="str">
        <f t="shared" si="227"/>
        <v>OK</v>
      </c>
      <c r="FV63" s="377" t="s">
        <v>148</v>
      </c>
      <c r="FW63" s="230"/>
      <c r="FX63" s="183" t="str">
        <f t="shared" si="215"/>
        <v/>
      </c>
      <c r="FY63" s="203" t="str">
        <f t="shared" si="228"/>
        <v>OK</v>
      </c>
      <c r="FZ63" s="377" t="s">
        <v>148</v>
      </c>
      <c r="GA63" s="230"/>
      <c r="GB63" s="183" t="str">
        <f t="shared" si="216"/>
        <v/>
      </c>
      <c r="GC63" s="203" t="str">
        <f t="shared" si="78"/>
        <v>OK</v>
      </c>
      <c r="GD63" s="377" t="s">
        <v>148</v>
      </c>
      <c r="GE63" s="230"/>
      <c r="GF63" s="183" t="str">
        <f t="shared" si="217"/>
        <v/>
      </c>
      <c r="GG63" s="203" t="str">
        <f t="shared" si="229"/>
        <v>OK</v>
      </c>
      <c r="GH63" s="377" t="s">
        <v>148</v>
      </c>
      <c r="GI63" s="230"/>
      <c r="GJ63" s="183" t="str">
        <f t="shared" si="218"/>
        <v/>
      </c>
      <c r="GK63" s="203" t="str">
        <f t="shared" si="230"/>
        <v>OK</v>
      </c>
      <c r="GL63" s="377" t="s">
        <v>148</v>
      </c>
      <c r="GM63" s="230"/>
      <c r="GN63" s="183" t="str">
        <f t="shared" si="219"/>
        <v/>
      </c>
      <c r="GO63" s="203" t="str">
        <f t="shared" si="84"/>
        <v>OK</v>
      </c>
      <c r="GP63" s="378" t="s">
        <v>148</v>
      </c>
      <c r="GQ63" s="230"/>
      <c r="GR63" s="183" t="str">
        <f t="shared" si="220"/>
        <v/>
      </c>
      <c r="GS63" s="203" t="str">
        <f t="shared" si="231"/>
        <v>OK</v>
      </c>
      <c r="GT63" s="202"/>
      <c r="GU63" s="202"/>
      <c r="GV63" s="201"/>
      <c r="GW63" s="201"/>
      <c r="GX63" s="201"/>
    </row>
    <row r="64" spans="1:206">
      <c r="A64" s="200" t="s">
        <v>298</v>
      </c>
      <c r="B64" s="225">
        <f t="shared" si="221"/>
        <v>57</v>
      </c>
      <c r="C64" s="229"/>
      <c r="D64" s="229"/>
      <c r="E64" s="228"/>
      <c r="F64" s="228"/>
      <c r="G64" s="222" t="s">
        <v>341</v>
      </c>
      <c r="H64" s="220"/>
      <c r="I64" s="209"/>
      <c r="J64" s="217" t="s">
        <v>326</v>
      </c>
      <c r="K64" s="219"/>
      <c r="L64" s="219"/>
      <c r="M64" s="218"/>
      <c r="N64" s="217"/>
      <c r="O64" s="216"/>
      <c r="P64" s="212"/>
      <c r="Q64" s="212"/>
      <c r="R64" s="215"/>
      <c r="S64" s="214"/>
      <c r="T64" s="212"/>
      <c r="U64" s="213"/>
      <c r="V64" s="212"/>
      <c r="W64" s="211" t="str">
        <f t="shared" si="222"/>
        <v>4</v>
      </c>
      <c r="X64" s="210" t="s">
        <v>342</v>
      </c>
      <c r="Y64" s="210">
        <v>1</v>
      </c>
      <c r="Z64" s="210">
        <v>180</v>
      </c>
      <c r="AA64" s="209" t="s">
        <v>55</v>
      </c>
      <c r="AB64" s="209" t="s">
        <v>306</v>
      </c>
      <c r="AC64" s="207"/>
      <c r="AD64" s="377" t="s">
        <v>341</v>
      </c>
      <c r="AE64" s="230"/>
      <c r="AF64" s="183" t="str">
        <f t="shared" si="178"/>
        <v/>
      </c>
      <c r="AG64" s="203" t="str">
        <f t="shared" si="175"/>
        <v>OK</v>
      </c>
      <c r="AH64" s="377" t="s">
        <v>341</v>
      </c>
      <c r="AI64" s="230"/>
      <c r="AJ64" s="183" t="str">
        <f t="shared" si="179"/>
        <v/>
      </c>
      <c r="AK64" s="203" t="str">
        <f t="shared" si="176"/>
        <v>OK</v>
      </c>
      <c r="AL64" s="377" t="s">
        <v>341</v>
      </c>
      <c r="AM64" s="230"/>
      <c r="AN64" s="183" t="str">
        <f t="shared" si="180"/>
        <v/>
      </c>
      <c r="AO64" s="203" t="str">
        <f t="shared" si="177"/>
        <v>OK</v>
      </c>
      <c r="AP64" s="377" t="s">
        <v>341</v>
      </c>
      <c r="AQ64" s="230"/>
      <c r="AR64" s="183" t="str">
        <f t="shared" si="181"/>
        <v/>
      </c>
      <c r="AS64" s="203" t="str">
        <f t="shared" si="8"/>
        <v>OK</v>
      </c>
      <c r="AT64" s="377" t="s">
        <v>341</v>
      </c>
      <c r="AU64" s="230"/>
      <c r="AV64" s="183" t="str">
        <f t="shared" si="182"/>
        <v/>
      </c>
      <c r="AW64" s="203" t="str">
        <f t="shared" si="10"/>
        <v>OK</v>
      </c>
      <c r="AX64" s="377" t="s">
        <v>341</v>
      </c>
      <c r="AY64" s="230"/>
      <c r="AZ64" s="183" t="str">
        <f t="shared" si="183"/>
        <v/>
      </c>
      <c r="BA64" s="203" t="str">
        <f t="shared" si="12"/>
        <v>OK</v>
      </c>
      <c r="BB64" s="377" t="s">
        <v>341</v>
      </c>
      <c r="BC64" s="230"/>
      <c r="BD64" s="183" t="str">
        <f t="shared" si="184"/>
        <v/>
      </c>
      <c r="BE64" s="203" t="str">
        <f t="shared" si="14"/>
        <v>OK</v>
      </c>
      <c r="BF64" s="377" t="s">
        <v>341</v>
      </c>
      <c r="BG64" s="230"/>
      <c r="BH64" s="183" t="str">
        <f t="shared" si="185"/>
        <v/>
      </c>
      <c r="BI64" s="203" t="str">
        <f t="shared" si="16"/>
        <v>OK</v>
      </c>
      <c r="BJ64" s="377" t="s">
        <v>341</v>
      </c>
      <c r="BK64" s="230"/>
      <c r="BL64" s="183" t="str">
        <f t="shared" si="186"/>
        <v/>
      </c>
      <c r="BM64" s="203" t="str">
        <f t="shared" si="18"/>
        <v>OK</v>
      </c>
      <c r="BN64" s="377" t="s">
        <v>341</v>
      </c>
      <c r="BO64" s="230"/>
      <c r="BP64" s="183" t="str">
        <f t="shared" si="187"/>
        <v/>
      </c>
      <c r="BQ64" s="203" t="str">
        <f t="shared" si="20"/>
        <v>OK</v>
      </c>
      <c r="BR64" s="377" t="s">
        <v>341</v>
      </c>
      <c r="BS64" s="230"/>
      <c r="BT64" s="183" t="str">
        <f t="shared" si="188"/>
        <v/>
      </c>
      <c r="BU64" s="203" t="str">
        <f t="shared" si="22"/>
        <v>OK</v>
      </c>
      <c r="BV64" s="377" t="s">
        <v>341</v>
      </c>
      <c r="BW64" s="230"/>
      <c r="BX64" s="183" t="str">
        <f t="shared" si="189"/>
        <v/>
      </c>
      <c r="BY64" s="203" t="str">
        <f t="shared" si="24"/>
        <v>OK</v>
      </c>
      <c r="BZ64" s="377" t="s">
        <v>341</v>
      </c>
      <c r="CA64" s="230"/>
      <c r="CB64" s="183" t="str">
        <f t="shared" si="190"/>
        <v/>
      </c>
      <c r="CC64" s="203" t="str">
        <f t="shared" si="232"/>
        <v>OK</v>
      </c>
      <c r="CD64" s="377" t="s">
        <v>341</v>
      </c>
      <c r="CE64" s="230"/>
      <c r="CF64" s="183" t="str">
        <f t="shared" si="191"/>
        <v/>
      </c>
      <c r="CG64" s="203" t="str">
        <f t="shared" si="233"/>
        <v>OK</v>
      </c>
      <c r="CH64" s="377" t="s">
        <v>341</v>
      </c>
      <c r="CI64" s="230"/>
      <c r="CJ64" s="183" t="str">
        <f t="shared" si="192"/>
        <v/>
      </c>
      <c r="CK64" s="203" t="str">
        <f t="shared" si="30"/>
        <v>OK</v>
      </c>
      <c r="CL64" s="377" t="s">
        <v>341</v>
      </c>
      <c r="CM64" s="230"/>
      <c r="CN64" s="183" t="str">
        <f t="shared" si="193"/>
        <v/>
      </c>
      <c r="CO64" s="203" t="str">
        <f t="shared" ref="CO64:CO81" si="234">IF(OR(CM$8="判定対象外",CN64="-"),"-",IF(CM64=CN64,"OK","NG"))</f>
        <v>OK</v>
      </c>
      <c r="CP64" s="377" t="s">
        <v>341</v>
      </c>
      <c r="CQ64" s="230"/>
      <c r="CR64" s="183" t="str">
        <f t="shared" si="194"/>
        <v/>
      </c>
      <c r="CS64" s="203" t="str">
        <f t="shared" ref="CS64:CS81" si="235">IF(OR(CQ$8="判定対象外",CR64="-"),"-",IF(CQ64=CR64,"OK","NG"))</f>
        <v>OK</v>
      </c>
      <c r="CT64" s="377" t="s">
        <v>341</v>
      </c>
      <c r="CU64" s="230"/>
      <c r="CV64" s="183" t="str">
        <f t="shared" si="195"/>
        <v/>
      </c>
      <c r="CW64" s="203" t="str">
        <f t="shared" si="36"/>
        <v>OK</v>
      </c>
      <c r="CX64" s="378"/>
      <c r="CY64" s="230"/>
      <c r="CZ64" s="183" t="str">
        <f>IF($AB64="I","",IF($AA64="","",IF(CX64="","",CX64)))</f>
        <v/>
      </c>
      <c r="DA64" s="203" t="str">
        <f>IF(OR(CY$8="判定対象外",CZ64="-"),"-",IF(CY64=CZ64,"OK","NG"))</f>
        <v>OK</v>
      </c>
      <c r="DB64" s="379" t="s">
        <v>581</v>
      </c>
      <c r="DC64" s="230"/>
      <c r="DD64" s="183" t="str">
        <f>IF($AB64="I","",IF($AA64="","",IF(DB64="","",DB64)))</f>
        <v/>
      </c>
      <c r="DE64" s="203" t="str">
        <f>IF(OR(DC$8="判定対象外",DD64="-"),"-",IF(DC64=DD64,"OK","NG"))</f>
        <v>OK</v>
      </c>
      <c r="DF64" s="379" t="s">
        <v>573</v>
      </c>
      <c r="DG64" s="230"/>
      <c r="DH64" s="183" t="str">
        <f t="shared" si="198"/>
        <v/>
      </c>
      <c r="DI64" s="203" t="str">
        <f t="shared" si="42"/>
        <v>OK</v>
      </c>
      <c r="DJ64" s="377" t="s">
        <v>574</v>
      </c>
      <c r="DK64" s="230"/>
      <c r="DL64" s="183" t="str">
        <f>IF($AB64="I","",IF($AA64="","",IF(DJ64="","",DJ64)))</f>
        <v/>
      </c>
      <c r="DM64" s="203" t="str">
        <f>IF(OR(DK$11="判定対象外",DL64="-"),"-",IF(DK64=DL64,"OK","NG"))</f>
        <v>OK</v>
      </c>
      <c r="DN64" s="377" t="s">
        <v>574</v>
      </c>
      <c r="DO64" s="230"/>
      <c r="DP64" s="183" t="str">
        <f>IF($AB64="I","",IF($AA64="","",IF(DN64="","",DN64)))</f>
        <v/>
      </c>
      <c r="DQ64" s="203" t="str">
        <f>IF(OR(DO$11="判定対象外",DP64="-"),"-",IF(DO64=DP64,"OK","NG"))</f>
        <v>OK</v>
      </c>
      <c r="DR64" s="377" t="s">
        <v>574</v>
      </c>
      <c r="DS64" s="230"/>
      <c r="DT64" s="183" t="str">
        <f t="shared" si="201"/>
        <v/>
      </c>
      <c r="DU64" s="203" t="str">
        <f t="shared" si="48"/>
        <v>OK</v>
      </c>
      <c r="DV64" s="377" t="s">
        <v>574</v>
      </c>
      <c r="DW64" s="230"/>
      <c r="DX64" s="183" t="str">
        <f t="shared" si="202"/>
        <v/>
      </c>
      <c r="DY64" s="203" t="str">
        <f>IF(OR(DW$11="判定対象外",DX64="-"),"-",IF(DW64=DX64,"OK","NG"))</f>
        <v>OK</v>
      </c>
      <c r="DZ64" s="377" t="s">
        <v>574</v>
      </c>
      <c r="EA64" s="230"/>
      <c r="EB64" s="183" t="str">
        <f t="shared" si="203"/>
        <v/>
      </c>
      <c r="EC64" s="203" t="str">
        <f>IF(OR(EA$11="判定対象外",EB64="-"),"-",IF(EA64=EB64,"OK","NG"))</f>
        <v>OK</v>
      </c>
      <c r="ED64" s="377" t="s">
        <v>574</v>
      </c>
      <c r="EE64" s="230"/>
      <c r="EF64" s="183" t="str">
        <f t="shared" si="204"/>
        <v/>
      </c>
      <c r="EG64" s="203" t="str">
        <f t="shared" si="54"/>
        <v>OK</v>
      </c>
      <c r="EH64" s="377" t="s">
        <v>574</v>
      </c>
      <c r="EI64" s="230"/>
      <c r="EJ64" s="183" t="str">
        <f t="shared" si="205"/>
        <v/>
      </c>
      <c r="EK64" s="203" t="str">
        <f>IF(OR(EI$11="判定対象外",EJ64="-"),"-",IF(EI64=EJ64,"OK","NG"))</f>
        <v>OK</v>
      </c>
      <c r="EL64" s="377" t="s">
        <v>574</v>
      </c>
      <c r="EM64" s="230"/>
      <c r="EN64" s="183" t="str">
        <f t="shared" si="206"/>
        <v/>
      </c>
      <c r="EO64" s="203" t="str">
        <f>IF(OR(EM$11="判定対象外",EN64="-"),"-",IF(EM64=EN64,"OK","NG"))</f>
        <v>OK</v>
      </c>
      <c r="EP64" s="377" t="s">
        <v>574</v>
      </c>
      <c r="EQ64" s="230"/>
      <c r="ER64" s="183" t="str">
        <f t="shared" si="207"/>
        <v/>
      </c>
      <c r="ES64" s="203" t="str">
        <f t="shared" si="60"/>
        <v>OK</v>
      </c>
      <c r="ET64" s="377" t="s">
        <v>574</v>
      </c>
      <c r="EU64" s="230"/>
      <c r="EV64" s="183" t="str">
        <f t="shared" si="208"/>
        <v/>
      </c>
      <c r="EW64" s="203" t="str">
        <f t="shared" si="223"/>
        <v>OK</v>
      </c>
      <c r="EX64" s="377" t="s">
        <v>574</v>
      </c>
      <c r="EY64" s="230"/>
      <c r="EZ64" s="183" t="str">
        <f t="shared" si="209"/>
        <v/>
      </c>
      <c r="FA64" s="203" t="str">
        <f t="shared" si="224"/>
        <v>OK</v>
      </c>
      <c r="FB64" s="377" t="s">
        <v>574</v>
      </c>
      <c r="FC64" s="230"/>
      <c r="FD64" s="183" t="str">
        <f t="shared" si="210"/>
        <v/>
      </c>
      <c r="FE64" s="203" t="str">
        <f t="shared" si="66"/>
        <v>OK</v>
      </c>
      <c r="FF64" s="377" t="s">
        <v>574</v>
      </c>
      <c r="FG64" s="230"/>
      <c r="FH64" s="183" t="str">
        <f t="shared" si="211"/>
        <v/>
      </c>
      <c r="FI64" s="203" t="str">
        <f t="shared" si="225"/>
        <v>OK</v>
      </c>
      <c r="FJ64" s="377" t="s">
        <v>574</v>
      </c>
      <c r="FK64" s="230"/>
      <c r="FL64" s="183" t="str">
        <f t="shared" si="212"/>
        <v/>
      </c>
      <c r="FM64" s="203" t="str">
        <f t="shared" si="226"/>
        <v>OK</v>
      </c>
      <c r="FN64" s="377" t="s">
        <v>574</v>
      </c>
      <c r="FO64" s="230"/>
      <c r="FP64" s="183" t="str">
        <f t="shared" si="213"/>
        <v/>
      </c>
      <c r="FQ64" s="203" t="str">
        <f t="shared" si="72"/>
        <v>OK</v>
      </c>
      <c r="FR64" s="377" t="s">
        <v>574</v>
      </c>
      <c r="FS64" s="230"/>
      <c r="FT64" s="183" t="str">
        <f t="shared" si="214"/>
        <v/>
      </c>
      <c r="FU64" s="203" t="str">
        <f t="shared" si="227"/>
        <v>OK</v>
      </c>
      <c r="FV64" s="377" t="s">
        <v>574</v>
      </c>
      <c r="FW64" s="230"/>
      <c r="FX64" s="183" t="str">
        <f t="shared" si="215"/>
        <v/>
      </c>
      <c r="FY64" s="203" t="str">
        <f t="shared" si="228"/>
        <v>OK</v>
      </c>
      <c r="FZ64" s="377" t="s">
        <v>574</v>
      </c>
      <c r="GA64" s="230"/>
      <c r="GB64" s="183" t="str">
        <f t="shared" si="216"/>
        <v/>
      </c>
      <c r="GC64" s="203" t="str">
        <f t="shared" si="78"/>
        <v>OK</v>
      </c>
      <c r="GD64" s="377" t="s">
        <v>574</v>
      </c>
      <c r="GE64" s="230"/>
      <c r="GF64" s="183" t="str">
        <f t="shared" si="217"/>
        <v/>
      </c>
      <c r="GG64" s="203" t="str">
        <f t="shared" si="229"/>
        <v>OK</v>
      </c>
      <c r="GH64" s="377" t="s">
        <v>574</v>
      </c>
      <c r="GI64" s="230"/>
      <c r="GJ64" s="183" t="str">
        <f t="shared" si="218"/>
        <v/>
      </c>
      <c r="GK64" s="203" t="str">
        <f t="shared" si="230"/>
        <v>OK</v>
      </c>
      <c r="GL64" s="377" t="s">
        <v>574</v>
      </c>
      <c r="GM64" s="230"/>
      <c r="GN64" s="183" t="str">
        <f t="shared" si="219"/>
        <v/>
      </c>
      <c r="GO64" s="203" t="str">
        <f t="shared" si="84"/>
        <v>OK</v>
      </c>
      <c r="GP64" s="378" t="s">
        <v>574</v>
      </c>
      <c r="GQ64" s="230"/>
      <c r="GR64" s="183" t="str">
        <f t="shared" si="220"/>
        <v/>
      </c>
      <c r="GS64" s="203" t="str">
        <f t="shared" si="231"/>
        <v>OK</v>
      </c>
      <c r="GT64" s="202"/>
      <c r="GU64" s="202"/>
      <c r="GV64" s="201"/>
      <c r="GW64" s="201"/>
      <c r="GX64" s="201"/>
    </row>
    <row r="65" spans="1:206">
      <c r="A65" s="200" t="s">
        <v>298</v>
      </c>
      <c r="B65" s="225">
        <f t="shared" si="221"/>
        <v>58</v>
      </c>
      <c r="C65" s="229"/>
      <c r="D65" s="229"/>
      <c r="E65" s="228"/>
      <c r="F65" s="228"/>
      <c r="G65" s="222" t="s">
        <v>339</v>
      </c>
      <c r="H65" s="220"/>
      <c r="I65" s="209"/>
      <c r="J65" s="217" t="s">
        <v>326</v>
      </c>
      <c r="K65" s="219"/>
      <c r="L65" s="219"/>
      <c r="M65" s="218"/>
      <c r="N65" s="217"/>
      <c r="O65" s="216"/>
      <c r="P65" s="212"/>
      <c r="Q65" s="212"/>
      <c r="R65" s="215"/>
      <c r="S65" s="214"/>
      <c r="T65" s="212"/>
      <c r="U65" s="213"/>
      <c r="V65" s="212"/>
      <c r="W65" s="211" t="str">
        <f t="shared" si="222"/>
        <v>4</v>
      </c>
      <c r="X65" s="210" t="s">
        <v>340</v>
      </c>
      <c r="Y65" s="210">
        <v>1</v>
      </c>
      <c r="Z65" s="210">
        <v>180</v>
      </c>
      <c r="AA65" s="209" t="s">
        <v>55</v>
      </c>
      <c r="AB65" s="209" t="s">
        <v>306</v>
      </c>
      <c r="AC65" s="207"/>
      <c r="AD65" s="377" t="s">
        <v>339</v>
      </c>
      <c r="AE65" s="230"/>
      <c r="AF65" s="183" t="str">
        <f t="shared" si="178"/>
        <v/>
      </c>
      <c r="AG65" s="203" t="str">
        <f t="shared" si="175"/>
        <v>OK</v>
      </c>
      <c r="AH65" s="377" t="s">
        <v>339</v>
      </c>
      <c r="AI65" s="230"/>
      <c r="AJ65" s="183" t="str">
        <f t="shared" si="179"/>
        <v/>
      </c>
      <c r="AK65" s="203" t="str">
        <f t="shared" si="176"/>
        <v>OK</v>
      </c>
      <c r="AL65" s="377" t="s">
        <v>339</v>
      </c>
      <c r="AM65" s="230"/>
      <c r="AN65" s="183" t="str">
        <f t="shared" si="180"/>
        <v/>
      </c>
      <c r="AO65" s="203" t="str">
        <f t="shared" si="177"/>
        <v>OK</v>
      </c>
      <c r="AP65" s="377" t="s">
        <v>339</v>
      </c>
      <c r="AQ65" s="230"/>
      <c r="AR65" s="183" t="str">
        <f t="shared" si="181"/>
        <v/>
      </c>
      <c r="AS65" s="203" t="str">
        <f t="shared" si="8"/>
        <v>OK</v>
      </c>
      <c r="AT65" s="377" t="s">
        <v>339</v>
      </c>
      <c r="AU65" s="230"/>
      <c r="AV65" s="183" t="str">
        <f t="shared" si="182"/>
        <v/>
      </c>
      <c r="AW65" s="203" t="str">
        <f t="shared" si="10"/>
        <v>OK</v>
      </c>
      <c r="AX65" s="377" t="s">
        <v>339</v>
      </c>
      <c r="AY65" s="230"/>
      <c r="AZ65" s="183" t="str">
        <f t="shared" si="183"/>
        <v/>
      </c>
      <c r="BA65" s="203" t="str">
        <f t="shared" si="12"/>
        <v>OK</v>
      </c>
      <c r="BB65" s="377" t="s">
        <v>339</v>
      </c>
      <c r="BC65" s="230"/>
      <c r="BD65" s="183" t="str">
        <f t="shared" si="184"/>
        <v/>
      </c>
      <c r="BE65" s="203" t="str">
        <f t="shared" si="14"/>
        <v>OK</v>
      </c>
      <c r="BF65" s="377" t="s">
        <v>339</v>
      </c>
      <c r="BG65" s="230"/>
      <c r="BH65" s="183" t="str">
        <f t="shared" si="185"/>
        <v/>
      </c>
      <c r="BI65" s="203" t="str">
        <f t="shared" si="16"/>
        <v>OK</v>
      </c>
      <c r="BJ65" s="377" t="s">
        <v>339</v>
      </c>
      <c r="BK65" s="230"/>
      <c r="BL65" s="183" t="str">
        <f t="shared" si="186"/>
        <v/>
      </c>
      <c r="BM65" s="203" t="str">
        <f t="shared" si="18"/>
        <v>OK</v>
      </c>
      <c r="BN65" s="377" t="s">
        <v>339</v>
      </c>
      <c r="BO65" s="230"/>
      <c r="BP65" s="183" t="str">
        <f t="shared" si="187"/>
        <v/>
      </c>
      <c r="BQ65" s="203" t="str">
        <f t="shared" si="20"/>
        <v>OK</v>
      </c>
      <c r="BR65" s="377" t="s">
        <v>339</v>
      </c>
      <c r="BS65" s="230"/>
      <c r="BT65" s="183" t="str">
        <f t="shared" si="188"/>
        <v/>
      </c>
      <c r="BU65" s="203" t="str">
        <f t="shared" si="22"/>
        <v>OK</v>
      </c>
      <c r="BV65" s="377" t="s">
        <v>339</v>
      </c>
      <c r="BW65" s="230"/>
      <c r="BX65" s="183" t="str">
        <f t="shared" si="189"/>
        <v/>
      </c>
      <c r="BY65" s="203" t="str">
        <f t="shared" si="24"/>
        <v>OK</v>
      </c>
      <c r="BZ65" s="377" t="s">
        <v>339</v>
      </c>
      <c r="CA65" s="230"/>
      <c r="CB65" s="183" t="str">
        <f t="shared" si="190"/>
        <v/>
      </c>
      <c r="CC65" s="203" t="str">
        <f t="shared" si="232"/>
        <v>OK</v>
      </c>
      <c r="CD65" s="377" t="s">
        <v>339</v>
      </c>
      <c r="CE65" s="230"/>
      <c r="CF65" s="183" t="str">
        <f t="shared" si="191"/>
        <v/>
      </c>
      <c r="CG65" s="203" t="str">
        <f t="shared" si="233"/>
        <v>OK</v>
      </c>
      <c r="CH65" s="377" t="s">
        <v>339</v>
      </c>
      <c r="CI65" s="230"/>
      <c r="CJ65" s="183" t="str">
        <f t="shared" si="192"/>
        <v/>
      </c>
      <c r="CK65" s="203" t="str">
        <f t="shared" si="30"/>
        <v>OK</v>
      </c>
      <c r="CL65" s="377" t="s">
        <v>339</v>
      </c>
      <c r="CM65" s="230"/>
      <c r="CN65" s="183" t="str">
        <f t="shared" si="193"/>
        <v/>
      </c>
      <c r="CO65" s="203" t="str">
        <f t="shared" si="234"/>
        <v>OK</v>
      </c>
      <c r="CP65" s="377" t="s">
        <v>339</v>
      </c>
      <c r="CQ65" s="230"/>
      <c r="CR65" s="183" t="str">
        <f t="shared" si="194"/>
        <v/>
      </c>
      <c r="CS65" s="203" t="str">
        <f t="shared" si="235"/>
        <v>OK</v>
      </c>
      <c r="CT65" s="377" t="s">
        <v>339</v>
      </c>
      <c r="CU65" s="230"/>
      <c r="CV65" s="183" t="str">
        <f t="shared" si="195"/>
        <v/>
      </c>
      <c r="CW65" s="203" t="str">
        <f t="shared" si="36"/>
        <v>OK</v>
      </c>
      <c r="CX65" s="377" t="s">
        <v>339</v>
      </c>
      <c r="CY65" s="230"/>
      <c r="CZ65" s="183" t="str">
        <f t="shared" si="196"/>
        <v/>
      </c>
      <c r="DA65" s="203" t="str">
        <f t="shared" ref="DA65:DA81" si="236">IF(OR(CY$8="判定対象外",CZ65="-"),"-",IF(CY65=CZ65,"OK","NG"))</f>
        <v>OK</v>
      </c>
      <c r="DB65" s="377" t="s">
        <v>339</v>
      </c>
      <c r="DC65" s="230"/>
      <c r="DD65" s="183" t="str">
        <f t="shared" si="197"/>
        <v/>
      </c>
      <c r="DE65" s="203" t="str">
        <f t="shared" ref="DE65:DE81" si="237">IF(OR(DC$8="判定対象外",DD65="-"),"-",IF(DC65=DD65,"OK","NG"))</f>
        <v>OK</v>
      </c>
      <c r="DF65" s="377" t="s">
        <v>339</v>
      </c>
      <c r="DG65" s="230"/>
      <c r="DH65" s="183" t="str">
        <f t="shared" si="198"/>
        <v/>
      </c>
      <c r="DI65" s="203" t="str">
        <f t="shared" si="42"/>
        <v>OK</v>
      </c>
      <c r="DJ65" s="378"/>
      <c r="DK65" s="230"/>
      <c r="DL65" s="183" t="str">
        <f>IF($AB65="I","",IF($AA65="","",IF(DJ65="","",DJ65)))</f>
        <v/>
      </c>
      <c r="DM65" s="203" t="str">
        <f>IF(OR(DK$8="判定対象外",DL65="-"),"-",IF(DK65=DL65,"OK","NG"))</f>
        <v>OK</v>
      </c>
      <c r="DN65" s="379" t="s">
        <v>581</v>
      </c>
      <c r="DO65" s="230"/>
      <c r="DP65" s="183" t="str">
        <f>IF($AB65="I","",IF($AA65="","",IF(DN65="","",DN65)))</f>
        <v/>
      </c>
      <c r="DQ65" s="203" t="str">
        <f>IF(OR(DO$8="判定対象外",DP65="-"),"-",IF(DO65=DP65,"OK","NG"))</f>
        <v>OK</v>
      </c>
      <c r="DR65" s="379" t="s">
        <v>573</v>
      </c>
      <c r="DS65" s="230"/>
      <c r="DT65" s="183" t="str">
        <f t="shared" si="201"/>
        <v/>
      </c>
      <c r="DU65" s="203" t="str">
        <f t="shared" si="48"/>
        <v>OK</v>
      </c>
      <c r="DV65" s="377" t="s">
        <v>575</v>
      </c>
      <c r="DW65" s="230"/>
      <c r="DX65" s="183" t="str">
        <f>IF($AB65="I","",IF($AA65="","",IF(DV65="","",DV65)))</f>
        <v/>
      </c>
      <c r="DY65" s="203" t="str">
        <f>IF(OR(DW$11="判定対象外",DX65="-"),"-",IF(DW65=DX65,"OK","NG"))</f>
        <v>OK</v>
      </c>
      <c r="DZ65" s="377" t="s">
        <v>575</v>
      </c>
      <c r="EA65" s="230"/>
      <c r="EB65" s="183" t="str">
        <f>IF($AB65="I","",IF($AA65="","",IF(DZ65="","",DZ65)))</f>
        <v/>
      </c>
      <c r="EC65" s="203" t="str">
        <f>IF(OR(EA$11="判定対象外",EB65="-"),"-",IF(EA65=EB65,"OK","NG"))</f>
        <v>OK</v>
      </c>
      <c r="ED65" s="377" t="s">
        <v>575</v>
      </c>
      <c r="EE65" s="230"/>
      <c r="EF65" s="183" t="str">
        <f t="shared" si="204"/>
        <v/>
      </c>
      <c r="EG65" s="203" t="str">
        <f t="shared" si="54"/>
        <v>OK</v>
      </c>
      <c r="EH65" s="377" t="s">
        <v>575</v>
      </c>
      <c r="EI65" s="230"/>
      <c r="EJ65" s="183" t="str">
        <f t="shared" si="205"/>
        <v/>
      </c>
      <c r="EK65" s="203" t="str">
        <f>IF(OR(EI$11="判定対象外",EJ65="-"),"-",IF(EI65=EJ65,"OK","NG"))</f>
        <v>OK</v>
      </c>
      <c r="EL65" s="377" t="s">
        <v>575</v>
      </c>
      <c r="EM65" s="230"/>
      <c r="EN65" s="183" t="str">
        <f t="shared" si="206"/>
        <v/>
      </c>
      <c r="EO65" s="203" t="str">
        <f>IF(OR(EM$11="判定対象外",EN65="-"),"-",IF(EM65=EN65,"OK","NG"))</f>
        <v>OK</v>
      </c>
      <c r="EP65" s="377" t="s">
        <v>575</v>
      </c>
      <c r="EQ65" s="230"/>
      <c r="ER65" s="183" t="str">
        <f t="shared" si="207"/>
        <v/>
      </c>
      <c r="ES65" s="203" t="str">
        <f t="shared" si="60"/>
        <v>OK</v>
      </c>
      <c r="ET65" s="377" t="s">
        <v>575</v>
      </c>
      <c r="EU65" s="230"/>
      <c r="EV65" s="183" t="str">
        <f t="shared" si="208"/>
        <v/>
      </c>
      <c r="EW65" s="203" t="str">
        <f t="shared" si="223"/>
        <v>OK</v>
      </c>
      <c r="EX65" s="377" t="s">
        <v>575</v>
      </c>
      <c r="EY65" s="230"/>
      <c r="EZ65" s="183" t="str">
        <f t="shared" si="209"/>
        <v/>
      </c>
      <c r="FA65" s="203" t="str">
        <f t="shared" si="224"/>
        <v>OK</v>
      </c>
      <c r="FB65" s="377" t="s">
        <v>575</v>
      </c>
      <c r="FC65" s="230"/>
      <c r="FD65" s="183" t="str">
        <f t="shared" si="210"/>
        <v/>
      </c>
      <c r="FE65" s="203" t="str">
        <f t="shared" si="66"/>
        <v>OK</v>
      </c>
      <c r="FF65" s="377" t="s">
        <v>575</v>
      </c>
      <c r="FG65" s="230"/>
      <c r="FH65" s="183" t="str">
        <f t="shared" si="211"/>
        <v/>
      </c>
      <c r="FI65" s="203" t="str">
        <f t="shared" si="225"/>
        <v>OK</v>
      </c>
      <c r="FJ65" s="377" t="s">
        <v>575</v>
      </c>
      <c r="FK65" s="230"/>
      <c r="FL65" s="183" t="str">
        <f t="shared" si="212"/>
        <v/>
      </c>
      <c r="FM65" s="203" t="str">
        <f t="shared" si="226"/>
        <v>OK</v>
      </c>
      <c r="FN65" s="377" t="s">
        <v>575</v>
      </c>
      <c r="FO65" s="230"/>
      <c r="FP65" s="183" t="str">
        <f t="shared" si="213"/>
        <v/>
      </c>
      <c r="FQ65" s="203" t="str">
        <f t="shared" si="72"/>
        <v>OK</v>
      </c>
      <c r="FR65" s="377" t="s">
        <v>575</v>
      </c>
      <c r="FS65" s="230"/>
      <c r="FT65" s="183" t="str">
        <f t="shared" si="214"/>
        <v/>
      </c>
      <c r="FU65" s="203" t="str">
        <f t="shared" si="227"/>
        <v>OK</v>
      </c>
      <c r="FV65" s="377" t="s">
        <v>575</v>
      </c>
      <c r="FW65" s="230"/>
      <c r="FX65" s="183" t="str">
        <f t="shared" si="215"/>
        <v/>
      </c>
      <c r="FY65" s="203" t="str">
        <f t="shared" si="228"/>
        <v>OK</v>
      </c>
      <c r="FZ65" s="377" t="s">
        <v>575</v>
      </c>
      <c r="GA65" s="230"/>
      <c r="GB65" s="183" t="str">
        <f t="shared" si="216"/>
        <v/>
      </c>
      <c r="GC65" s="203" t="str">
        <f t="shared" si="78"/>
        <v>OK</v>
      </c>
      <c r="GD65" s="377" t="s">
        <v>575</v>
      </c>
      <c r="GE65" s="230"/>
      <c r="GF65" s="183" t="str">
        <f t="shared" si="217"/>
        <v/>
      </c>
      <c r="GG65" s="203" t="str">
        <f t="shared" si="229"/>
        <v>OK</v>
      </c>
      <c r="GH65" s="377" t="s">
        <v>575</v>
      </c>
      <c r="GI65" s="230"/>
      <c r="GJ65" s="183" t="str">
        <f t="shared" si="218"/>
        <v/>
      </c>
      <c r="GK65" s="203" t="str">
        <f t="shared" si="230"/>
        <v>OK</v>
      </c>
      <c r="GL65" s="377" t="s">
        <v>575</v>
      </c>
      <c r="GM65" s="230"/>
      <c r="GN65" s="183" t="str">
        <f t="shared" si="219"/>
        <v/>
      </c>
      <c r="GO65" s="203" t="str">
        <f t="shared" si="84"/>
        <v>OK</v>
      </c>
      <c r="GP65" s="378" t="s">
        <v>575</v>
      </c>
      <c r="GQ65" s="230"/>
      <c r="GR65" s="183" t="str">
        <f t="shared" si="220"/>
        <v/>
      </c>
      <c r="GS65" s="203" t="str">
        <f t="shared" si="231"/>
        <v>OK</v>
      </c>
      <c r="GT65" s="202"/>
      <c r="GU65" s="202"/>
      <c r="GV65" s="201"/>
      <c r="GW65" s="201"/>
      <c r="GX65" s="201"/>
    </row>
    <row r="66" spans="1:206">
      <c r="A66" s="200" t="s">
        <v>59</v>
      </c>
      <c r="B66" s="225">
        <f t="shared" si="221"/>
        <v>59</v>
      </c>
      <c r="C66" s="229"/>
      <c r="D66" s="229"/>
      <c r="E66" s="228"/>
      <c r="F66" s="228"/>
      <c r="G66" s="222" t="s">
        <v>337</v>
      </c>
      <c r="H66" s="220"/>
      <c r="I66" s="209"/>
      <c r="J66" s="217" t="s">
        <v>326</v>
      </c>
      <c r="K66" s="219"/>
      <c r="L66" s="219"/>
      <c r="M66" s="218"/>
      <c r="N66" s="217"/>
      <c r="O66" s="216"/>
      <c r="P66" s="212"/>
      <c r="Q66" s="212"/>
      <c r="R66" s="215"/>
      <c r="S66" s="214"/>
      <c r="T66" s="212"/>
      <c r="U66" s="213"/>
      <c r="V66" s="212"/>
      <c r="W66" s="211" t="str">
        <f t="shared" si="222"/>
        <v>4</v>
      </c>
      <c r="X66" s="210" t="s">
        <v>338</v>
      </c>
      <c r="Y66" s="210">
        <v>1</v>
      </c>
      <c r="Z66" s="210">
        <v>180</v>
      </c>
      <c r="AA66" s="209" t="s">
        <v>55</v>
      </c>
      <c r="AB66" s="209" t="s">
        <v>306</v>
      </c>
      <c r="AC66" s="207"/>
      <c r="AD66" s="377" t="s">
        <v>337</v>
      </c>
      <c r="AE66" s="230"/>
      <c r="AF66" s="183" t="str">
        <f t="shared" si="178"/>
        <v/>
      </c>
      <c r="AG66" s="203" t="str">
        <f t="shared" si="175"/>
        <v>OK</v>
      </c>
      <c r="AH66" s="377" t="s">
        <v>337</v>
      </c>
      <c r="AI66" s="230"/>
      <c r="AJ66" s="183" t="str">
        <f t="shared" si="179"/>
        <v/>
      </c>
      <c r="AK66" s="203" t="str">
        <f t="shared" si="176"/>
        <v>OK</v>
      </c>
      <c r="AL66" s="377" t="s">
        <v>337</v>
      </c>
      <c r="AM66" s="230"/>
      <c r="AN66" s="183" t="str">
        <f t="shared" si="180"/>
        <v/>
      </c>
      <c r="AO66" s="203" t="str">
        <f t="shared" si="177"/>
        <v>OK</v>
      </c>
      <c r="AP66" s="377" t="s">
        <v>337</v>
      </c>
      <c r="AQ66" s="230"/>
      <c r="AR66" s="183" t="str">
        <f t="shared" si="181"/>
        <v/>
      </c>
      <c r="AS66" s="203" t="str">
        <f t="shared" si="8"/>
        <v>OK</v>
      </c>
      <c r="AT66" s="377" t="s">
        <v>337</v>
      </c>
      <c r="AU66" s="230"/>
      <c r="AV66" s="183" t="str">
        <f t="shared" si="182"/>
        <v/>
      </c>
      <c r="AW66" s="203" t="str">
        <f t="shared" si="10"/>
        <v>OK</v>
      </c>
      <c r="AX66" s="377" t="s">
        <v>337</v>
      </c>
      <c r="AY66" s="230"/>
      <c r="AZ66" s="183" t="str">
        <f t="shared" si="183"/>
        <v/>
      </c>
      <c r="BA66" s="203" t="str">
        <f t="shared" si="12"/>
        <v>OK</v>
      </c>
      <c r="BB66" s="377" t="s">
        <v>337</v>
      </c>
      <c r="BC66" s="230"/>
      <c r="BD66" s="183" t="str">
        <f t="shared" si="184"/>
        <v/>
      </c>
      <c r="BE66" s="203" t="str">
        <f t="shared" si="14"/>
        <v>OK</v>
      </c>
      <c r="BF66" s="377" t="s">
        <v>337</v>
      </c>
      <c r="BG66" s="230"/>
      <c r="BH66" s="183" t="str">
        <f t="shared" si="185"/>
        <v/>
      </c>
      <c r="BI66" s="203" t="str">
        <f t="shared" si="16"/>
        <v>OK</v>
      </c>
      <c r="BJ66" s="377" t="s">
        <v>337</v>
      </c>
      <c r="BK66" s="230"/>
      <c r="BL66" s="183" t="str">
        <f t="shared" si="186"/>
        <v/>
      </c>
      <c r="BM66" s="203" t="str">
        <f t="shared" si="18"/>
        <v>OK</v>
      </c>
      <c r="BN66" s="377" t="s">
        <v>337</v>
      </c>
      <c r="BO66" s="230"/>
      <c r="BP66" s="183" t="str">
        <f t="shared" si="187"/>
        <v/>
      </c>
      <c r="BQ66" s="203" t="str">
        <f t="shared" si="20"/>
        <v>OK</v>
      </c>
      <c r="BR66" s="377" t="s">
        <v>337</v>
      </c>
      <c r="BS66" s="230"/>
      <c r="BT66" s="183" t="str">
        <f t="shared" si="188"/>
        <v/>
      </c>
      <c r="BU66" s="203" t="str">
        <f t="shared" si="22"/>
        <v>OK</v>
      </c>
      <c r="BV66" s="377" t="s">
        <v>337</v>
      </c>
      <c r="BW66" s="230"/>
      <c r="BX66" s="183" t="str">
        <f t="shared" si="189"/>
        <v/>
      </c>
      <c r="BY66" s="203" t="str">
        <f t="shared" si="24"/>
        <v>OK</v>
      </c>
      <c r="BZ66" s="377" t="s">
        <v>337</v>
      </c>
      <c r="CA66" s="230"/>
      <c r="CB66" s="183" t="str">
        <f t="shared" si="190"/>
        <v/>
      </c>
      <c r="CC66" s="203" t="str">
        <f t="shared" si="232"/>
        <v>OK</v>
      </c>
      <c r="CD66" s="377" t="s">
        <v>337</v>
      </c>
      <c r="CE66" s="230"/>
      <c r="CF66" s="183" t="str">
        <f t="shared" si="191"/>
        <v/>
      </c>
      <c r="CG66" s="203" t="str">
        <f t="shared" si="233"/>
        <v>OK</v>
      </c>
      <c r="CH66" s="377" t="s">
        <v>337</v>
      </c>
      <c r="CI66" s="230"/>
      <c r="CJ66" s="183" t="str">
        <f t="shared" si="192"/>
        <v/>
      </c>
      <c r="CK66" s="203" t="str">
        <f t="shared" si="30"/>
        <v>OK</v>
      </c>
      <c r="CL66" s="377" t="s">
        <v>337</v>
      </c>
      <c r="CM66" s="230"/>
      <c r="CN66" s="183" t="str">
        <f t="shared" si="193"/>
        <v/>
      </c>
      <c r="CO66" s="203" t="str">
        <f t="shared" si="234"/>
        <v>OK</v>
      </c>
      <c r="CP66" s="377" t="s">
        <v>337</v>
      </c>
      <c r="CQ66" s="230"/>
      <c r="CR66" s="183" t="str">
        <f t="shared" si="194"/>
        <v/>
      </c>
      <c r="CS66" s="203" t="str">
        <f t="shared" si="235"/>
        <v>OK</v>
      </c>
      <c r="CT66" s="377" t="s">
        <v>337</v>
      </c>
      <c r="CU66" s="230"/>
      <c r="CV66" s="183" t="str">
        <f t="shared" si="195"/>
        <v/>
      </c>
      <c r="CW66" s="203" t="str">
        <f t="shared" si="36"/>
        <v>OK</v>
      </c>
      <c r="CX66" s="377" t="s">
        <v>337</v>
      </c>
      <c r="CY66" s="230"/>
      <c r="CZ66" s="183" t="str">
        <f t="shared" si="196"/>
        <v/>
      </c>
      <c r="DA66" s="203" t="str">
        <f t="shared" si="236"/>
        <v>OK</v>
      </c>
      <c r="DB66" s="377" t="s">
        <v>337</v>
      </c>
      <c r="DC66" s="230"/>
      <c r="DD66" s="183" t="str">
        <f t="shared" si="197"/>
        <v/>
      </c>
      <c r="DE66" s="203" t="str">
        <f t="shared" si="237"/>
        <v>OK</v>
      </c>
      <c r="DF66" s="377" t="s">
        <v>337</v>
      </c>
      <c r="DG66" s="230"/>
      <c r="DH66" s="183" t="str">
        <f t="shared" si="198"/>
        <v/>
      </c>
      <c r="DI66" s="203" t="str">
        <f t="shared" si="42"/>
        <v>OK</v>
      </c>
      <c r="DJ66" s="377" t="s">
        <v>337</v>
      </c>
      <c r="DK66" s="230"/>
      <c r="DL66" s="183" t="str">
        <f t="shared" si="199"/>
        <v/>
      </c>
      <c r="DM66" s="203" t="str">
        <f t="shared" ref="DM66:DM81" si="238">IF(OR(DK$8="判定対象外",DL66="-"),"-",IF(DK66=DL66,"OK","NG"))</f>
        <v>OK</v>
      </c>
      <c r="DN66" s="377" t="s">
        <v>337</v>
      </c>
      <c r="DO66" s="230"/>
      <c r="DP66" s="183" t="str">
        <f t="shared" si="200"/>
        <v/>
      </c>
      <c r="DQ66" s="203" t="str">
        <f t="shared" ref="DQ66:DQ81" si="239">IF(OR(DO$8="判定対象外",DP66="-"),"-",IF(DO66=DP66,"OK","NG"))</f>
        <v>OK</v>
      </c>
      <c r="DR66" s="377" t="s">
        <v>337</v>
      </c>
      <c r="DS66" s="230"/>
      <c r="DT66" s="183" t="str">
        <f t="shared" si="201"/>
        <v/>
      </c>
      <c r="DU66" s="203" t="str">
        <f t="shared" si="48"/>
        <v>OK</v>
      </c>
      <c r="DV66" s="378"/>
      <c r="DW66" s="230"/>
      <c r="DX66" s="183" t="str">
        <f>IF($AB66="I","",IF($AA66="","",IF(DV66="","",DV66)))</f>
        <v/>
      </c>
      <c r="DY66" s="203" t="str">
        <f>IF(OR(DW$8="判定対象外",DX66="-"),"-",IF(DW66=DX66,"OK","NG"))</f>
        <v>OK</v>
      </c>
      <c r="DZ66" s="379" t="s">
        <v>581</v>
      </c>
      <c r="EA66" s="230"/>
      <c r="EB66" s="183" t="str">
        <f>IF($AB66="I","",IF($AA66="","",IF(DZ66="","",DZ66)))</f>
        <v/>
      </c>
      <c r="EC66" s="203" t="str">
        <f>IF(OR(EA$8="判定対象外",EB66="-"),"-",IF(EA66=EB66,"OK","NG"))</f>
        <v>OK</v>
      </c>
      <c r="ED66" s="379" t="s">
        <v>573</v>
      </c>
      <c r="EE66" s="230"/>
      <c r="EF66" s="183" t="str">
        <f t="shared" si="204"/>
        <v/>
      </c>
      <c r="EG66" s="203" t="str">
        <f t="shared" si="54"/>
        <v>OK</v>
      </c>
      <c r="EH66" s="377" t="s">
        <v>576</v>
      </c>
      <c r="EI66" s="230"/>
      <c r="EJ66" s="183" t="str">
        <f>IF($AB66="I","",IF($AA66="","",IF(EH66="","",EH66)))</f>
        <v/>
      </c>
      <c r="EK66" s="203" t="str">
        <f>IF(OR(EI$11="判定対象外",EJ66="-"),"-",IF(EI66=EJ66,"OK","NG"))</f>
        <v>OK</v>
      </c>
      <c r="EL66" s="377" t="s">
        <v>576</v>
      </c>
      <c r="EM66" s="230"/>
      <c r="EN66" s="183" t="str">
        <f>IF($AB66="I","",IF($AA66="","",IF(EL66="","",EL66)))</f>
        <v/>
      </c>
      <c r="EO66" s="203" t="str">
        <f>IF(OR(EM$11="判定対象外",EN66="-"),"-",IF(EM66=EN66,"OK","NG"))</f>
        <v>OK</v>
      </c>
      <c r="EP66" s="377" t="s">
        <v>576</v>
      </c>
      <c r="EQ66" s="230"/>
      <c r="ER66" s="183" t="str">
        <f t="shared" si="207"/>
        <v/>
      </c>
      <c r="ES66" s="203" t="str">
        <f t="shared" si="60"/>
        <v>OK</v>
      </c>
      <c r="ET66" s="377" t="s">
        <v>576</v>
      </c>
      <c r="EU66" s="230"/>
      <c r="EV66" s="183" t="str">
        <f t="shared" si="208"/>
        <v/>
      </c>
      <c r="EW66" s="203" t="str">
        <f t="shared" si="223"/>
        <v>OK</v>
      </c>
      <c r="EX66" s="377" t="s">
        <v>576</v>
      </c>
      <c r="EY66" s="230"/>
      <c r="EZ66" s="183" t="str">
        <f t="shared" si="209"/>
        <v/>
      </c>
      <c r="FA66" s="203" t="str">
        <f t="shared" si="224"/>
        <v>OK</v>
      </c>
      <c r="FB66" s="377" t="s">
        <v>576</v>
      </c>
      <c r="FC66" s="230"/>
      <c r="FD66" s="183" t="str">
        <f t="shared" si="210"/>
        <v/>
      </c>
      <c r="FE66" s="203" t="str">
        <f t="shared" si="66"/>
        <v>OK</v>
      </c>
      <c r="FF66" s="377" t="s">
        <v>576</v>
      </c>
      <c r="FG66" s="230"/>
      <c r="FH66" s="183" t="str">
        <f t="shared" si="211"/>
        <v/>
      </c>
      <c r="FI66" s="203" t="str">
        <f t="shared" si="225"/>
        <v>OK</v>
      </c>
      <c r="FJ66" s="377" t="s">
        <v>576</v>
      </c>
      <c r="FK66" s="230"/>
      <c r="FL66" s="183" t="str">
        <f t="shared" si="212"/>
        <v/>
      </c>
      <c r="FM66" s="203" t="str">
        <f t="shared" si="226"/>
        <v>OK</v>
      </c>
      <c r="FN66" s="377" t="s">
        <v>576</v>
      </c>
      <c r="FO66" s="230"/>
      <c r="FP66" s="183" t="str">
        <f t="shared" si="213"/>
        <v/>
      </c>
      <c r="FQ66" s="203" t="str">
        <f t="shared" si="72"/>
        <v>OK</v>
      </c>
      <c r="FR66" s="377" t="s">
        <v>576</v>
      </c>
      <c r="FS66" s="230"/>
      <c r="FT66" s="183" t="str">
        <f t="shared" si="214"/>
        <v/>
      </c>
      <c r="FU66" s="203" t="str">
        <f t="shared" si="227"/>
        <v>OK</v>
      </c>
      <c r="FV66" s="377" t="s">
        <v>576</v>
      </c>
      <c r="FW66" s="230"/>
      <c r="FX66" s="183" t="str">
        <f t="shared" si="215"/>
        <v/>
      </c>
      <c r="FY66" s="203" t="str">
        <f t="shared" si="228"/>
        <v>OK</v>
      </c>
      <c r="FZ66" s="377" t="s">
        <v>576</v>
      </c>
      <c r="GA66" s="230"/>
      <c r="GB66" s="183" t="str">
        <f t="shared" si="216"/>
        <v/>
      </c>
      <c r="GC66" s="203" t="str">
        <f t="shared" si="78"/>
        <v>OK</v>
      </c>
      <c r="GD66" s="377" t="s">
        <v>576</v>
      </c>
      <c r="GE66" s="230"/>
      <c r="GF66" s="183" t="str">
        <f t="shared" si="217"/>
        <v/>
      </c>
      <c r="GG66" s="203" t="str">
        <f t="shared" si="229"/>
        <v>OK</v>
      </c>
      <c r="GH66" s="377" t="s">
        <v>576</v>
      </c>
      <c r="GI66" s="230"/>
      <c r="GJ66" s="183" t="str">
        <f t="shared" si="218"/>
        <v/>
      </c>
      <c r="GK66" s="203" t="str">
        <f t="shared" si="230"/>
        <v>OK</v>
      </c>
      <c r="GL66" s="377" t="s">
        <v>576</v>
      </c>
      <c r="GM66" s="230"/>
      <c r="GN66" s="183" t="str">
        <f t="shared" si="219"/>
        <v/>
      </c>
      <c r="GO66" s="203" t="str">
        <f t="shared" si="84"/>
        <v>OK</v>
      </c>
      <c r="GP66" s="378" t="s">
        <v>576</v>
      </c>
      <c r="GQ66" s="230"/>
      <c r="GR66" s="183" t="str">
        <f t="shared" si="220"/>
        <v/>
      </c>
      <c r="GS66" s="203" t="str">
        <f t="shared" si="231"/>
        <v>OK</v>
      </c>
      <c r="GT66" s="202"/>
      <c r="GU66" s="202"/>
      <c r="GV66" s="201"/>
      <c r="GW66" s="201"/>
      <c r="GX66" s="201"/>
    </row>
    <row r="67" spans="1:206">
      <c r="A67" s="200" t="s">
        <v>336</v>
      </c>
      <c r="B67" s="225">
        <f t="shared" si="221"/>
        <v>60</v>
      </c>
      <c r="C67" s="229"/>
      <c r="D67" s="229"/>
      <c r="E67" s="228"/>
      <c r="F67" s="228"/>
      <c r="G67" s="222" t="s">
        <v>334</v>
      </c>
      <c r="H67" s="220"/>
      <c r="I67" s="209"/>
      <c r="J67" s="217" t="s">
        <v>326</v>
      </c>
      <c r="K67" s="219"/>
      <c r="L67" s="219"/>
      <c r="M67" s="218"/>
      <c r="N67" s="217"/>
      <c r="O67" s="216"/>
      <c r="P67" s="212"/>
      <c r="Q67" s="212"/>
      <c r="R67" s="215"/>
      <c r="S67" s="214"/>
      <c r="T67" s="212"/>
      <c r="U67" s="213"/>
      <c r="V67" s="212"/>
      <c r="W67" s="211" t="str">
        <f t="shared" si="222"/>
        <v>4</v>
      </c>
      <c r="X67" s="210" t="s">
        <v>335</v>
      </c>
      <c r="Y67" s="210">
        <v>1</v>
      </c>
      <c r="Z67" s="210">
        <v>180</v>
      </c>
      <c r="AA67" s="209" t="s">
        <v>55</v>
      </c>
      <c r="AB67" s="209" t="s">
        <v>306</v>
      </c>
      <c r="AC67" s="207"/>
      <c r="AD67" s="377" t="s">
        <v>334</v>
      </c>
      <c r="AE67" s="230"/>
      <c r="AF67" s="183" t="str">
        <f t="shared" si="178"/>
        <v/>
      </c>
      <c r="AG67" s="203" t="str">
        <f t="shared" si="175"/>
        <v>OK</v>
      </c>
      <c r="AH67" s="377" t="s">
        <v>334</v>
      </c>
      <c r="AI67" s="230"/>
      <c r="AJ67" s="183" t="str">
        <f t="shared" si="179"/>
        <v/>
      </c>
      <c r="AK67" s="203" t="str">
        <f t="shared" si="176"/>
        <v>OK</v>
      </c>
      <c r="AL67" s="377" t="s">
        <v>334</v>
      </c>
      <c r="AM67" s="230"/>
      <c r="AN67" s="183" t="str">
        <f t="shared" si="180"/>
        <v/>
      </c>
      <c r="AO67" s="203" t="str">
        <f t="shared" si="177"/>
        <v>OK</v>
      </c>
      <c r="AP67" s="377" t="s">
        <v>334</v>
      </c>
      <c r="AQ67" s="230"/>
      <c r="AR67" s="183" t="str">
        <f t="shared" si="181"/>
        <v/>
      </c>
      <c r="AS67" s="203" t="str">
        <f t="shared" si="8"/>
        <v>OK</v>
      </c>
      <c r="AT67" s="377" t="s">
        <v>334</v>
      </c>
      <c r="AU67" s="230"/>
      <c r="AV67" s="183" t="str">
        <f t="shared" si="182"/>
        <v/>
      </c>
      <c r="AW67" s="203" t="str">
        <f t="shared" si="10"/>
        <v>OK</v>
      </c>
      <c r="AX67" s="377" t="s">
        <v>334</v>
      </c>
      <c r="AY67" s="230"/>
      <c r="AZ67" s="183" t="str">
        <f t="shared" si="183"/>
        <v/>
      </c>
      <c r="BA67" s="203" t="str">
        <f t="shared" si="12"/>
        <v>OK</v>
      </c>
      <c r="BB67" s="377" t="s">
        <v>334</v>
      </c>
      <c r="BC67" s="230"/>
      <c r="BD67" s="183" t="str">
        <f t="shared" si="184"/>
        <v/>
      </c>
      <c r="BE67" s="203" t="str">
        <f t="shared" si="14"/>
        <v>OK</v>
      </c>
      <c r="BF67" s="377" t="s">
        <v>334</v>
      </c>
      <c r="BG67" s="230"/>
      <c r="BH67" s="183" t="str">
        <f t="shared" si="185"/>
        <v/>
      </c>
      <c r="BI67" s="203" t="str">
        <f t="shared" si="16"/>
        <v>OK</v>
      </c>
      <c r="BJ67" s="377" t="s">
        <v>334</v>
      </c>
      <c r="BK67" s="230"/>
      <c r="BL67" s="183" t="str">
        <f t="shared" si="186"/>
        <v/>
      </c>
      <c r="BM67" s="203" t="str">
        <f t="shared" si="18"/>
        <v>OK</v>
      </c>
      <c r="BN67" s="377" t="s">
        <v>334</v>
      </c>
      <c r="BO67" s="230"/>
      <c r="BP67" s="183" t="str">
        <f t="shared" si="187"/>
        <v/>
      </c>
      <c r="BQ67" s="203" t="str">
        <f t="shared" si="20"/>
        <v>OK</v>
      </c>
      <c r="BR67" s="377" t="s">
        <v>334</v>
      </c>
      <c r="BS67" s="230"/>
      <c r="BT67" s="183" t="str">
        <f t="shared" si="188"/>
        <v/>
      </c>
      <c r="BU67" s="203" t="str">
        <f t="shared" si="22"/>
        <v>OK</v>
      </c>
      <c r="BV67" s="377" t="s">
        <v>334</v>
      </c>
      <c r="BW67" s="230"/>
      <c r="BX67" s="183" t="str">
        <f t="shared" si="189"/>
        <v/>
      </c>
      <c r="BY67" s="203" t="str">
        <f t="shared" si="24"/>
        <v>OK</v>
      </c>
      <c r="BZ67" s="377" t="s">
        <v>334</v>
      </c>
      <c r="CA67" s="230"/>
      <c r="CB67" s="183" t="str">
        <f t="shared" si="190"/>
        <v/>
      </c>
      <c r="CC67" s="203" t="str">
        <f t="shared" si="232"/>
        <v>OK</v>
      </c>
      <c r="CD67" s="377" t="s">
        <v>334</v>
      </c>
      <c r="CE67" s="230"/>
      <c r="CF67" s="183" t="str">
        <f t="shared" si="191"/>
        <v/>
      </c>
      <c r="CG67" s="203" t="str">
        <f t="shared" si="233"/>
        <v>OK</v>
      </c>
      <c r="CH67" s="377" t="s">
        <v>334</v>
      </c>
      <c r="CI67" s="230"/>
      <c r="CJ67" s="183" t="str">
        <f t="shared" si="192"/>
        <v/>
      </c>
      <c r="CK67" s="203" t="str">
        <f t="shared" si="30"/>
        <v>OK</v>
      </c>
      <c r="CL67" s="377" t="s">
        <v>334</v>
      </c>
      <c r="CM67" s="230"/>
      <c r="CN67" s="183" t="str">
        <f t="shared" si="193"/>
        <v/>
      </c>
      <c r="CO67" s="203" t="str">
        <f t="shared" si="234"/>
        <v>OK</v>
      </c>
      <c r="CP67" s="377" t="s">
        <v>334</v>
      </c>
      <c r="CQ67" s="230"/>
      <c r="CR67" s="183" t="str">
        <f t="shared" si="194"/>
        <v/>
      </c>
      <c r="CS67" s="203" t="str">
        <f t="shared" si="235"/>
        <v>OK</v>
      </c>
      <c r="CT67" s="377" t="s">
        <v>334</v>
      </c>
      <c r="CU67" s="230"/>
      <c r="CV67" s="183" t="str">
        <f t="shared" si="195"/>
        <v/>
      </c>
      <c r="CW67" s="203" t="str">
        <f t="shared" si="36"/>
        <v>OK</v>
      </c>
      <c r="CX67" s="377" t="s">
        <v>334</v>
      </c>
      <c r="CY67" s="230"/>
      <c r="CZ67" s="183" t="str">
        <f t="shared" si="196"/>
        <v/>
      </c>
      <c r="DA67" s="203" t="str">
        <f t="shared" si="236"/>
        <v>OK</v>
      </c>
      <c r="DB67" s="377" t="s">
        <v>334</v>
      </c>
      <c r="DC67" s="230"/>
      <c r="DD67" s="183" t="str">
        <f t="shared" si="197"/>
        <v/>
      </c>
      <c r="DE67" s="203" t="str">
        <f t="shared" si="237"/>
        <v>OK</v>
      </c>
      <c r="DF67" s="377" t="s">
        <v>334</v>
      </c>
      <c r="DG67" s="230"/>
      <c r="DH67" s="183" t="str">
        <f t="shared" si="198"/>
        <v/>
      </c>
      <c r="DI67" s="203" t="str">
        <f t="shared" si="42"/>
        <v>OK</v>
      </c>
      <c r="DJ67" s="377" t="s">
        <v>334</v>
      </c>
      <c r="DK67" s="230"/>
      <c r="DL67" s="183" t="str">
        <f t="shared" si="199"/>
        <v/>
      </c>
      <c r="DM67" s="203" t="str">
        <f t="shared" si="238"/>
        <v>OK</v>
      </c>
      <c r="DN67" s="377" t="s">
        <v>334</v>
      </c>
      <c r="DO67" s="230"/>
      <c r="DP67" s="183" t="str">
        <f t="shared" si="200"/>
        <v/>
      </c>
      <c r="DQ67" s="203" t="str">
        <f t="shared" si="239"/>
        <v>OK</v>
      </c>
      <c r="DR67" s="377" t="s">
        <v>334</v>
      </c>
      <c r="DS67" s="230"/>
      <c r="DT67" s="183" t="str">
        <f t="shared" si="201"/>
        <v/>
      </c>
      <c r="DU67" s="203" t="str">
        <f t="shared" si="48"/>
        <v>OK</v>
      </c>
      <c r="DV67" s="377" t="s">
        <v>334</v>
      </c>
      <c r="DW67" s="230"/>
      <c r="DX67" s="183" t="str">
        <f t="shared" si="202"/>
        <v/>
      </c>
      <c r="DY67" s="203" t="str">
        <f t="shared" ref="DY67:DY81" si="240">IF(OR(DW$8="判定対象外",DX67="-"),"-",IF(DW67=DX67,"OK","NG"))</f>
        <v>OK</v>
      </c>
      <c r="DZ67" s="377" t="s">
        <v>334</v>
      </c>
      <c r="EA67" s="230"/>
      <c r="EB67" s="183" t="str">
        <f t="shared" si="203"/>
        <v/>
      </c>
      <c r="EC67" s="203" t="str">
        <f t="shared" ref="EC67:EC81" si="241">IF(OR(EA$8="判定対象外",EB67="-"),"-",IF(EA67=EB67,"OK","NG"))</f>
        <v>OK</v>
      </c>
      <c r="ED67" s="377" t="s">
        <v>334</v>
      </c>
      <c r="EE67" s="230"/>
      <c r="EF67" s="183" t="str">
        <f t="shared" si="204"/>
        <v/>
      </c>
      <c r="EG67" s="203" t="str">
        <f t="shared" si="54"/>
        <v>OK</v>
      </c>
      <c r="EH67" s="378"/>
      <c r="EI67" s="230"/>
      <c r="EJ67" s="183" t="str">
        <f>IF($AB67="I","",IF($AA67="","",IF(EH67="","",EH67)))</f>
        <v/>
      </c>
      <c r="EK67" s="203" t="str">
        <f>IF(OR(EI$8="判定対象外",EJ67="-"),"-",IF(EI67=EJ67,"OK","NG"))</f>
        <v>OK</v>
      </c>
      <c r="EL67" s="379" t="s">
        <v>581</v>
      </c>
      <c r="EM67" s="230"/>
      <c r="EN67" s="183" t="str">
        <f>IF($AB67="I","",IF($AA67="","",IF(EL67="","",EL67)))</f>
        <v/>
      </c>
      <c r="EO67" s="203" t="str">
        <f>IF(OR(EM$8="判定対象外",EN67="-"),"-",IF(EM67=EN67,"OK","NG"))</f>
        <v>OK</v>
      </c>
      <c r="EP67" s="379" t="s">
        <v>573</v>
      </c>
      <c r="EQ67" s="230"/>
      <c r="ER67" s="183" t="str">
        <f t="shared" si="207"/>
        <v/>
      </c>
      <c r="ES67" s="203" t="str">
        <f t="shared" si="60"/>
        <v>OK</v>
      </c>
      <c r="ET67" s="377" t="s">
        <v>577</v>
      </c>
      <c r="EU67" s="230"/>
      <c r="EV67" s="183" t="str">
        <f>IF($AB67="I","",IF($AA67="","",IF(ET67="","",ET67)))</f>
        <v/>
      </c>
      <c r="EW67" s="203" t="str">
        <f t="shared" si="223"/>
        <v>OK</v>
      </c>
      <c r="EX67" s="377" t="s">
        <v>577</v>
      </c>
      <c r="EY67" s="230"/>
      <c r="EZ67" s="183" t="str">
        <f>IF($AB67="I","",IF($AA67="","",IF(EX67="","",EX67)))</f>
        <v/>
      </c>
      <c r="FA67" s="203" t="str">
        <f t="shared" si="224"/>
        <v>OK</v>
      </c>
      <c r="FB67" s="377" t="s">
        <v>577</v>
      </c>
      <c r="FC67" s="230"/>
      <c r="FD67" s="183" t="str">
        <f t="shared" si="210"/>
        <v/>
      </c>
      <c r="FE67" s="203" t="str">
        <f t="shared" si="66"/>
        <v>OK</v>
      </c>
      <c r="FF67" s="377" t="s">
        <v>577</v>
      </c>
      <c r="FG67" s="230"/>
      <c r="FH67" s="183" t="str">
        <f t="shared" si="211"/>
        <v/>
      </c>
      <c r="FI67" s="203" t="str">
        <f t="shared" si="225"/>
        <v>OK</v>
      </c>
      <c r="FJ67" s="377" t="s">
        <v>577</v>
      </c>
      <c r="FK67" s="230"/>
      <c r="FL67" s="183" t="str">
        <f t="shared" si="212"/>
        <v/>
      </c>
      <c r="FM67" s="203" t="str">
        <f t="shared" si="226"/>
        <v>OK</v>
      </c>
      <c r="FN67" s="377" t="s">
        <v>577</v>
      </c>
      <c r="FO67" s="230"/>
      <c r="FP67" s="183" t="str">
        <f t="shared" si="213"/>
        <v/>
      </c>
      <c r="FQ67" s="203" t="str">
        <f t="shared" si="72"/>
        <v>OK</v>
      </c>
      <c r="FR67" s="377" t="s">
        <v>577</v>
      </c>
      <c r="FS67" s="230"/>
      <c r="FT67" s="183" t="str">
        <f t="shared" si="214"/>
        <v/>
      </c>
      <c r="FU67" s="203" t="str">
        <f t="shared" si="227"/>
        <v>OK</v>
      </c>
      <c r="FV67" s="377" t="s">
        <v>577</v>
      </c>
      <c r="FW67" s="230"/>
      <c r="FX67" s="183" t="str">
        <f t="shared" si="215"/>
        <v/>
      </c>
      <c r="FY67" s="203" t="str">
        <f t="shared" si="228"/>
        <v>OK</v>
      </c>
      <c r="FZ67" s="377" t="s">
        <v>577</v>
      </c>
      <c r="GA67" s="230"/>
      <c r="GB67" s="183" t="str">
        <f t="shared" si="216"/>
        <v/>
      </c>
      <c r="GC67" s="203" t="str">
        <f t="shared" si="78"/>
        <v>OK</v>
      </c>
      <c r="GD67" s="377" t="s">
        <v>577</v>
      </c>
      <c r="GE67" s="230"/>
      <c r="GF67" s="183" t="str">
        <f t="shared" si="217"/>
        <v/>
      </c>
      <c r="GG67" s="203" t="str">
        <f t="shared" si="229"/>
        <v>OK</v>
      </c>
      <c r="GH67" s="377" t="s">
        <v>577</v>
      </c>
      <c r="GI67" s="230"/>
      <c r="GJ67" s="183" t="str">
        <f t="shared" si="218"/>
        <v/>
      </c>
      <c r="GK67" s="203" t="str">
        <f t="shared" si="230"/>
        <v>OK</v>
      </c>
      <c r="GL67" s="377" t="s">
        <v>577</v>
      </c>
      <c r="GM67" s="230"/>
      <c r="GN67" s="183" t="str">
        <f t="shared" si="219"/>
        <v/>
      </c>
      <c r="GO67" s="203" t="str">
        <f t="shared" si="84"/>
        <v>OK</v>
      </c>
      <c r="GP67" s="378" t="s">
        <v>577</v>
      </c>
      <c r="GQ67" s="230"/>
      <c r="GR67" s="183" t="str">
        <f t="shared" si="220"/>
        <v/>
      </c>
      <c r="GS67" s="203" t="str">
        <f t="shared" si="231"/>
        <v>OK</v>
      </c>
      <c r="GT67" s="202"/>
      <c r="GU67" s="202"/>
      <c r="GV67" s="201"/>
      <c r="GW67" s="201"/>
      <c r="GX67" s="201"/>
    </row>
    <row r="68" spans="1:206">
      <c r="A68" s="200" t="s">
        <v>333</v>
      </c>
      <c r="B68" s="225">
        <f t="shared" si="221"/>
        <v>61</v>
      </c>
      <c r="C68" s="229"/>
      <c r="D68" s="229"/>
      <c r="E68" s="228"/>
      <c r="F68" s="228"/>
      <c r="G68" s="222" t="s">
        <v>331</v>
      </c>
      <c r="H68" s="220"/>
      <c r="I68" s="209"/>
      <c r="J68" s="217" t="s">
        <v>326</v>
      </c>
      <c r="K68" s="219"/>
      <c r="L68" s="219"/>
      <c r="M68" s="218"/>
      <c r="N68" s="217"/>
      <c r="O68" s="216"/>
      <c r="P68" s="212"/>
      <c r="Q68" s="212"/>
      <c r="R68" s="215"/>
      <c r="S68" s="214"/>
      <c r="T68" s="212"/>
      <c r="U68" s="213"/>
      <c r="V68" s="212"/>
      <c r="W68" s="211" t="str">
        <f t="shared" si="222"/>
        <v>4</v>
      </c>
      <c r="X68" s="210" t="s">
        <v>332</v>
      </c>
      <c r="Y68" s="210">
        <v>1</v>
      </c>
      <c r="Z68" s="210">
        <v>180</v>
      </c>
      <c r="AA68" s="209" t="s">
        <v>55</v>
      </c>
      <c r="AB68" s="209" t="s">
        <v>306</v>
      </c>
      <c r="AC68" s="207"/>
      <c r="AD68" s="377" t="s">
        <v>331</v>
      </c>
      <c r="AE68" s="230"/>
      <c r="AF68" s="183" t="str">
        <f t="shared" si="178"/>
        <v/>
      </c>
      <c r="AG68" s="203" t="str">
        <f t="shared" si="175"/>
        <v>OK</v>
      </c>
      <c r="AH68" s="377" t="s">
        <v>331</v>
      </c>
      <c r="AI68" s="230"/>
      <c r="AJ68" s="183" t="str">
        <f t="shared" si="179"/>
        <v/>
      </c>
      <c r="AK68" s="203" t="str">
        <f t="shared" si="176"/>
        <v>OK</v>
      </c>
      <c r="AL68" s="377" t="s">
        <v>331</v>
      </c>
      <c r="AM68" s="230"/>
      <c r="AN68" s="183" t="str">
        <f t="shared" si="180"/>
        <v/>
      </c>
      <c r="AO68" s="203" t="str">
        <f t="shared" si="177"/>
        <v>OK</v>
      </c>
      <c r="AP68" s="377" t="s">
        <v>331</v>
      </c>
      <c r="AQ68" s="230"/>
      <c r="AR68" s="183" t="str">
        <f t="shared" si="181"/>
        <v/>
      </c>
      <c r="AS68" s="203" t="str">
        <f t="shared" si="8"/>
        <v>OK</v>
      </c>
      <c r="AT68" s="377" t="s">
        <v>331</v>
      </c>
      <c r="AU68" s="230"/>
      <c r="AV68" s="183" t="str">
        <f t="shared" si="182"/>
        <v/>
      </c>
      <c r="AW68" s="203" t="str">
        <f t="shared" si="10"/>
        <v>OK</v>
      </c>
      <c r="AX68" s="377" t="s">
        <v>331</v>
      </c>
      <c r="AY68" s="230"/>
      <c r="AZ68" s="183" t="str">
        <f t="shared" si="183"/>
        <v/>
      </c>
      <c r="BA68" s="203" t="str">
        <f t="shared" si="12"/>
        <v>OK</v>
      </c>
      <c r="BB68" s="377" t="s">
        <v>331</v>
      </c>
      <c r="BC68" s="230"/>
      <c r="BD68" s="183" t="str">
        <f t="shared" si="184"/>
        <v/>
      </c>
      <c r="BE68" s="203" t="str">
        <f t="shared" si="14"/>
        <v>OK</v>
      </c>
      <c r="BF68" s="377" t="s">
        <v>331</v>
      </c>
      <c r="BG68" s="230"/>
      <c r="BH68" s="183" t="str">
        <f t="shared" si="185"/>
        <v/>
      </c>
      <c r="BI68" s="203" t="str">
        <f t="shared" si="16"/>
        <v>OK</v>
      </c>
      <c r="BJ68" s="377" t="s">
        <v>331</v>
      </c>
      <c r="BK68" s="230"/>
      <c r="BL68" s="183" t="str">
        <f t="shared" si="186"/>
        <v/>
      </c>
      <c r="BM68" s="203" t="str">
        <f t="shared" si="18"/>
        <v>OK</v>
      </c>
      <c r="BN68" s="377" t="s">
        <v>331</v>
      </c>
      <c r="BO68" s="230"/>
      <c r="BP68" s="183" t="str">
        <f t="shared" si="187"/>
        <v/>
      </c>
      <c r="BQ68" s="203" t="str">
        <f t="shared" si="20"/>
        <v>OK</v>
      </c>
      <c r="BR68" s="377" t="s">
        <v>331</v>
      </c>
      <c r="BS68" s="230"/>
      <c r="BT68" s="183" t="str">
        <f t="shared" si="188"/>
        <v/>
      </c>
      <c r="BU68" s="203" t="str">
        <f t="shared" si="22"/>
        <v>OK</v>
      </c>
      <c r="BV68" s="377" t="s">
        <v>331</v>
      </c>
      <c r="BW68" s="230"/>
      <c r="BX68" s="183" t="str">
        <f t="shared" si="189"/>
        <v/>
      </c>
      <c r="BY68" s="203" t="str">
        <f t="shared" si="24"/>
        <v>OK</v>
      </c>
      <c r="BZ68" s="377" t="s">
        <v>331</v>
      </c>
      <c r="CA68" s="230"/>
      <c r="CB68" s="183" t="str">
        <f t="shared" si="190"/>
        <v/>
      </c>
      <c r="CC68" s="203" t="str">
        <f t="shared" si="232"/>
        <v>OK</v>
      </c>
      <c r="CD68" s="377" t="s">
        <v>331</v>
      </c>
      <c r="CE68" s="230"/>
      <c r="CF68" s="183" t="str">
        <f t="shared" si="191"/>
        <v/>
      </c>
      <c r="CG68" s="203" t="str">
        <f t="shared" si="233"/>
        <v>OK</v>
      </c>
      <c r="CH68" s="377" t="s">
        <v>331</v>
      </c>
      <c r="CI68" s="230"/>
      <c r="CJ68" s="183" t="str">
        <f t="shared" si="192"/>
        <v/>
      </c>
      <c r="CK68" s="203" t="str">
        <f t="shared" si="30"/>
        <v>OK</v>
      </c>
      <c r="CL68" s="377" t="s">
        <v>331</v>
      </c>
      <c r="CM68" s="230"/>
      <c r="CN68" s="183" t="str">
        <f t="shared" si="193"/>
        <v/>
      </c>
      <c r="CO68" s="203" t="str">
        <f t="shared" si="234"/>
        <v>OK</v>
      </c>
      <c r="CP68" s="377" t="s">
        <v>331</v>
      </c>
      <c r="CQ68" s="230"/>
      <c r="CR68" s="183" t="str">
        <f t="shared" si="194"/>
        <v/>
      </c>
      <c r="CS68" s="203" t="str">
        <f t="shared" si="235"/>
        <v>OK</v>
      </c>
      <c r="CT68" s="377" t="s">
        <v>331</v>
      </c>
      <c r="CU68" s="230"/>
      <c r="CV68" s="183" t="str">
        <f t="shared" si="195"/>
        <v/>
      </c>
      <c r="CW68" s="203" t="str">
        <f t="shared" si="36"/>
        <v>OK</v>
      </c>
      <c r="CX68" s="377" t="s">
        <v>331</v>
      </c>
      <c r="CY68" s="230"/>
      <c r="CZ68" s="183" t="str">
        <f t="shared" si="196"/>
        <v/>
      </c>
      <c r="DA68" s="203" t="str">
        <f t="shared" si="236"/>
        <v>OK</v>
      </c>
      <c r="DB68" s="377" t="s">
        <v>331</v>
      </c>
      <c r="DC68" s="230"/>
      <c r="DD68" s="183" t="str">
        <f t="shared" si="197"/>
        <v/>
      </c>
      <c r="DE68" s="203" t="str">
        <f t="shared" si="237"/>
        <v>OK</v>
      </c>
      <c r="DF68" s="377" t="s">
        <v>331</v>
      </c>
      <c r="DG68" s="230"/>
      <c r="DH68" s="183" t="str">
        <f t="shared" si="198"/>
        <v/>
      </c>
      <c r="DI68" s="203" t="str">
        <f t="shared" si="42"/>
        <v>OK</v>
      </c>
      <c r="DJ68" s="377" t="s">
        <v>331</v>
      </c>
      <c r="DK68" s="230"/>
      <c r="DL68" s="183" t="str">
        <f t="shared" si="199"/>
        <v/>
      </c>
      <c r="DM68" s="203" t="str">
        <f t="shared" si="238"/>
        <v>OK</v>
      </c>
      <c r="DN68" s="377" t="s">
        <v>331</v>
      </c>
      <c r="DO68" s="230"/>
      <c r="DP68" s="183" t="str">
        <f t="shared" si="200"/>
        <v/>
      </c>
      <c r="DQ68" s="203" t="str">
        <f t="shared" si="239"/>
        <v>OK</v>
      </c>
      <c r="DR68" s="377" t="s">
        <v>331</v>
      </c>
      <c r="DS68" s="230"/>
      <c r="DT68" s="183" t="str">
        <f t="shared" si="201"/>
        <v/>
      </c>
      <c r="DU68" s="203" t="str">
        <f t="shared" si="48"/>
        <v>OK</v>
      </c>
      <c r="DV68" s="377" t="s">
        <v>331</v>
      </c>
      <c r="DW68" s="230"/>
      <c r="DX68" s="183" t="str">
        <f t="shared" si="202"/>
        <v/>
      </c>
      <c r="DY68" s="203" t="str">
        <f t="shared" si="240"/>
        <v>OK</v>
      </c>
      <c r="DZ68" s="377" t="s">
        <v>331</v>
      </c>
      <c r="EA68" s="230"/>
      <c r="EB68" s="183" t="str">
        <f t="shared" si="203"/>
        <v/>
      </c>
      <c r="EC68" s="203" t="str">
        <f t="shared" si="241"/>
        <v>OK</v>
      </c>
      <c r="ED68" s="377" t="s">
        <v>331</v>
      </c>
      <c r="EE68" s="230"/>
      <c r="EF68" s="183" t="str">
        <f t="shared" si="204"/>
        <v/>
      </c>
      <c r="EG68" s="203" t="str">
        <f t="shared" si="54"/>
        <v>OK</v>
      </c>
      <c r="EH68" s="377" t="s">
        <v>331</v>
      </c>
      <c r="EI68" s="230"/>
      <c r="EJ68" s="183" t="str">
        <f t="shared" si="205"/>
        <v/>
      </c>
      <c r="EK68" s="203" t="str">
        <f t="shared" ref="EK68:EK81" si="242">IF(OR(EI$8="判定対象外",EJ68="-"),"-",IF(EI68=EJ68,"OK","NG"))</f>
        <v>OK</v>
      </c>
      <c r="EL68" s="377" t="s">
        <v>331</v>
      </c>
      <c r="EM68" s="230"/>
      <c r="EN68" s="183" t="str">
        <f t="shared" si="206"/>
        <v/>
      </c>
      <c r="EO68" s="203" t="str">
        <f t="shared" ref="EO68:EO81" si="243">IF(OR(EM$8="判定対象外",EN68="-"),"-",IF(EM68=EN68,"OK","NG"))</f>
        <v>OK</v>
      </c>
      <c r="EP68" s="377" t="s">
        <v>331</v>
      </c>
      <c r="EQ68" s="230"/>
      <c r="ER68" s="183" t="str">
        <f t="shared" si="207"/>
        <v/>
      </c>
      <c r="ES68" s="203" t="str">
        <f t="shared" si="60"/>
        <v>OK</v>
      </c>
      <c r="ET68" s="378"/>
      <c r="EU68" s="230"/>
      <c r="EV68" s="183" t="str">
        <f>IF($AB68="I","",IF($AA68="","",IF(ET68="","",ET68)))</f>
        <v/>
      </c>
      <c r="EW68" s="203" t="str">
        <f>IF(OR(EU$8="判定対象外",EV68="-"),"-",IF(EU68=EV68,"OK","NG"))</f>
        <v>OK</v>
      </c>
      <c r="EX68" s="379" t="s">
        <v>581</v>
      </c>
      <c r="EY68" s="230"/>
      <c r="EZ68" s="183" t="str">
        <f>IF($AB68="I","",IF($AA68="","",IF(EX68="","",EX68)))</f>
        <v/>
      </c>
      <c r="FA68" s="203" t="str">
        <f>IF(OR(EY$8="判定対象外",EZ68="-"),"-",IF(EY68=EZ68,"OK","NG"))</f>
        <v>OK</v>
      </c>
      <c r="FB68" s="379" t="s">
        <v>573</v>
      </c>
      <c r="FC68" s="230"/>
      <c r="FD68" s="183" t="str">
        <f t="shared" si="210"/>
        <v/>
      </c>
      <c r="FE68" s="203" t="str">
        <f t="shared" si="66"/>
        <v>OK</v>
      </c>
      <c r="FF68" s="377" t="s">
        <v>578</v>
      </c>
      <c r="FG68" s="230"/>
      <c r="FH68" s="183" t="str">
        <f>IF($AB68="I","",IF($AA68="","",IF(FF68="","",FF68)))</f>
        <v/>
      </c>
      <c r="FI68" s="203" t="str">
        <f t="shared" si="225"/>
        <v>OK</v>
      </c>
      <c r="FJ68" s="377" t="s">
        <v>578</v>
      </c>
      <c r="FK68" s="230"/>
      <c r="FL68" s="183" t="str">
        <f>IF($AB68="I","",IF($AA68="","",IF(FJ68="","",FJ68)))</f>
        <v/>
      </c>
      <c r="FM68" s="203" t="str">
        <f t="shared" si="226"/>
        <v>OK</v>
      </c>
      <c r="FN68" s="377" t="s">
        <v>578</v>
      </c>
      <c r="FO68" s="230"/>
      <c r="FP68" s="183" t="str">
        <f t="shared" si="213"/>
        <v/>
      </c>
      <c r="FQ68" s="203" t="str">
        <f t="shared" si="72"/>
        <v>OK</v>
      </c>
      <c r="FR68" s="377" t="s">
        <v>578</v>
      </c>
      <c r="FS68" s="230"/>
      <c r="FT68" s="183" t="str">
        <f t="shared" si="214"/>
        <v/>
      </c>
      <c r="FU68" s="203" t="str">
        <f t="shared" si="227"/>
        <v>OK</v>
      </c>
      <c r="FV68" s="377" t="s">
        <v>578</v>
      </c>
      <c r="FW68" s="230"/>
      <c r="FX68" s="183" t="str">
        <f t="shared" si="215"/>
        <v/>
      </c>
      <c r="FY68" s="203" t="str">
        <f t="shared" si="228"/>
        <v>OK</v>
      </c>
      <c r="FZ68" s="377" t="s">
        <v>578</v>
      </c>
      <c r="GA68" s="230"/>
      <c r="GB68" s="183" t="str">
        <f t="shared" si="216"/>
        <v/>
      </c>
      <c r="GC68" s="203" t="str">
        <f t="shared" si="78"/>
        <v>OK</v>
      </c>
      <c r="GD68" s="377" t="s">
        <v>578</v>
      </c>
      <c r="GE68" s="230"/>
      <c r="GF68" s="183" t="str">
        <f t="shared" si="217"/>
        <v/>
      </c>
      <c r="GG68" s="203" t="str">
        <f t="shared" si="229"/>
        <v>OK</v>
      </c>
      <c r="GH68" s="377" t="s">
        <v>578</v>
      </c>
      <c r="GI68" s="230"/>
      <c r="GJ68" s="183" t="str">
        <f t="shared" si="218"/>
        <v/>
      </c>
      <c r="GK68" s="203" t="str">
        <f t="shared" si="230"/>
        <v>OK</v>
      </c>
      <c r="GL68" s="377" t="s">
        <v>578</v>
      </c>
      <c r="GM68" s="230"/>
      <c r="GN68" s="183" t="str">
        <f t="shared" si="219"/>
        <v/>
      </c>
      <c r="GO68" s="203" t="str">
        <f t="shared" si="84"/>
        <v>OK</v>
      </c>
      <c r="GP68" s="378" t="s">
        <v>578</v>
      </c>
      <c r="GQ68" s="230"/>
      <c r="GR68" s="183" t="str">
        <f t="shared" si="220"/>
        <v/>
      </c>
      <c r="GS68" s="203" t="str">
        <f t="shared" si="231"/>
        <v>OK</v>
      </c>
      <c r="GT68" s="202"/>
      <c r="GU68" s="202"/>
      <c r="GV68" s="201"/>
      <c r="GW68" s="201"/>
      <c r="GX68" s="201"/>
    </row>
    <row r="69" spans="1:206">
      <c r="A69" s="200" t="s">
        <v>298</v>
      </c>
      <c r="B69" s="225">
        <f t="shared" si="221"/>
        <v>62</v>
      </c>
      <c r="C69" s="229"/>
      <c r="D69" s="229"/>
      <c r="E69" s="228"/>
      <c r="F69" s="228"/>
      <c r="G69" s="222" t="s">
        <v>329</v>
      </c>
      <c r="H69" s="220"/>
      <c r="I69" s="209"/>
      <c r="J69" s="217" t="s">
        <v>326</v>
      </c>
      <c r="K69" s="219"/>
      <c r="L69" s="219"/>
      <c r="M69" s="218"/>
      <c r="N69" s="217"/>
      <c r="O69" s="216"/>
      <c r="P69" s="212"/>
      <c r="Q69" s="212"/>
      <c r="R69" s="215"/>
      <c r="S69" s="214"/>
      <c r="T69" s="212"/>
      <c r="U69" s="213"/>
      <c r="V69" s="212"/>
      <c r="W69" s="211" t="str">
        <f t="shared" si="222"/>
        <v>4</v>
      </c>
      <c r="X69" s="210" t="s">
        <v>330</v>
      </c>
      <c r="Y69" s="210">
        <v>1</v>
      </c>
      <c r="Z69" s="210">
        <v>180</v>
      </c>
      <c r="AA69" s="209" t="s">
        <v>55</v>
      </c>
      <c r="AB69" s="209" t="s">
        <v>306</v>
      </c>
      <c r="AC69" s="207"/>
      <c r="AD69" s="377" t="s">
        <v>329</v>
      </c>
      <c r="AE69" s="230"/>
      <c r="AF69" s="183" t="str">
        <f t="shared" si="178"/>
        <v/>
      </c>
      <c r="AG69" s="203" t="str">
        <f t="shared" si="175"/>
        <v>OK</v>
      </c>
      <c r="AH69" s="377" t="s">
        <v>329</v>
      </c>
      <c r="AI69" s="230"/>
      <c r="AJ69" s="183" t="str">
        <f t="shared" si="179"/>
        <v/>
      </c>
      <c r="AK69" s="203" t="str">
        <f t="shared" si="176"/>
        <v>OK</v>
      </c>
      <c r="AL69" s="377" t="s">
        <v>329</v>
      </c>
      <c r="AM69" s="230"/>
      <c r="AN69" s="183" t="str">
        <f t="shared" si="180"/>
        <v/>
      </c>
      <c r="AO69" s="203" t="str">
        <f t="shared" si="177"/>
        <v>OK</v>
      </c>
      <c r="AP69" s="377" t="s">
        <v>329</v>
      </c>
      <c r="AQ69" s="230"/>
      <c r="AR69" s="183" t="str">
        <f t="shared" si="181"/>
        <v/>
      </c>
      <c r="AS69" s="203" t="str">
        <f t="shared" si="8"/>
        <v>OK</v>
      </c>
      <c r="AT69" s="377" t="s">
        <v>329</v>
      </c>
      <c r="AU69" s="230"/>
      <c r="AV69" s="183" t="str">
        <f t="shared" si="182"/>
        <v/>
      </c>
      <c r="AW69" s="203" t="str">
        <f t="shared" si="10"/>
        <v>OK</v>
      </c>
      <c r="AX69" s="377" t="s">
        <v>329</v>
      </c>
      <c r="AY69" s="230"/>
      <c r="AZ69" s="183" t="str">
        <f t="shared" si="183"/>
        <v/>
      </c>
      <c r="BA69" s="203" t="str">
        <f t="shared" si="12"/>
        <v>OK</v>
      </c>
      <c r="BB69" s="377" t="s">
        <v>329</v>
      </c>
      <c r="BC69" s="230"/>
      <c r="BD69" s="183" t="str">
        <f t="shared" si="184"/>
        <v/>
      </c>
      <c r="BE69" s="203" t="str">
        <f t="shared" si="14"/>
        <v>OK</v>
      </c>
      <c r="BF69" s="377" t="s">
        <v>329</v>
      </c>
      <c r="BG69" s="230"/>
      <c r="BH69" s="183" t="str">
        <f t="shared" si="185"/>
        <v/>
      </c>
      <c r="BI69" s="203" t="str">
        <f t="shared" si="16"/>
        <v>OK</v>
      </c>
      <c r="BJ69" s="377" t="s">
        <v>329</v>
      </c>
      <c r="BK69" s="230"/>
      <c r="BL69" s="183" t="str">
        <f t="shared" si="186"/>
        <v/>
      </c>
      <c r="BM69" s="203" t="str">
        <f t="shared" si="18"/>
        <v>OK</v>
      </c>
      <c r="BN69" s="377" t="s">
        <v>329</v>
      </c>
      <c r="BO69" s="230"/>
      <c r="BP69" s="183" t="str">
        <f t="shared" si="187"/>
        <v/>
      </c>
      <c r="BQ69" s="203" t="str">
        <f t="shared" si="20"/>
        <v>OK</v>
      </c>
      <c r="BR69" s="377" t="s">
        <v>329</v>
      </c>
      <c r="BS69" s="230"/>
      <c r="BT69" s="183" t="str">
        <f t="shared" si="188"/>
        <v/>
      </c>
      <c r="BU69" s="203" t="str">
        <f t="shared" si="22"/>
        <v>OK</v>
      </c>
      <c r="BV69" s="377" t="s">
        <v>329</v>
      </c>
      <c r="BW69" s="230"/>
      <c r="BX69" s="183" t="str">
        <f t="shared" si="189"/>
        <v/>
      </c>
      <c r="BY69" s="203" t="str">
        <f t="shared" si="24"/>
        <v>OK</v>
      </c>
      <c r="BZ69" s="377" t="s">
        <v>329</v>
      </c>
      <c r="CA69" s="230"/>
      <c r="CB69" s="183" t="str">
        <f t="shared" si="190"/>
        <v/>
      </c>
      <c r="CC69" s="203" t="str">
        <f t="shared" si="232"/>
        <v>OK</v>
      </c>
      <c r="CD69" s="377" t="s">
        <v>329</v>
      </c>
      <c r="CE69" s="230"/>
      <c r="CF69" s="183" t="str">
        <f t="shared" si="191"/>
        <v/>
      </c>
      <c r="CG69" s="203" t="str">
        <f t="shared" si="233"/>
        <v>OK</v>
      </c>
      <c r="CH69" s="377" t="s">
        <v>329</v>
      </c>
      <c r="CI69" s="230"/>
      <c r="CJ69" s="183" t="str">
        <f t="shared" si="192"/>
        <v/>
      </c>
      <c r="CK69" s="203" t="str">
        <f t="shared" si="30"/>
        <v>OK</v>
      </c>
      <c r="CL69" s="377" t="s">
        <v>329</v>
      </c>
      <c r="CM69" s="230"/>
      <c r="CN69" s="183" t="str">
        <f t="shared" si="193"/>
        <v/>
      </c>
      <c r="CO69" s="203" t="str">
        <f t="shared" si="234"/>
        <v>OK</v>
      </c>
      <c r="CP69" s="377" t="s">
        <v>329</v>
      </c>
      <c r="CQ69" s="230"/>
      <c r="CR69" s="183" t="str">
        <f t="shared" si="194"/>
        <v/>
      </c>
      <c r="CS69" s="203" t="str">
        <f t="shared" si="235"/>
        <v>OK</v>
      </c>
      <c r="CT69" s="377" t="s">
        <v>329</v>
      </c>
      <c r="CU69" s="230"/>
      <c r="CV69" s="183" t="str">
        <f t="shared" si="195"/>
        <v/>
      </c>
      <c r="CW69" s="203" t="str">
        <f t="shared" si="36"/>
        <v>OK</v>
      </c>
      <c r="CX69" s="377" t="s">
        <v>329</v>
      </c>
      <c r="CY69" s="230"/>
      <c r="CZ69" s="183" t="str">
        <f t="shared" si="196"/>
        <v/>
      </c>
      <c r="DA69" s="203" t="str">
        <f t="shared" si="236"/>
        <v>OK</v>
      </c>
      <c r="DB69" s="377" t="s">
        <v>329</v>
      </c>
      <c r="DC69" s="230"/>
      <c r="DD69" s="183" t="str">
        <f t="shared" si="197"/>
        <v/>
      </c>
      <c r="DE69" s="203" t="str">
        <f t="shared" si="237"/>
        <v>OK</v>
      </c>
      <c r="DF69" s="377" t="s">
        <v>329</v>
      </c>
      <c r="DG69" s="230"/>
      <c r="DH69" s="183" t="str">
        <f t="shared" si="198"/>
        <v/>
      </c>
      <c r="DI69" s="203" t="str">
        <f t="shared" si="42"/>
        <v>OK</v>
      </c>
      <c r="DJ69" s="377" t="s">
        <v>329</v>
      </c>
      <c r="DK69" s="230"/>
      <c r="DL69" s="183" t="str">
        <f t="shared" si="199"/>
        <v/>
      </c>
      <c r="DM69" s="203" t="str">
        <f t="shared" si="238"/>
        <v>OK</v>
      </c>
      <c r="DN69" s="377" t="s">
        <v>329</v>
      </c>
      <c r="DO69" s="230"/>
      <c r="DP69" s="183" t="str">
        <f t="shared" si="200"/>
        <v/>
      </c>
      <c r="DQ69" s="203" t="str">
        <f t="shared" si="239"/>
        <v>OK</v>
      </c>
      <c r="DR69" s="377" t="s">
        <v>329</v>
      </c>
      <c r="DS69" s="230"/>
      <c r="DT69" s="183" t="str">
        <f t="shared" si="201"/>
        <v/>
      </c>
      <c r="DU69" s="203" t="str">
        <f t="shared" si="48"/>
        <v>OK</v>
      </c>
      <c r="DV69" s="377" t="s">
        <v>329</v>
      </c>
      <c r="DW69" s="230"/>
      <c r="DX69" s="183" t="str">
        <f t="shared" si="202"/>
        <v/>
      </c>
      <c r="DY69" s="203" t="str">
        <f t="shared" si="240"/>
        <v>OK</v>
      </c>
      <c r="DZ69" s="377" t="s">
        <v>329</v>
      </c>
      <c r="EA69" s="230"/>
      <c r="EB69" s="183" t="str">
        <f t="shared" si="203"/>
        <v/>
      </c>
      <c r="EC69" s="203" t="str">
        <f t="shared" si="241"/>
        <v>OK</v>
      </c>
      <c r="ED69" s="377" t="s">
        <v>329</v>
      </c>
      <c r="EE69" s="230"/>
      <c r="EF69" s="183" t="str">
        <f t="shared" si="204"/>
        <v/>
      </c>
      <c r="EG69" s="203" t="str">
        <f t="shared" si="54"/>
        <v>OK</v>
      </c>
      <c r="EH69" s="377" t="s">
        <v>329</v>
      </c>
      <c r="EI69" s="230"/>
      <c r="EJ69" s="183" t="str">
        <f t="shared" si="205"/>
        <v/>
      </c>
      <c r="EK69" s="203" t="str">
        <f t="shared" si="242"/>
        <v>OK</v>
      </c>
      <c r="EL69" s="377" t="s">
        <v>329</v>
      </c>
      <c r="EM69" s="230"/>
      <c r="EN69" s="183" t="str">
        <f t="shared" si="206"/>
        <v/>
      </c>
      <c r="EO69" s="203" t="str">
        <f t="shared" si="243"/>
        <v>OK</v>
      </c>
      <c r="EP69" s="377" t="s">
        <v>329</v>
      </c>
      <c r="EQ69" s="230"/>
      <c r="ER69" s="183" t="str">
        <f t="shared" si="207"/>
        <v/>
      </c>
      <c r="ES69" s="203" t="str">
        <f t="shared" si="60"/>
        <v>OK</v>
      </c>
      <c r="ET69" s="377" t="s">
        <v>329</v>
      </c>
      <c r="EU69" s="230"/>
      <c r="EV69" s="183" t="str">
        <f t="shared" si="208"/>
        <v/>
      </c>
      <c r="EW69" s="203" t="str">
        <f t="shared" ref="EW69:EW81" si="244">IF(OR(EU$8="判定対象外",EV69="-"),"-",IF(EU69=EV69,"OK","NG"))</f>
        <v>OK</v>
      </c>
      <c r="EX69" s="377" t="s">
        <v>329</v>
      </c>
      <c r="EY69" s="230"/>
      <c r="EZ69" s="183" t="str">
        <f t="shared" si="209"/>
        <v/>
      </c>
      <c r="FA69" s="203" t="str">
        <f t="shared" ref="FA69:FA81" si="245">IF(OR(EY$8="判定対象外",EZ69="-"),"-",IF(EY69=EZ69,"OK","NG"))</f>
        <v>OK</v>
      </c>
      <c r="FB69" s="377" t="s">
        <v>329</v>
      </c>
      <c r="FC69" s="230"/>
      <c r="FD69" s="183" t="str">
        <f t="shared" si="210"/>
        <v/>
      </c>
      <c r="FE69" s="203" t="str">
        <f t="shared" si="66"/>
        <v>OK</v>
      </c>
      <c r="FF69" s="378"/>
      <c r="FG69" s="230"/>
      <c r="FH69" s="183" t="str">
        <f>IF($AB69="I","",IF($AA69="","",IF(FF69="","",FF69)))</f>
        <v/>
      </c>
      <c r="FI69" s="203" t="str">
        <f>IF(OR(FG$8="判定対象外",FH69="-"),"-",IF(FG69=FH69,"OK","NG"))</f>
        <v>OK</v>
      </c>
      <c r="FJ69" s="379" t="s">
        <v>581</v>
      </c>
      <c r="FK69" s="230"/>
      <c r="FL69" s="183" t="str">
        <f>IF($AB69="I","",IF($AA69="","",IF(FJ69="","",FJ69)))</f>
        <v/>
      </c>
      <c r="FM69" s="203" t="str">
        <f>IF(OR(FK$8="判定対象外",FL69="-"),"-",IF(FK69=FL69,"OK","NG"))</f>
        <v>OK</v>
      </c>
      <c r="FN69" s="379" t="s">
        <v>573</v>
      </c>
      <c r="FO69" s="230"/>
      <c r="FP69" s="183" t="str">
        <f t="shared" si="213"/>
        <v/>
      </c>
      <c r="FQ69" s="203" t="str">
        <f t="shared" si="72"/>
        <v>OK</v>
      </c>
      <c r="FR69" s="377" t="s">
        <v>579</v>
      </c>
      <c r="FS69" s="230"/>
      <c r="FT69" s="183" t="str">
        <f>IF($AB69="I","",IF($AA69="","",IF(FR69="","",FR69)))</f>
        <v/>
      </c>
      <c r="FU69" s="203" t="str">
        <f t="shared" si="227"/>
        <v>OK</v>
      </c>
      <c r="FV69" s="377" t="s">
        <v>579</v>
      </c>
      <c r="FW69" s="230"/>
      <c r="FX69" s="183" t="str">
        <f>IF($AB69="I","",IF($AA69="","",IF(FV69="","",FV69)))</f>
        <v/>
      </c>
      <c r="FY69" s="203" t="str">
        <f t="shared" si="228"/>
        <v>OK</v>
      </c>
      <c r="FZ69" s="377" t="s">
        <v>579</v>
      </c>
      <c r="GA69" s="230"/>
      <c r="GB69" s="183" t="str">
        <f t="shared" si="216"/>
        <v/>
      </c>
      <c r="GC69" s="203" t="str">
        <f t="shared" si="78"/>
        <v>OK</v>
      </c>
      <c r="GD69" s="377" t="s">
        <v>579</v>
      </c>
      <c r="GE69" s="230"/>
      <c r="GF69" s="183" t="str">
        <f t="shared" si="217"/>
        <v/>
      </c>
      <c r="GG69" s="203" t="str">
        <f t="shared" si="229"/>
        <v>OK</v>
      </c>
      <c r="GH69" s="377" t="s">
        <v>579</v>
      </c>
      <c r="GI69" s="230"/>
      <c r="GJ69" s="183" t="str">
        <f t="shared" si="218"/>
        <v/>
      </c>
      <c r="GK69" s="203" t="str">
        <f t="shared" si="230"/>
        <v>OK</v>
      </c>
      <c r="GL69" s="377" t="s">
        <v>579</v>
      </c>
      <c r="GM69" s="230"/>
      <c r="GN69" s="183" t="str">
        <f t="shared" si="219"/>
        <v/>
      </c>
      <c r="GO69" s="203" t="str">
        <f t="shared" si="84"/>
        <v>OK</v>
      </c>
      <c r="GP69" s="378" t="s">
        <v>579</v>
      </c>
      <c r="GQ69" s="230"/>
      <c r="GR69" s="183" t="str">
        <f t="shared" si="220"/>
        <v/>
      </c>
      <c r="GS69" s="203" t="str">
        <f t="shared" si="231"/>
        <v>OK</v>
      </c>
      <c r="GT69" s="202"/>
      <c r="GU69" s="202"/>
      <c r="GV69" s="201"/>
      <c r="GW69" s="201"/>
      <c r="GX69" s="201"/>
    </row>
    <row r="70" spans="1:206">
      <c r="A70" s="200" t="s">
        <v>298</v>
      </c>
      <c r="B70" s="225">
        <f t="shared" si="221"/>
        <v>63</v>
      </c>
      <c r="C70" s="229"/>
      <c r="D70" s="229"/>
      <c r="E70" s="228"/>
      <c r="F70" s="228"/>
      <c r="G70" s="222" t="s">
        <v>327</v>
      </c>
      <c r="H70" s="220"/>
      <c r="I70" s="209"/>
      <c r="J70" s="217" t="s">
        <v>326</v>
      </c>
      <c r="K70" s="219"/>
      <c r="L70" s="219"/>
      <c r="M70" s="218"/>
      <c r="N70" s="217"/>
      <c r="O70" s="216"/>
      <c r="P70" s="212"/>
      <c r="Q70" s="212"/>
      <c r="R70" s="215"/>
      <c r="S70" s="214"/>
      <c r="T70" s="212"/>
      <c r="U70" s="213"/>
      <c r="V70" s="212"/>
      <c r="W70" s="211" t="str">
        <f t="shared" si="222"/>
        <v>4</v>
      </c>
      <c r="X70" s="210" t="s">
        <v>328</v>
      </c>
      <c r="Y70" s="210">
        <v>1</v>
      </c>
      <c r="Z70" s="210">
        <v>180</v>
      </c>
      <c r="AA70" s="209" t="s">
        <v>55</v>
      </c>
      <c r="AB70" s="209" t="s">
        <v>306</v>
      </c>
      <c r="AC70" s="207"/>
      <c r="AD70" s="377" t="s">
        <v>327</v>
      </c>
      <c r="AE70" s="230"/>
      <c r="AF70" s="183" t="str">
        <f t="shared" si="178"/>
        <v/>
      </c>
      <c r="AG70" s="203" t="str">
        <f t="shared" si="175"/>
        <v>OK</v>
      </c>
      <c r="AH70" s="377" t="s">
        <v>327</v>
      </c>
      <c r="AI70" s="230"/>
      <c r="AJ70" s="183" t="str">
        <f t="shared" si="179"/>
        <v/>
      </c>
      <c r="AK70" s="203" t="str">
        <f t="shared" si="176"/>
        <v>OK</v>
      </c>
      <c r="AL70" s="377" t="s">
        <v>327</v>
      </c>
      <c r="AM70" s="230"/>
      <c r="AN70" s="183" t="str">
        <f t="shared" si="180"/>
        <v/>
      </c>
      <c r="AO70" s="203" t="str">
        <f t="shared" si="177"/>
        <v>OK</v>
      </c>
      <c r="AP70" s="377" t="s">
        <v>327</v>
      </c>
      <c r="AQ70" s="230"/>
      <c r="AR70" s="183" t="str">
        <f t="shared" si="181"/>
        <v/>
      </c>
      <c r="AS70" s="203" t="str">
        <f t="shared" si="8"/>
        <v>OK</v>
      </c>
      <c r="AT70" s="377" t="s">
        <v>327</v>
      </c>
      <c r="AU70" s="230"/>
      <c r="AV70" s="183" t="str">
        <f t="shared" si="182"/>
        <v/>
      </c>
      <c r="AW70" s="203" t="str">
        <f t="shared" si="10"/>
        <v>OK</v>
      </c>
      <c r="AX70" s="377" t="s">
        <v>327</v>
      </c>
      <c r="AY70" s="230"/>
      <c r="AZ70" s="183" t="str">
        <f t="shared" si="183"/>
        <v/>
      </c>
      <c r="BA70" s="203" t="str">
        <f t="shared" si="12"/>
        <v>OK</v>
      </c>
      <c r="BB70" s="377" t="s">
        <v>327</v>
      </c>
      <c r="BC70" s="230"/>
      <c r="BD70" s="183" t="str">
        <f t="shared" si="184"/>
        <v/>
      </c>
      <c r="BE70" s="203" t="str">
        <f t="shared" si="14"/>
        <v>OK</v>
      </c>
      <c r="BF70" s="377" t="s">
        <v>327</v>
      </c>
      <c r="BG70" s="230"/>
      <c r="BH70" s="183" t="str">
        <f t="shared" si="185"/>
        <v/>
      </c>
      <c r="BI70" s="203" t="str">
        <f t="shared" si="16"/>
        <v>OK</v>
      </c>
      <c r="BJ70" s="377" t="s">
        <v>327</v>
      </c>
      <c r="BK70" s="230"/>
      <c r="BL70" s="183" t="str">
        <f t="shared" si="186"/>
        <v/>
      </c>
      <c r="BM70" s="203" t="str">
        <f t="shared" si="18"/>
        <v>OK</v>
      </c>
      <c r="BN70" s="377" t="s">
        <v>327</v>
      </c>
      <c r="BO70" s="230"/>
      <c r="BP70" s="183" t="str">
        <f t="shared" si="187"/>
        <v/>
      </c>
      <c r="BQ70" s="203" t="str">
        <f t="shared" si="20"/>
        <v>OK</v>
      </c>
      <c r="BR70" s="377" t="s">
        <v>327</v>
      </c>
      <c r="BS70" s="230"/>
      <c r="BT70" s="183" t="str">
        <f t="shared" si="188"/>
        <v/>
      </c>
      <c r="BU70" s="203" t="str">
        <f t="shared" si="22"/>
        <v>OK</v>
      </c>
      <c r="BV70" s="377" t="s">
        <v>327</v>
      </c>
      <c r="BW70" s="230"/>
      <c r="BX70" s="183" t="str">
        <f t="shared" si="189"/>
        <v/>
      </c>
      <c r="BY70" s="203" t="str">
        <f t="shared" si="24"/>
        <v>OK</v>
      </c>
      <c r="BZ70" s="377" t="s">
        <v>327</v>
      </c>
      <c r="CA70" s="230"/>
      <c r="CB70" s="183" t="str">
        <f t="shared" si="190"/>
        <v/>
      </c>
      <c r="CC70" s="203" t="str">
        <f t="shared" si="232"/>
        <v>OK</v>
      </c>
      <c r="CD70" s="377" t="s">
        <v>327</v>
      </c>
      <c r="CE70" s="230"/>
      <c r="CF70" s="183" t="str">
        <f t="shared" si="191"/>
        <v/>
      </c>
      <c r="CG70" s="203" t="str">
        <f t="shared" si="233"/>
        <v>OK</v>
      </c>
      <c r="CH70" s="377" t="s">
        <v>327</v>
      </c>
      <c r="CI70" s="230"/>
      <c r="CJ70" s="183" t="str">
        <f t="shared" si="192"/>
        <v/>
      </c>
      <c r="CK70" s="203" t="str">
        <f t="shared" si="30"/>
        <v>OK</v>
      </c>
      <c r="CL70" s="377" t="s">
        <v>327</v>
      </c>
      <c r="CM70" s="230"/>
      <c r="CN70" s="183" t="str">
        <f t="shared" si="193"/>
        <v/>
      </c>
      <c r="CO70" s="203" t="str">
        <f t="shared" si="234"/>
        <v>OK</v>
      </c>
      <c r="CP70" s="377" t="s">
        <v>327</v>
      </c>
      <c r="CQ70" s="230"/>
      <c r="CR70" s="183" t="str">
        <f t="shared" si="194"/>
        <v/>
      </c>
      <c r="CS70" s="203" t="str">
        <f t="shared" si="235"/>
        <v>OK</v>
      </c>
      <c r="CT70" s="377" t="s">
        <v>327</v>
      </c>
      <c r="CU70" s="230"/>
      <c r="CV70" s="183" t="str">
        <f t="shared" si="195"/>
        <v/>
      </c>
      <c r="CW70" s="203" t="str">
        <f t="shared" si="36"/>
        <v>OK</v>
      </c>
      <c r="CX70" s="377" t="s">
        <v>327</v>
      </c>
      <c r="CY70" s="230"/>
      <c r="CZ70" s="183" t="str">
        <f t="shared" si="196"/>
        <v/>
      </c>
      <c r="DA70" s="203" t="str">
        <f t="shared" si="236"/>
        <v>OK</v>
      </c>
      <c r="DB70" s="377" t="s">
        <v>327</v>
      </c>
      <c r="DC70" s="230"/>
      <c r="DD70" s="183" t="str">
        <f t="shared" si="197"/>
        <v/>
      </c>
      <c r="DE70" s="203" t="str">
        <f t="shared" si="237"/>
        <v>OK</v>
      </c>
      <c r="DF70" s="377" t="s">
        <v>327</v>
      </c>
      <c r="DG70" s="230"/>
      <c r="DH70" s="183" t="str">
        <f t="shared" si="198"/>
        <v/>
      </c>
      <c r="DI70" s="203" t="str">
        <f t="shared" si="42"/>
        <v>OK</v>
      </c>
      <c r="DJ70" s="377" t="s">
        <v>327</v>
      </c>
      <c r="DK70" s="230"/>
      <c r="DL70" s="183" t="str">
        <f t="shared" si="199"/>
        <v/>
      </c>
      <c r="DM70" s="203" t="str">
        <f t="shared" si="238"/>
        <v>OK</v>
      </c>
      <c r="DN70" s="377" t="s">
        <v>327</v>
      </c>
      <c r="DO70" s="230"/>
      <c r="DP70" s="183" t="str">
        <f t="shared" si="200"/>
        <v/>
      </c>
      <c r="DQ70" s="203" t="str">
        <f t="shared" si="239"/>
        <v>OK</v>
      </c>
      <c r="DR70" s="377" t="s">
        <v>327</v>
      </c>
      <c r="DS70" s="230"/>
      <c r="DT70" s="183" t="str">
        <f t="shared" si="201"/>
        <v/>
      </c>
      <c r="DU70" s="203" t="str">
        <f t="shared" si="48"/>
        <v>OK</v>
      </c>
      <c r="DV70" s="377" t="s">
        <v>327</v>
      </c>
      <c r="DW70" s="230"/>
      <c r="DX70" s="183" t="str">
        <f t="shared" si="202"/>
        <v/>
      </c>
      <c r="DY70" s="203" t="str">
        <f t="shared" si="240"/>
        <v>OK</v>
      </c>
      <c r="DZ70" s="377" t="s">
        <v>327</v>
      </c>
      <c r="EA70" s="230"/>
      <c r="EB70" s="183" t="str">
        <f t="shared" si="203"/>
        <v/>
      </c>
      <c r="EC70" s="203" t="str">
        <f t="shared" si="241"/>
        <v>OK</v>
      </c>
      <c r="ED70" s="377" t="s">
        <v>327</v>
      </c>
      <c r="EE70" s="230"/>
      <c r="EF70" s="183" t="str">
        <f t="shared" si="204"/>
        <v/>
      </c>
      <c r="EG70" s="203" t="str">
        <f t="shared" si="54"/>
        <v>OK</v>
      </c>
      <c r="EH70" s="377" t="s">
        <v>327</v>
      </c>
      <c r="EI70" s="230"/>
      <c r="EJ70" s="183" t="str">
        <f t="shared" si="205"/>
        <v/>
      </c>
      <c r="EK70" s="203" t="str">
        <f t="shared" si="242"/>
        <v>OK</v>
      </c>
      <c r="EL70" s="377" t="s">
        <v>327</v>
      </c>
      <c r="EM70" s="230"/>
      <c r="EN70" s="183" t="str">
        <f t="shared" si="206"/>
        <v/>
      </c>
      <c r="EO70" s="203" t="str">
        <f t="shared" si="243"/>
        <v>OK</v>
      </c>
      <c r="EP70" s="377" t="s">
        <v>327</v>
      </c>
      <c r="EQ70" s="230"/>
      <c r="ER70" s="183" t="str">
        <f t="shared" si="207"/>
        <v/>
      </c>
      <c r="ES70" s="203" t="str">
        <f t="shared" si="60"/>
        <v>OK</v>
      </c>
      <c r="ET70" s="377" t="s">
        <v>327</v>
      </c>
      <c r="EU70" s="230"/>
      <c r="EV70" s="183" t="str">
        <f t="shared" si="208"/>
        <v/>
      </c>
      <c r="EW70" s="203" t="str">
        <f t="shared" si="244"/>
        <v>OK</v>
      </c>
      <c r="EX70" s="377" t="s">
        <v>327</v>
      </c>
      <c r="EY70" s="230"/>
      <c r="EZ70" s="183" t="str">
        <f t="shared" si="209"/>
        <v/>
      </c>
      <c r="FA70" s="203" t="str">
        <f t="shared" si="245"/>
        <v>OK</v>
      </c>
      <c r="FB70" s="377" t="s">
        <v>327</v>
      </c>
      <c r="FC70" s="230"/>
      <c r="FD70" s="183" t="str">
        <f t="shared" si="210"/>
        <v/>
      </c>
      <c r="FE70" s="203" t="str">
        <f t="shared" si="66"/>
        <v>OK</v>
      </c>
      <c r="FF70" s="377" t="s">
        <v>327</v>
      </c>
      <c r="FG70" s="230"/>
      <c r="FH70" s="183" t="str">
        <f t="shared" si="211"/>
        <v/>
      </c>
      <c r="FI70" s="203" t="str">
        <f t="shared" ref="FI70:FI81" si="246">IF(OR(FG$8="判定対象外",FH70="-"),"-",IF(FG70=FH70,"OK","NG"))</f>
        <v>OK</v>
      </c>
      <c r="FJ70" s="377" t="s">
        <v>327</v>
      </c>
      <c r="FK70" s="230"/>
      <c r="FL70" s="183" t="str">
        <f t="shared" si="212"/>
        <v/>
      </c>
      <c r="FM70" s="203" t="str">
        <f t="shared" ref="FM70:FM81" si="247">IF(OR(FK$8="判定対象外",FL70="-"),"-",IF(FK70=FL70,"OK","NG"))</f>
        <v>OK</v>
      </c>
      <c r="FN70" s="377" t="s">
        <v>327</v>
      </c>
      <c r="FO70" s="230"/>
      <c r="FP70" s="183" t="str">
        <f t="shared" si="213"/>
        <v/>
      </c>
      <c r="FQ70" s="203" t="str">
        <f t="shared" si="72"/>
        <v>OK</v>
      </c>
      <c r="FR70" s="378"/>
      <c r="FS70" s="230"/>
      <c r="FT70" s="183" t="str">
        <f>IF($AB70="I","",IF($AA70="","",IF(FR70="","",FR70)))</f>
        <v/>
      </c>
      <c r="FU70" s="203" t="str">
        <f>IF(OR(FS$8="判定対象外",FT70="-"),"-",IF(FS70=FT70,"OK","NG"))</f>
        <v>OK</v>
      </c>
      <c r="FV70" s="379" t="s">
        <v>581</v>
      </c>
      <c r="FW70" s="230"/>
      <c r="FX70" s="183" t="str">
        <f>IF($AB70="I","",IF($AA70="","",IF(FV70="","",FV70)))</f>
        <v/>
      </c>
      <c r="FY70" s="203" t="str">
        <f>IF(OR(FW$8="判定対象外",FX70="-"),"-",IF(FW70=FX70,"OK","NG"))</f>
        <v>OK</v>
      </c>
      <c r="FZ70" s="379" t="s">
        <v>582</v>
      </c>
      <c r="GA70" s="230"/>
      <c r="GB70" s="183" t="str">
        <f t="shared" si="216"/>
        <v/>
      </c>
      <c r="GC70" s="203" t="str">
        <f t="shared" si="78"/>
        <v>OK</v>
      </c>
      <c r="GD70" s="377" t="s">
        <v>580</v>
      </c>
      <c r="GE70" s="230"/>
      <c r="GF70" s="183" t="str">
        <f>IF($AB70="I","",IF($AA70="","",IF(GD70="","",GD70)))</f>
        <v/>
      </c>
      <c r="GG70" s="203" t="str">
        <f t="shared" si="229"/>
        <v>OK</v>
      </c>
      <c r="GH70" s="377" t="s">
        <v>580</v>
      </c>
      <c r="GI70" s="230"/>
      <c r="GJ70" s="183" t="str">
        <f>IF($AB70="I","",IF($AA70="","",IF(GH70="","",GH70)))</f>
        <v/>
      </c>
      <c r="GK70" s="203" t="str">
        <f t="shared" si="230"/>
        <v>OK</v>
      </c>
      <c r="GL70" s="377" t="s">
        <v>580</v>
      </c>
      <c r="GM70" s="230"/>
      <c r="GN70" s="183" t="str">
        <f t="shared" si="219"/>
        <v/>
      </c>
      <c r="GO70" s="203" t="str">
        <f t="shared" si="84"/>
        <v>OK</v>
      </c>
      <c r="GP70" s="378" t="s">
        <v>580</v>
      </c>
      <c r="GQ70" s="230"/>
      <c r="GR70" s="183" t="str">
        <f t="shared" si="220"/>
        <v/>
      </c>
      <c r="GS70" s="203" t="str">
        <f t="shared" si="231"/>
        <v>OK</v>
      </c>
      <c r="GT70" s="202"/>
      <c r="GU70" s="202"/>
      <c r="GV70" s="201"/>
      <c r="GW70" s="201"/>
      <c r="GX70" s="201"/>
    </row>
    <row r="71" spans="1:206">
      <c r="A71" s="200" t="s">
        <v>298</v>
      </c>
      <c r="B71" s="225">
        <f t="shared" si="221"/>
        <v>64</v>
      </c>
      <c r="C71" s="229"/>
      <c r="D71" s="229"/>
      <c r="E71" s="228"/>
      <c r="F71" s="228"/>
      <c r="G71" s="222" t="s">
        <v>324</v>
      </c>
      <c r="H71" s="220"/>
      <c r="I71" s="209"/>
      <c r="J71" s="217" t="s">
        <v>326</v>
      </c>
      <c r="K71" s="219"/>
      <c r="L71" s="219"/>
      <c r="M71" s="218"/>
      <c r="N71" s="217"/>
      <c r="O71" s="216"/>
      <c r="P71" s="212"/>
      <c r="Q71" s="212"/>
      <c r="R71" s="215"/>
      <c r="S71" s="214"/>
      <c r="T71" s="212"/>
      <c r="U71" s="213"/>
      <c r="V71" s="212"/>
      <c r="W71" s="211" t="str">
        <f t="shared" si="222"/>
        <v>4</v>
      </c>
      <c r="X71" s="210" t="s">
        <v>325</v>
      </c>
      <c r="Y71" s="210">
        <v>1</v>
      </c>
      <c r="Z71" s="210">
        <v>180</v>
      </c>
      <c r="AA71" s="209" t="s">
        <v>55</v>
      </c>
      <c r="AB71" s="209" t="s">
        <v>306</v>
      </c>
      <c r="AC71" s="207"/>
      <c r="AD71" s="377" t="s">
        <v>324</v>
      </c>
      <c r="AE71" s="230"/>
      <c r="AF71" s="183" t="str">
        <f t="shared" si="178"/>
        <v/>
      </c>
      <c r="AG71" s="203" t="str">
        <f t="shared" si="175"/>
        <v>OK</v>
      </c>
      <c r="AH71" s="377" t="s">
        <v>324</v>
      </c>
      <c r="AI71" s="230"/>
      <c r="AJ71" s="183" t="str">
        <f t="shared" si="179"/>
        <v/>
      </c>
      <c r="AK71" s="203" t="str">
        <f t="shared" si="176"/>
        <v>OK</v>
      </c>
      <c r="AL71" s="377" t="s">
        <v>324</v>
      </c>
      <c r="AM71" s="230"/>
      <c r="AN71" s="183" t="str">
        <f t="shared" si="180"/>
        <v/>
      </c>
      <c r="AO71" s="203" t="str">
        <f t="shared" si="177"/>
        <v>OK</v>
      </c>
      <c r="AP71" s="377" t="s">
        <v>324</v>
      </c>
      <c r="AQ71" s="230"/>
      <c r="AR71" s="183" t="str">
        <f t="shared" si="181"/>
        <v/>
      </c>
      <c r="AS71" s="203" t="str">
        <f t="shared" si="8"/>
        <v>OK</v>
      </c>
      <c r="AT71" s="377" t="s">
        <v>324</v>
      </c>
      <c r="AU71" s="230"/>
      <c r="AV71" s="183" t="str">
        <f t="shared" si="182"/>
        <v/>
      </c>
      <c r="AW71" s="203" t="str">
        <f t="shared" si="10"/>
        <v>OK</v>
      </c>
      <c r="AX71" s="377" t="s">
        <v>324</v>
      </c>
      <c r="AY71" s="230"/>
      <c r="AZ71" s="183" t="str">
        <f t="shared" si="183"/>
        <v/>
      </c>
      <c r="BA71" s="203" t="str">
        <f t="shared" si="12"/>
        <v>OK</v>
      </c>
      <c r="BB71" s="377" t="s">
        <v>324</v>
      </c>
      <c r="BC71" s="230"/>
      <c r="BD71" s="183" t="str">
        <f t="shared" si="184"/>
        <v/>
      </c>
      <c r="BE71" s="203" t="str">
        <f t="shared" si="14"/>
        <v>OK</v>
      </c>
      <c r="BF71" s="377" t="s">
        <v>324</v>
      </c>
      <c r="BG71" s="230"/>
      <c r="BH71" s="183" t="str">
        <f t="shared" si="185"/>
        <v/>
      </c>
      <c r="BI71" s="203" t="str">
        <f t="shared" si="16"/>
        <v>OK</v>
      </c>
      <c r="BJ71" s="377" t="s">
        <v>324</v>
      </c>
      <c r="BK71" s="230"/>
      <c r="BL71" s="183" t="str">
        <f t="shared" si="186"/>
        <v/>
      </c>
      <c r="BM71" s="203" t="str">
        <f t="shared" si="18"/>
        <v>OK</v>
      </c>
      <c r="BN71" s="377" t="s">
        <v>324</v>
      </c>
      <c r="BO71" s="230"/>
      <c r="BP71" s="183" t="str">
        <f t="shared" si="187"/>
        <v/>
      </c>
      <c r="BQ71" s="203" t="str">
        <f t="shared" si="20"/>
        <v>OK</v>
      </c>
      <c r="BR71" s="377" t="s">
        <v>324</v>
      </c>
      <c r="BS71" s="230"/>
      <c r="BT71" s="183" t="str">
        <f t="shared" si="188"/>
        <v/>
      </c>
      <c r="BU71" s="203" t="str">
        <f t="shared" si="22"/>
        <v>OK</v>
      </c>
      <c r="BV71" s="377" t="s">
        <v>324</v>
      </c>
      <c r="BW71" s="230"/>
      <c r="BX71" s="183" t="str">
        <f t="shared" si="189"/>
        <v/>
      </c>
      <c r="BY71" s="203" t="str">
        <f t="shared" si="24"/>
        <v>OK</v>
      </c>
      <c r="BZ71" s="377" t="s">
        <v>324</v>
      </c>
      <c r="CA71" s="230"/>
      <c r="CB71" s="183" t="str">
        <f t="shared" si="190"/>
        <v/>
      </c>
      <c r="CC71" s="203" t="str">
        <f t="shared" si="232"/>
        <v>OK</v>
      </c>
      <c r="CD71" s="377" t="s">
        <v>324</v>
      </c>
      <c r="CE71" s="230"/>
      <c r="CF71" s="183" t="str">
        <f t="shared" si="191"/>
        <v/>
      </c>
      <c r="CG71" s="203" t="str">
        <f t="shared" si="233"/>
        <v>OK</v>
      </c>
      <c r="CH71" s="377" t="s">
        <v>324</v>
      </c>
      <c r="CI71" s="230"/>
      <c r="CJ71" s="183" t="str">
        <f t="shared" si="192"/>
        <v/>
      </c>
      <c r="CK71" s="203" t="str">
        <f t="shared" si="30"/>
        <v>OK</v>
      </c>
      <c r="CL71" s="377" t="s">
        <v>324</v>
      </c>
      <c r="CM71" s="230"/>
      <c r="CN71" s="183" t="str">
        <f t="shared" si="193"/>
        <v/>
      </c>
      <c r="CO71" s="203" t="str">
        <f t="shared" si="234"/>
        <v>OK</v>
      </c>
      <c r="CP71" s="377" t="s">
        <v>324</v>
      </c>
      <c r="CQ71" s="230"/>
      <c r="CR71" s="183" t="str">
        <f t="shared" si="194"/>
        <v/>
      </c>
      <c r="CS71" s="203" t="str">
        <f t="shared" si="235"/>
        <v>OK</v>
      </c>
      <c r="CT71" s="377" t="s">
        <v>324</v>
      </c>
      <c r="CU71" s="230"/>
      <c r="CV71" s="183" t="str">
        <f t="shared" si="195"/>
        <v/>
      </c>
      <c r="CW71" s="203" t="str">
        <f t="shared" si="36"/>
        <v>OK</v>
      </c>
      <c r="CX71" s="377" t="s">
        <v>324</v>
      </c>
      <c r="CY71" s="230"/>
      <c r="CZ71" s="183" t="str">
        <f t="shared" si="196"/>
        <v/>
      </c>
      <c r="DA71" s="203" t="str">
        <f t="shared" si="236"/>
        <v>OK</v>
      </c>
      <c r="DB71" s="377" t="s">
        <v>324</v>
      </c>
      <c r="DC71" s="230"/>
      <c r="DD71" s="183" t="str">
        <f t="shared" si="197"/>
        <v/>
      </c>
      <c r="DE71" s="203" t="str">
        <f t="shared" si="237"/>
        <v>OK</v>
      </c>
      <c r="DF71" s="377" t="s">
        <v>324</v>
      </c>
      <c r="DG71" s="230"/>
      <c r="DH71" s="183" t="str">
        <f t="shared" si="198"/>
        <v/>
      </c>
      <c r="DI71" s="203" t="str">
        <f t="shared" si="42"/>
        <v>OK</v>
      </c>
      <c r="DJ71" s="377" t="s">
        <v>324</v>
      </c>
      <c r="DK71" s="230"/>
      <c r="DL71" s="183" t="str">
        <f t="shared" si="199"/>
        <v/>
      </c>
      <c r="DM71" s="203" t="str">
        <f t="shared" si="238"/>
        <v>OK</v>
      </c>
      <c r="DN71" s="377" t="s">
        <v>324</v>
      </c>
      <c r="DO71" s="230"/>
      <c r="DP71" s="183" t="str">
        <f t="shared" si="200"/>
        <v/>
      </c>
      <c r="DQ71" s="203" t="str">
        <f t="shared" si="239"/>
        <v>OK</v>
      </c>
      <c r="DR71" s="377" t="s">
        <v>324</v>
      </c>
      <c r="DS71" s="230"/>
      <c r="DT71" s="183" t="str">
        <f t="shared" si="201"/>
        <v/>
      </c>
      <c r="DU71" s="203" t="str">
        <f t="shared" si="48"/>
        <v>OK</v>
      </c>
      <c r="DV71" s="377" t="s">
        <v>324</v>
      </c>
      <c r="DW71" s="230"/>
      <c r="DX71" s="183" t="str">
        <f t="shared" si="202"/>
        <v/>
      </c>
      <c r="DY71" s="203" t="str">
        <f t="shared" si="240"/>
        <v>OK</v>
      </c>
      <c r="DZ71" s="377" t="s">
        <v>324</v>
      </c>
      <c r="EA71" s="230"/>
      <c r="EB71" s="183" t="str">
        <f t="shared" si="203"/>
        <v/>
      </c>
      <c r="EC71" s="203" t="str">
        <f t="shared" si="241"/>
        <v>OK</v>
      </c>
      <c r="ED71" s="377" t="s">
        <v>324</v>
      </c>
      <c r="EE71" s="230"/>
      <c r="EF71" s="183" t="str">
        <f t="shared" si="204"/>
        <v/>
      </c>
      <c r="EG71" s="203" t="str">
        <f t="shared" si="54"/>
        <v>OK</v>
      </c>
      <c r="EH71" s="377" t="s">
        <v>324</v>
      </c>
      <c r="EI71" s="230"/>
      <c r="EJ71" s="183" t="str">
        <f t="shared" si="205"/>
        <v/>
      </c>
      <c r="EK71" s="203" t="str">
        <f t="shared" si="242"/>
        <v>OK</v>
      </c>
      <c r="EL71" s="377" t="s">
        <v>324</v>
      </c>
      <c r="EM71" s="230"/>
      <c r="EN71" s="183" t="str">
        <f t="shared" si="206"/>
        <v/>
      </c>
      <c r="EO71" s="203" t="str">
        <f t="shared" si="243"/>
        <v>OK</v>
      </c>
      <c r="EP71" s="377" t="s">
        <v>324</v>
      </c>
      <c r="EQ71" s="230"/>
      <c r="ER71" s="183" t="str">
        <f t="shared" si="207"/>
        <v/>
      </c>
      <c r="ES71" s="203" t="str">
        <f t="shared" si="60"/>
        <v>OK</v>
      </c>
      <c r="ET71" s="377" t="s">
        <v>324</v>
      </c>
      <c r="EU71" s="230"/>
      <c r="EV71" s="183" t="str">
        <f t="shared" si="208"/>
        <v/>
      </c>
      <c r="EW71" s="203" t="str">
        <f t="shared" si="244"/>
        <v>OK</v>
      </c>
      <c r="EX71" s="377" t="s">
        <v>324</v>
      </c>
      <c r="EY71" s="230"/>
      <c r="EZ71" s="183" t="str">
        <f t="shared" si="209"/>
        <v/>
      </c>
      <c r="FA71" s="203" t="str">
        <f t="shared" si="245"/>
        <v>OK</v>
      </c>
      <c r="FB71" s="377" t="s">
        <v>324</v>
      </c>
      <c r="FC71" s="230"/>
      <c r="FD71" s="183" t="str">
        <f t="shared" si="210"/>
        <v/>
      </c>
      <c r="FE71" s="203" t="str">
        <f t="shared" si="66"/>
        <v>OK</v>
      </c>
      <c r="FF71" s="377" t="s">
        <v>324</v>
      </c>
      <c r="FG71" s="230"/>
      <c r="FH71" s="183" t="str">
        <f t="shared" si="211"/>
        <v/>
      </c>
      <c r="FI71" s="203" t="str">
        <f t="shared" si="246"/>
        <v>OK</v>
      </c>
      <c r="FJ71" s="377" t="s">
        <v>324</v>
      </c>
      <c r="FK71" s="230"/>
      <c r="FL71" s="183" t="str">
        <f t="shared" si="212"/>
        <v/>
      </c>
      <c r="FM71" s="203" t="str">
        <f t="shared" si="247"/>
        <v>OK</v>
      </c>
      <c r="FN71" s="377" t="s">
        <v>324</v>
      </c>
      <c r="FO71" s="230"/>
      <c r="FP71" s="183" t="str">
        <f t="shared" si="213"/>
        <v/>
      </c>
      <c r="FQ71" s="203" t="str">
        <f t="shared" si="72"/>
        <v>OK</v>
      </c>
      <c r="FR71" s="377" t="s">
        <v>324</v>
      </c>
      <c r="FS71" s="230"/>
      <c r="FT71" s="183" t="str">
        <f t="shared" si="214"/>
        <v/>
      </c>
      <c r="FU71" s="203" t="str">
        <f t="shared" ref="FU71:FU81" si="248">IF(OR(FS$8="判定対象外",FT71="-"),"-",IF(FS71=FT71,"OK","NG"))</f>
        <v>OK</v>
      </c>
      <c r="FV71" s="377" t="s">
        <v>324</v>
      </c>
      <c r="FW71" s="230"/>
      <c r="FX71" s="183" t="str">
        <f t="shared" si="215"/>
        <v/>
      </c>
      <c r="FY71" s="203" t="str">
        <f t="shared" ref="FY71:FY81" si="249">IF(OR(FW$8="判定対象外",FX71="-"),"-",IF(FW71=FX71,"OK","NG"))</f>
        <v>OK</v>
      </c>
      <c r="FZ71" s="377" t="s">
        <v>324</v>
      </c>
      <c r="GA71" s="230"/>
      <c r="GB71" s="183" t="str">
        <f t="shared" si="216"/>
        <v/>
      </c>
      <c r="GC71" s="203" t="str">
        <f t="shared" si="78"/>
        <v>OK</v>
      </c>
      <c r="GD71" s="378"/>
      <c r="GE71" s="230"/>
      <c r="GF71" s="183" t="str">
        <f>IF($AB71="I","",IF($AA71="","",IF(GD71="","",GD71)))</f>
        <v/>
      </c>
      <c r="GG71" s="203" t="str">
        <f>IF(OR(GE$8="判定対象外",GF71="-"),"-",IF(GE71=GF71,"OK","NG"))</f>
        <v>OK</v>
      </c>
      <c r="GH71" s="379" t="s">
        <v>581</v>
      </c>
      <c r="GI71" s="230"/>
      <c r="GJ71" s="183" t="str">
        <f>IF($AB71="I","",IF($AA71="","",IF(GH71="","",GH71)))</f>
        <v/>
      </c>
      <c r="GK71" s="203" t="str">
        <f>IF(OR(GI$8="判定対象外",GJ71="-"),"-",IF(GI71=GJ71,"OK","NG"))</f>
        <v>OK</v>
      </c>
      <c r="GL71" s="379" t="s">
        <v>583</v>
      </c>
      <c r="GM71" s="230"/>
      <c r="GN71" s="183" t="str">
        <f t="shared" si="219"/>
        <v/>
      </c>
      <c r="GO71" s="203" t="str">
        <f t="shared" si="84"/>
        <v>OK</v>
      </c>
      <c r="GP71" s="378" t="s">
        <v>584</v>
      </c>
      <c r="GQ71" s="230"/>
      <c r="GR71" s="183" t="str">
        <f t="shared" si="220"/>
        <v/>
      </c>
      <c r="GS71" s="203" t="str">
        <f t="shared" ref="GS71:GS81" si="250">IF(OR(GQ$8="判定対象外",GR71="-"),"-",IF(GQ71=GR71,"OK","NG"))</f>
        <v>OK</v>
      </c>
      <c r="GT71" s="202"/>
      <c r="GU71" s="202"/>
      <c r="GV71" s="201"/>
      <c r="GW71" s="201"/>
      <c r="GX71" s="201"/>
    </row>
    <row r="72" spans="1:206">
      <c r="A72" s="200" t="s">
        <v>298</v>
      </c>
      <c r="B72" s="225">
        <f t="shared" si="221"/>
        <v>65</v>
      </c>
      <c r="C72" s="229"/>
      <c r="D72" s="229"/>
      <c r="E72" s="228"/>
      <c r="F72" s="234" t="s">
        <v>323</v>
      </c>
      <c r="G72" s="233"/>
      <c r="H72" s="232"/>
      <c r="I72" s="209"/>
      <c r="J72" s="217"/>
      <c r="K72" s="219"/>
      <c r="L72" s="219"/>
      <c r="M72" s="218" t="s">
        <v>322</v>
      </c>
      <c r="N72" s="217"/>
      <c r="O72" s="216"/>
      <c r="P72" s="212"/>
      <c r="Q72" s="212"/>
      <c r="R72" s="215"/>
      <c r="S72" s="214"/>
      <c r="T72" s="212"/>
      <c r="U72" s="213"/>
      <c r="V72" s="212"/>
      <c r="W72" s="211" t="str">
        <f t="shared" si="222"/>
        <v>3</v>
      </c>
      <c r="X72" s="210" t="s">
        <v>321</v>
      </c>
      <c r="Y72" s="210"/>
      <c r="Z72" s="210"/>
      <c r="AA72" s="209"/>
      <c r="AB72" s="209" t="s">
        <v>306</v>
      </c>
      <c r="AC72" s="207"/>
      <c r="AD72" s="226"/>
      <c r="AE72" s="230"/>
      <c r="AF72" s="183" t="str">
        <f t="shared" si="178"/>
        <v/>
      </c>
      <c r="AG72" s="203" t="str">
        <f t="shared" ref="AG72:AG81" si="251">IF(OR(AE$8="判定対象外",AF72="-"),"-",IF(AE72=AF72,"OK","NG"))</f>
        <v>OK</v>
      </c>
      <c r="AH72" s="226"/>
      <c r="AI72" s="230"/>
      <c r="AJ72" s="183" t="str">
        <f t="shared" si="179"/>
        <v/>
      </c>
      <c r="AK72" s="203" t="str">
        <f t="shared" ref="AK72:AK81" si="252">IF(OR(AI$8="判定対象外",AJ72="-"),"-",IF(AI72=AJ72,"OK","NG"))</f>
        <v>OK</v>
      </c>
      <c r="AL72" s="226"/>
      <c r="AM72" s="230"/>
      <c r="AN72" s="183" t="str">
        <f t="shared" si="180"/>
        <v/>
      </c>
      <c r="AO72" s="203" t="str">
        <f t="shared" ref="AO72:AO81" si="253">IF(OR(AM$8="判定対象外",AN72="-"),"-",IF(AM72=AN72,"OK","NG"))</f>
        <v>OK</v>
      </c>
      <c r="AP72" s="226"/>
      <c r="AQ72" s="230"/>
      <c r="AR72" s="183" t="str">
        <f t="shared" si="181"/>
        <v/>
      </c>
      <c r="AS72" s="203" t="str">
        <f t="shared" ref="AS72:AS81" si="254">IF(OR(AQ$8="判定対象外",AR72="-"),"-",IF(AQ72=AR72,"OK","NG"))</f>
        <v>OK</v>
      </c>
      <c r="AT72" s="226"/>
      <c r="AU72" s="230"/>
      <c r="AV72" s="183" t="str">
        <f t="shared" si="182"/>
        <v/>
      </c>
      <c r="AW72" s="203" t="str">
        <f t="shared" ref="AW72:AW81" si="255">IF(OR(AU$8="判定対象外",AV72="-"),"-",IF(AU72=AV72,"OK","NG"))</f>
        <v>OK</v>
      </c>
      <c r="AX72" s="226"/>
      <c r="AY72" s="230"/>
      <c r="AZ72" s="183" t="str">
        <f t="shared" si="183"/>
        <v/>
      </c>
      <c r="BA72" s="203" t="str">
        <f t="shared" ref="BA72:BA81" si="256">IF(OR(AY$8="判定対象外",AZ72="-"),"-",IF(AY72=AZ72,"OK","NG"))</f>
        <v>OK</v>
      </c>
      <c r="BB72" s="226"/>
      <c r="BC72" s="230"/>
      <c r="BD72" s="183" t="str">
        <f t="shared" si="184"/>
        <v/>
      </c>
      <c r="BE72" s="203" t="str">
        <f t="shared" ref="BE72:BE81" si="257">IF(OR(BC$8="判定対象外",BD72="-"),"-",IF(BC72=BD72,"OK","NG"))</f>
        <v>OK</v>
      </c>
      <c r="BF72" s="226"/>
      <c r="BG72" s="230"/>
      <c r="BH72" s="183" t="str">
        <f t="shared" si="185"/>
        <v/>
      </c>
      <c r="BI72" s="203" t="str">
        <f t="shared" ref="BI72:BI81" si="258">IF(OR(BG$8="判定対象外",BH72="-"),"-",IF(BG72=BH72,"OK","NG"))</f>
        <v>OK</v>
      </c>
      <c r="BJ72" s="226"/>
      <c r="BK72" s="230"/>
      <c r="BL72" s="183" t="str">
        <f t="shared" si="186"/>
        <v/>
      </c>
      <c r="BM72" s="203" t="str">
        <f t="shared" ref="BM72:BM81" si="259">IF(OR(BK$8="判定対象外",BL72="-"),"-",IF(BK72=BL72,"OK","NG"))</f>
        <v>OK</v>
      </c>
      <c r="BN72" s="226"/>
      <c r="BO72" s="230"/>
      <c r="BP72" s="183" t="str">
        <f t="shared" si="187"/>
        <v/>
      </c>
      <c r="BQ72" s="203" t="str">
        <f t="shared" ref="BQ72:BQ81" si="260">IF(OR(BO$8="判定対象外",BP72="-"),"-",IF(BO72=BP72,"OK","NG"))</f>
        <v>OK</v>
      </c>
      <c r="BR72" s="226"/>
      <c r="BS72" s="230"/>
      <c r="BT72" s="183" t="str">
        <f t="shared" si="188"/>
        <v/>
      </c>
      <c r="BU72" s="203" t="str">
        <f t="shared" ref="BU72:BU81" si="261">IF(OR(BS$8="判定対象外",BT72="-"),"-",IF(BS72=BT72,"OK","NG"))</f>
        <v>OK</v>
      </c>
      <c r="BV72" s="226"/>
      <c r="BW72" s="230"/>
      <c r="BX72" s="183" t="str">
        <f t="shared" si="189"/>
        <v/>
      </c>
      <c r="BY72" s="203" t="str">
        <f t="shared" ref="BY72:BY81" si="262">IF(OR(BW$8="判定対象外",BX72="-"),"-",IF(BW72=BX72,"OK","NG"))</f>
        <v>OK</v>
      </c>
      <c r="BZ72" s="226"/>
      <c r="CA72" s="230"/>
      <c r="CB72" s="183" t="str">
        <f t="shared" si="190"/>
        <v/>
      </c>
      <c r="CC72" s="203" t="str">
        <f t="shared" si="232"/>
        <v>OK</v>
      </c>
      <c r="CD72" s="226"/>
      <c r="CE72" s="230"/>
      <c r="CF72" s="183" t="str">
        <f t="shared" si="191"/>
        <v/>
      </c>
      <c r="CG72" s="203" t="str">
        <f t="shared" si="233"/>
        <v>OK</v>
      </c>
      <c r="CH72" s="226"/>
      <c r="CI72" s="230"/>
      <c r="CJ72" s="183" t="str">
        <f t="shared" si="192"/>
        <v/>
      </c>
      <c r="CK72" s="203" t="str">
        <f t="shared" ref="CK72:CK81" si="263">IF(OR(CI$8="判定対象外",CJ72="-"),"-",IF(CI72=CJ72,"OK","NG"))</f>
        <v>OK</v>
      </c>
      <c r="CL72" s="226"/>
      <c r="CM72" s="230"/>
      <c r="CN72" s="183" t="str">
        <f t="shared" si="193"/>
        <v/>
      </c>
      <c r="CO72" s="203" t="str">
        <f t="shared" si="234"/>
        <v>OK</v>
      </c>
      <c r="CP72" s="226"/>
      <c r="CQ72" s="230"/>
      <c r="CR72" s="183" t="str">
        <f t="shared" si="194"/>
        <v/>
      </c>
      <c r="CS72" s="203" t="str">
        <f t="shared" si="235"/>
        <v>OK</v>
      </c>
      <c r="CT72" s="226"/>
      <c r="CU72" s="230"/>
      <c r="CV72" s="183" t="str">
        <f t="shared" si="195"/>
        <v/>
      </c>
      <c r="CW72" s="203" t="str">
        <f t="shared" ref="CW72:CW81" si="264">IF(OR(CU$8="判定対象外",CV72="-"),"-",IF(CU72=CV72,"OK","NG"))</f>
        <v>OK</v>
      </c>
      <c r="CX72" s="226"/>
      <c r="CY72" s="230"/>
      <c r="CZ72" s="183" t="str">
        <f t="shared" si="196"/>
        <v/>
      </c>
      <c r="DA72" s="203" t="str">
        <f t="shared" si="236"/>
        <v>OK</v>
      </c>
      <c r="DB72" s="226"/>
      <c r="DC72" s="230"/>
      <c r="DD72" s="183" t="str">
        <f t="shared" si="197"/>
        <v/>
      </c>
      <c r="DE72" s="203" t="str">
        <f t="shared" si="237"/>
        <v>OK</v>
      </c>
      <c r="DF72" s="226"/>
      <c r="DG72" s="230"/>
      <c r="DH72" s="183" t="str">
        <f t="shared" si="198"/>
        <v/>
      </c>
      <c r="DI72" s="203" t="str">
        <f t="shared" ref="DI72:DI81" si="265">IF(OR(DG$8="判定対象外",DH72="-"),"-",IF(DG72=DH72,"OK","NG"))</f>
        <v>OK</v>
      </c>
      <c r="DJ72" s="226"/>
      <c r="DK72" s="230"/>
      <c r="DL72" s="183" t="str">
        <f t="shared" si="199"/>
        <v/>
      </c>
      <c r="DM72" s="203" t="str">
        <f t="shared" si="238"/>
        <v>OK</v>
      </c>
      <c r="DN72" s="226"/>
      <c r="DO72" s="230"/>
      <c r="DP72" s="183" t="str">
        <f t="shared" si="200"/>
        <v/>
      </c>
      <c r="DQ72" s="203" t="str">
        <f t="shared" si="239"/>
        <v>OK</v>
      </c>
      <c r="DR72" s="226"/>
      <c r="DS72" s="230"/>
      <c r="DT72" s="183" t="str">
        <f t="shared" si="201"/>
        <v/>
      </c>
      <c r="DU72" s="203" t="str">
        <f t="shared" ref="DU72:DU81" si="266">IF(OR(DS$8="判定対象外",DT72="-"),"-",IF(DS72=DT72,"OK","NG"))</f>
        <v>OK</v>
      </c>
      <c r="DV72" s="226"/>
      <c r="DW72" s="230"/>
      <c r="DX72" s="183" t="str">
        <f t="shared" si="202"/>
        <v/>
      </c>
      <c r="DY72" s="203" t="str">
        <f t="shared" si="240"/>
        <v>OK</v>
      </c>
      <c r="DZ72" s="226"/>
      <c r="EA72" s="230"/>
      <c r="EB72" s="183" t="str">
        <f t="shared" si="203"/>
        <v/>
      </c>
      <c r="EC72" s="203" t="str">
        <f t="shared" si="241"/>
        <v>OK</v>
      </c>
      <c r="ED72" s="226"/>
      <c r="EE72" s="230"/>
      <c r="EF72" s="183" t="str">
        <f t="shared" si="204"/>
        <v/>
      </c>
      <c r="EG72" s="203" t="str">
        <f t="shared" ref="EG72:EG81" si="267">IF(OR(EE$8="判定対象外",EF72="-"),"-",IF(EE72=EF72,"OK","NG"))</f>
        <v>OK</v>
      </c>
      <c r="EH72" s="226"/>
      <c r="EI72" s="230"/>
      <c r="EJ72" s="183" t="str">
        <f t="shared" si="205"/>
        <v/>
      </c>
      <c r="EK72" s="203" t="str">
        <f t="shared" si="242"/>
        <v>OK</v>
      </c>
      <c r="EL72" s="226"/>
      <c r="EM72" s="230"/>
      <c r="EN72" s="183" t="str">
        <f t="shared" si="206"/>
        <v/>
      </c>
      <c r="EO72" s="203" t="str">
        <f t="shared" si="243"/>
        <v>OK</v>
      </c>
      <c r="EP72" s="226"/>
      <c r="EQ72" s="230"/>
      <c r="ER72" s="183" t="str">
        <f t="shared" si="207"/>
        <v/>
      </c>
      <c r="ES72" s="203" t="str">
        <f t="shared" ref="ES72:ES81" si="268">IF(OR(EQ$8="判定対象外",ER72="-"),"-",IF(EQ72=ER72,"OK","NG"))</f>
        <v>OK</v>
      </c>
      <c r="ET72" s="226"/>
      <c r="EU72" s="230"/>
      <c r="EV72" s="183" t="str">
        <f t="shared" si="208"/>
        <v/>
      </c>
      <c r="EW72" s="203" t="str">
        <f t="shared" si="244"/>
        <v>OK</v>
      </c>
      <c r="EX72" s="226"/>
      <c r="EY72" s="230"/>
      <c r="EZ72" s="183" t="str">
        <f t="shared" si="209"/>
        <v/>
      </c>
      <c r="FA72" s="203" t="str">
        <f t="shared" si="245"/>
        <v>OK</v>
      </c>
      <c r="FB72" s="226"/>
      <c r="FC72" s="230"/>
      <c r="FD72" s="183" t="str">
        <f t="shared" si="210"/>
        <v/>
      </c>
      <c r="FE72" s="203" t="str">
        <f t="shared" ref="FE72:FE81" si="269">IF(OR(FC$8="判定対象外",FD72="-"),"-",IF(FC72=FD72,"OK","NG"))</f>
        <v>OK</v>
      </c>
      <c r="FF72" s="226"/>
      <c r="FG72" s="230"/>
      <c r="FH72" s="183" t="str">
        <f t="shared" si="211"/>
        <v/>
      </c>
      <c r="FI72" s="203" t="str">
        <f t="shared" si="246"/>
        <v>OK</v>
      </c>
      <c r="FJ72" s="226"/>
      <c r="FK72" s="230"/>
      <c r="FL72" s="183" t="str">
        <f t="shared" si="212"/>
        <v/>
      </c>
      <c r="FM72" s="203" t="str">
        <f t="shared" si="247"/>
        <v>OK</v>
      </c>
      <c r="FN72" s="226"/>
      <c r="FO72" s="230"/>
      <c r="FP72" s="183" t="str">
        <f t="shared" si="213"/>
        <v/>
      </c>
      <c r="FQ72" s="203" t="str">
        <f t="shared" ref="FQ72:FQ81" si="270">IF(OR(FO$8="判定対象外",FP72="-"),"-",IF(FO72=FP72,"OK","NG"))</f>
        <v>OK</v>
      </c>
      <c r="FR72" s="226"/>
      <c r="FS72" s="230"/>
      <c r="FT72" s="183" t="str">
        <f t="shared" si="214"/>
        <v/>
      </c>
      <c r="FU72" s="203" t="str">
        <f t="shared" si="248"/>
        <v>OK</v>
      </c>
      <c r="FV72" s="226"/>
      <c r="FW72" s="230"/>
      <c r="FX72" s="183" t="str">
        <f t="shared" si="215"/>
        <v/>
      </c>
      <c r="FY72" s="203" t="str">
        <f t="shared" si="249"/>
        <v>OK</v>
      </c>
      <c r="FZ72" s="226"/>
      <c r="GA72" s="230"/>
      <c r="GB72" s="183" t="str">
        <f t="shared" si="216"/>
        <v/>
      </c>
      <c r="GC72" s="203" t="str">
        <f t="shared" ref="GC72:GC81" si="271">IF(OR(GA$8="判定対象外",GB72="-"),"-",IF(GA72=GB72,"OK","NG"))</f>
        <v>OK</v>
      </c>
      <c r="GD72" s="226"/>
      <c r="GE72" s="230"/>
      <c r="GF72" s="183" t="str">
        <f t="shared" si="217"/>
        <v/>
      </c>
      <c r="GG72" s="203" t="str">
        <f t="shared" ref="GG72:GG81" si="272">IF(OR(GE$8="判定対象外",GF72="-"),"-",IF(GE72=GF72,"OK","NG"))</f>
        <v>OK</v>
      </c>
      <c r="GH72" s="226"/>
      <c r="GI72" s="230"/>
      <c r="GJ72" s="183" t="str">
        <f t="shared" si="218"/>
        <v/>
      </c>
      <c r="GK72" s="203" t="str">
        <f t="shared" ref="GK72:GK81" si="273">IF(OR(GI$8="判定対象外",GJ72="-"),"-",IF(GI72=GJ72,"OK","NG"))</f>
        <v>OK</v>
      </c>
      <c r="GL72" s="226"/>
      <c r="GM72" s="230"/>
      <c r="GN72" s="183" t="str">
        <f t="shared" si="219"/>
        <v/>
      </c>
      <c r="GO72" s="203" t="str">
        <f t="shared" ref="GO72:GO81" si="274">IF(OR(GM$8="判定対象外",GN72="-"),"-",IF(GM72=GN72,"OK","NG"))</f>
        <v>OK</v>
      </c>
      <c r="GP72" s="226"/>
      <c r="GQ72" s="230"/>
      <c r="GR72" s="183" t="str">
        <f t="shared" si="220"/>
        <v/>
      </c>
      <c r="GS72" s="203" t="str">
        <f t="shared" si="250"/>
        <v>OK</v>
      </c>
      <c r="GT72" s="202"/>
      <c r="GU72" s="202"/>
      <c r="GV72" s="201"/>
      <c r="GW72" s="201"/>
      <c r="GX72" s="201"/>
    </row>
    <row r="73" spans="1:206">
      <c r="A73" s="200" t="s">
        <v>298</v>
      </c>
      <c r="B73" s="225">
        <f t="shared" si="221"/>
        <v>66</v>
      </c>
      <c r="C73" s="229"/>
      <c r="D73" s="229"/>
      <c r="E73" s="223"/>
      <c r="F73" s="223"/>
      <c r="G73" s="222" t="s">
        <v>320</v>
      </c>
      <c r="H73" s="220"/>
      <c r="I73" s="209"/>
      <c r="J73" s="217"/>
      <c r="K73" s="219"/>
      <c r="L73" s="219"/>
      <c r="M73" s="218"/>
      <c r="N73" s="217"/>
      <c r="O73" s="216"/>
      <c r="P73" s="212"/>
      <c r="Q73" s="212"/>
      <c r="R73" s="215"/>
      <c r="S73" s="214"/>
      <c r="T73" s="212"/>
      <c r="U73" s="213"/>
      <c r="V73" s="212"/>
      <c r="W73" s="211" t="str">
        <f t="shared" si="222"/>
        <v>4</v>
      </c>
      <c r="X73" s="210" t="s">
        <v>319</v>
      </c>
      <c r="Y73" s="210">
        <v>1</v>
      </c>
      <c r="Z73" s="210">
        <v>50</v>
      </c>
      <c r="AA73" s="209" t="s">
        <v>69</v>
      </c>
      <c r="AB73" s="209" t="s">
        <v>306</v>
      </c>
      <c r="AC73" s="207"/>
      <c r="AD73" s="226" t="s">
        <v>318</v>
      </c>
      <c r="AE73" s="230"/>
      <c r="AF73" s="183" t="str">
        <f t="shared" si="178"/>
        <v/>
      </c>
      <c r="AG73" s="203" t="str">
        <f t="shared" si="251"/>
        <v>OK</v>
      </c>
      <c r="AH73" s="226" t="s">
        <v>318</v>
      </c>
      <c r="AI73" s="230"/>
      <c r="AJ73" s="183" t="str">
        <f t="shared" si="179"/>
        <v/>
      </c>
      <c r="AK73" s="203" t="str">
        <f t="shared" si="252"/>
        <v>OK</v>
      </c>
      <c r="AL73" s="226" t="s">
        <v>318</v>
      </c>
      <c r="AM73" s="230"/>
      <c r="AN73" s="183" t="str">
        <f t="shared" si="180"/>
        <v/>
      </c>
      <c r="AO73" s="203" t="str">
        <f t="shared" si="253"/>
        <v>OK</v>
      </c>
      <c r="AP73" s="226" t="s">
        <v>318</v>
      </c>
      <c r="AQ73" s="230"/>
      <c r="AR73" s="183" t="str">
        <f t="shared" si="181"/>
        <v/>
      </c>
      <c r="AS73" s="203" t="str">
        <f t="shared" si="254"/>
        <v>OK</v>
      </c>
      <c r="AT73" s="226" t="s">
        <v>318</v>
      </c>
      <c r="AU73" s="230"/>
      <c r="AV73" s="183" t="str">
        <f t="shared" si="182"/>
        <v/>
      </c>
      <c r="AW73" s="203" t="str">
        <f t="shared" si="255"/>
        <v>OK</v>
      </c>
      <c r="AX73" s="226" t="s">
        <v>318</v>
      </c>
      <c r="AY73" s="230"/>
      <c r="AZ73" s="183" t="str">
        <f t="shared" si="183"/>
        <v/>
      </c>
      <c r="BA73" s="203" t="str">
        <f t="shared" si="256"/>
        <v>OK</v>
      </c>
      <c r="BB73" s="226" t="s">
        <v>318</v>
      </c>
      <c r="BC73" s="230"/>
      <c r="BD73" s="183" t="str">
        <f t="shared" si="184"/>
        <v/>
      </c>
      <c r="BE73" s="203" t="str">
        <f t="shared" si="257"/>
        <v>OK</v>
      </c>
      <c r="BF73" s="226" t="s">
        <v>318</v>
      </c>
      <c r="BG73" s="230"/>
      <c r="BH73" s="183" t="str">
        <f t="shared" si="185"/>
        <v/>
      </c>
      <c r="BI73" s="203" t="str">
        <f t="shared" si="258"/>
        <v>OK</v>
      </c>
      <c r="BJ73" s="226" t="s">
        <v>318</v>
      </c>
      <c r="BK73" s="230"/>
      <c r="BL73" s="183" t="str">
        <f t="shared" si="186"/>
        <v/>
      </c>
      <c r="BM73" s="203" t="str">
        <f t="shared" si="259"/>
        <v>OK</v>
      </c>
      <c r="BN73" s="226" t="s">
        <v>318</v>
      </c>
      <c r="BO73" s="230"/>
      <c r="BP73" s="183" t="str">
        <f t="shared" si="187"/>
        <v/>
      </c>
      <c r="BQ73" s="203" t="str">
        <f t="shared" si="260"/>
        <v>OK</v>
      </c>
      <c r="BR73" s="226" t="s">
        <v>318</v>
      </c>
      <c r="BS73" s="230"/>
      <c r="BT73" s="183" t="str">
        <f t="shared" si="188"/>
        <v/>
      </c>
      <c r="BU73" s="203" t="str">
        <f t="shared" si="261"/>
        <v>OK</v>
      </c>
      <c r="BV73" s="226" t="s">
        <v>318</v>
      </c>
      <c r="BW73" s="230"/>
      <c r="BX73" s="183" t="str">
        <f t="shared" si="189"/>
        <v/>
      </c>
      <c r="BY73" s="203" t="str">
        <f t="shared" si="262"/>
        <v>OK</v>
      </c>
      <c r="BZ73" s="226" t="s">
        <v>318</v>
      </c>
      <c r="CA73" s="230"/>
      <c r="CB73" s="183" t="str">
        <f t="shared" si="190"/>
        <v/>
      </c>
      <c r="CC73" s="203" t="str">
        <f t="shared" si="232"/>
        <v>OK</v>
      </c>
      <c r="CD73" s="226" t="s">
        <v>318</v>
      </c>
      <c r="CE73" s="230"/>
      <c r="CF73" s="183" t="str">
        <f t="shared" si="191"/>
        <v/>
      </c>
      <c r="CG73" s="203" t="str">
        <f t="shared" si="233"/>
        <v>OK</v>
      </c>
      <c r="CH73" s="226" t="s">
        <v>318</v>
      </c>
      <c r="CI73" s="230"/>
      <c r="CJ73" s="183" t="str">
        <f t="shared" si="192"/>
        <v/>
      </c>
      <c r="CK73" s="203" t="str">
        <f t="shared" si="263"/>
        <v>OK</v>
      </c>
      <c r="CL73" s="226" t="s">
        <v>318</v>
      </c>
      <c r="CM73" s="230"/>
      <c r="CN73" s="183" t="str">
        <f t="shared" si="193"/>
        <v/>
      </c>
      <c r="CO73" s="203" t="str">
        <f t="shared" si="234"/>
        <v>OK</v>
      </c>
      <c r="CP73" s="226" t="s">
        <v>318</v>
      </c>
      <c r="CQ73" s="230"/>
      <c r="CR73" s="183" t="str">
        <f t="shared" si="194"/>
        <v/>
      </c>
      <c r="CS73" s="203" t="str">
        <f t="shared" si="235"/>
        <v>OK</v>
      </c>
      <c r="CT73" s="226" t="s">
        <v>318</v>
      </c>
      <c r="CU73" s="230"/>
      <c r="CV73" s="183" t="str">
        <f t="shared" si="195"/>
        <v/>
      </c>
      <c r="CW73" s="203" t="str">
        <f t="shared" si="264"/>
        <v>OK</v>
      </c>
      <c r="CX73" s="226" t="s">
        <v>318</v>
      </c>
      <c r="CY73" s="230"/>
      <c r="CZ73" s="183" t="str">
        <f t="shared" si="196"/>
        <v/>
      </c>
      <c r="DA73" s="203" t="str">
        <f t="shared" si="236"/>
        <v>OK</v>
      </c>
      <c r="DB73" s="226" t="s">
        <v>318</v>
      </c>
      <c r="DC73" s="230"/>
      <c r="DD73" s="183" t="str">
        <f t="shared" si="197"/>
        <v/>
      </c>
      <c r="DE73" s="203" t="str">
        <f t="shared" si="237"/>
        <v>OK</v>
      </c>
      <c r="DF73" s="226" t="s">
        <v>318</v>
      </c>
      <c r="DG73" s="230"/>
      <c r="DH73" s="183" t="str">
        <f t="shared" si="198"/>
        <v/>
      </c>
      <c r="DI73" s="203" t="str">
        <f t="shared" si="265"/>
        <v>OK</v>
      </c>
      <c r="DJ73" s="226" t="s">
        <v>318</v>
      </c>
      <c r="DK73" s="230"/>
      <c r="DL73" s="183" t="str">
        <f t="shared" si="199"/>
        <v/>
      </c>
      <c r="DM73" s="203" t="str">
        <f t="shared" si="238"/>
        <v>OK</v>
      </c>
      <c r="DN73" s="226" t="s">
        <v>318</v>
      </c>
      <c r="DO73" s="230"/>
      <c r="DP73" s="183" t="str">
        <f t="shared" si="200"/>
        <v/>
      </c>
      <c r="DQ73" s="203" t="str">
        <f t="shared" si="239"/>
        <v>OK</v>
      </c>
      <c r="DR73" s="226" t="s">
        <v>318</v>
      </c>
      <c r="DS73" s="230"/>
      <c r="DT73" s="183" t="str">
        <f t="shared" si="201"/>
        <v/>
      </c>
      <c r="DU73" s="203" t="str">
        <f t="shared" si="266"/>
        <v>OK</v>
      </c>
      <c r="DV73" s="226" t="s">
        <v>318</v>
      </c>
      <c r="DW73" s="230"/>
      <c r="DX73" s="183" t="str">
        <f t="shared" si="202"/>
        <v/>
      </c>
      <c r="DY73" s="203" t="str">
        <f t="shared" si="240"/>
        <v>OK</v>
      </c>
      <c r="DZ73" s="226" t="s">
        <v>318</v>
      </c>
      <c r="EA73" s="230"/>
      <c r="EB73" s="183" t="str">
        <f t="shared" si="203"/>
        <v/>
      </c>
      <c r="EC73" s="203" t="str">
        <f t="shared" si="241"/>
        <v>OK</v>
      </c>
      <c r="ED73" s="226" t="s">
        <v>318</v>
      </c>
      <c r="EE73" s="230"/>
      <c r="EF73" s="183" t="str">
        <f t="shared" si="204"/>
        <v/>
      </c>
      <c r="EG73" s="203" t="str">
        <f t="shared" si="267"/>
        <v>OK</v>
      </c>
      <c r="EH73" s="226" t="s">
        <v>318</v>
      </c>
      <c r="EI73" s="230"/>
      <c r="EJ73" s="183" t="str">
        <f t="shared" si="205"/>
        <v/>
      </c>
      <c r="EK73" s="203" t="str">
        <f t="shared" si="242"/>
        <v>OK</v>
      </c>
      <c r="EL73" s="226" t="s">
        <v>318</v>
      </c>
      <c r="EM73" s="230"/>
      <c r="EN73" s="183" t="str">
        <f t="shared" si="206"/>
        <v/>
      </c>
      <c r="EO73" s="203" t="str">
        <f t="shared" si="243"/>
        <v>OK</v>
      </c>
      <c r="EP73" s="226" t="s">
        <v>318</v>
      </c>
      <c r="EQ73" s="230"/>
      <c r="ER73" s="183" t="str">
        <f t="shared" si="207"/>
        <v/>
      </c>
      <c r="ES73" s="203" t="str">
        <f t="shared" si="268"/>
        <v>OK</v>
      </c>
      <c r="ET73" s="226" t="s">
        <v>318</v>
      </c>
      <c r="EU73" s="230"/>
      <c r="EV73" s="183" t="str">
        <f t="shared" si="208"/>
        <v/>
      </c>
      <c r="EW73" s="203" t="str">
        <f t="shared" si="244"/>
        <v>OK</v>
      </c>
      <c r="EX73" s="226" t="s">
        <v>318</v>
      </c>
      <c r="EY73" s="230"/>
      <c r="EZ73" s="183" t="str">
        <f t="shared" si="209"/>
        <v/>
      </c>
      <c r="FA73" s="203" t="str">
        <f t="shared" si="245"/>
        <v>OK</v>
      </c>
      <c r="FB73" s="226" t="s">
        <v>318</v>
      </c>
      <c r="FC73" s="230"/>
      <c r="FD73" s="183" t="str">
        <f t="shared" si="210"/>
        <v/>
      </c>
      <c r="FE73" s="203" t="str">
        <f t="shared" si="269"/>
        <v>OK</v>
      </c>
      <c r="FF73" s="226" t="s">
        <v>318</v>
      </c>
      <c r="FG73" s="230"/>
      <c r="FH73" s="183" t="str">
        <f t="shared" si="211"/>
        <v/>
      </c>
      <c r="FI73" s="203" t="str">
        <f t="shared" si="246"/>
        <v>OK</v>
      </c>
      <c r="FJ73" s="226" t="s">
        <v>318</v>
      </c>
      <c r="FK73" s="230"/>
      <c r="FL73" s="183" t="str">
        <f t="shared" si="212"/>
        <v/>
      </c>
      <c r="FM73" s="203" t="str">
        <f t="shared" si="247"/>
        <v>OK</v>
      </c>
      <c r="FN73" s="226" t="s">
        <v>318</v>
      </c>
      <c r="FO73" s="230"/>
      <c r="FP73" s="183" t="str">
        <f t="shared" si="213"/>
        <v/>
      </c>
      <c r="FQ73" s="203" t="str">
        <f t="shared" si="270"/>
        <v>OK</v>
      </c>
      <c r="FR73" s="226" t="s">
        <v>318</v>
      </c>
      <c r="FS73" s="230"/>
      <c r="FT73" s="183" t="str">
        <f t="shared" si="214"/>
        <v/>
      </c>
      <c r="FU73" s="203" t="str">
        <f t="shared" si="248"/>
        <v>OK</v>
      </c>
      <c r="FV73" s="226" t="s">
        <v>318</v>
      </c>
      <c r="FW73" s="230"/>
      <c r="FX73" s="183" t="str">
        <f t="shared" si="215"/>
        <v/>
      </c>
      <c r="FY73" s="203" t="str">
        <f t="shared" si="249"/>
        <v>OK</v>
      </c>
      <c r="FZ73" s="226" t="s">
        <v>318</v>
      </c>
      <c r="GA73" s="230"/>
      <c r="GB73" s="183" t="str">
        <f t="shared" si="216"/>
        <v/>
      </c>
      <c r="GC73" s="203" t="str">
        <f t="shared" si="271"/>
        <v>OK</v>
      </c>
      <c r="GD73" s="226" t="s">
        <v>318</v>
      </c>
      <c r="GE73" s="230"/>
      <c r="GF73" s="183" t="str">
        <f t="shared" si="217"/>
        <v/>
      </c>
      <c r="GG73" s="203" t="str">
        <f t="shared" si="272"/>
        <v>OK</v>
      </c>
      <c r="GH73" s="226" t="s">
        <v>318</v>
      </c>
      <c r="GI73" s="230"/>
      <c r="GJ73" s="183" t="str">
        <f t="shared" si="218"/>
        <v/>
      </c>
      <c r="GK73" s="203" t="str">
        <f t="shared" si="273"/>
        <v>OK</v>
      </c>
      <c r="GL73" s="226" t="s">
        <v>318</v>
      </c>
      <c r="GM73" s="230"/>
      <c r="GN73" s="183" t="str">
        <f t="shared" si="219"/>
        <v/>
      </c>
      <c r="GO73" s="203" t="str">
        <f t="shared" si="274"/>
        <v>OK</v>
      </c>
      <c r="GP73" s="226" t="s">
        <v>318</v>
      </c>
      <c r="GQ73" s="230"/>
      <c r="GR73" s="183" t="str">
        <f t="shared" si="220"/>
        <v/>
      </c>
      <c r="GS73" s="203" t="str">
        <f t="shared" si="250"/>
        <v>OK</v>
      </c>
      <c r="GT73" s="202"/>
      <c r="GU73" s="202"/>
      <c r="GV73" s="201"/>
      <c r="GW73" s="201"/>
      <c r="GX73" s="201"/>
    </row>
    <row r="74" spans="1:206">
      <c r="A74" s="200" t="s">
        <v>59</v>
      </c>
      <c r="B74" s="225">
        <f t="shared" si="221"/>
        <v>67</v>
      </c>
      <c r="C74" s="229"/>
      <c r="D74" s="229"/>
      <c r="E74" s="234" t="s">
        <v>317</v>
      </c>
      <c r="F74" s="233"/>
      <c r="G74" s="233"/>
      <c r="H74" s="232"/>
      <c r="I74" s="209"/>
      <c r="J74" s="217" t="s">
        <v>59</v>
      </c>
      <c r="K74" s="219"/>
      <c r="L74" s="219"/>
      <c r="M74" s="218"/>
      <c r="N74" s="217"/>
      <c r="O74" s="216"/>
      <c r="P74" s="212"/>
      <c r="Q74" s="212"/>
      <c r="R74" s="215"/>
      <c r="S74" s="214"/>
      <c r="T74" s="212"/>
      <c r="U74" s="213"/>
      <c r="V74" s="212"/>
      <c r="W74" s="211" t="str">
        <f t="shared" si="222"/>
        <v>2</v>
      </c>
      <c r="X74" s="210" t="s">
        <v>316</v>
      </c>
      <c r="Y74" s="210"/>
      <c r="Z74" s="210"/>
      <c r="AA74" s="209"/>
      <c r="AB74" s="209" t="s">
        <v>306</v>
      </c>
      <c r="AC74" s="207"/>
      <c r="AD74" s="206"/>
      <c r="AE74" s="230"/>
      <c r="AF74" s="183" t="str">
        <f t="shared" si="178"/>
        <v/>
      </c>
      <c r="AG74" s="203" t="str">
        <f t="shared" si="251"/>
        <v>OK</v>
      </c>
      <c r="AH74" s="206"/>
      <c r="AI74" s="230"/>
      <c r="AJ74" s="183" t="str">
        <f t="shared" si="179"/>
        <v/>
      </c>
      <c r="AK74" s="203" t="str">
        <f t="shared" si="252"/>
        <v>OK</v>
      </c>
      <c r="AL74" s="206"/>
      <c r="AM74" s="230"/>
      <c r="AN74" s="183" t="str">
        <f t="shared" si="180"/>
        <v/>
      </c>
      <c r="AO74" s="203" t="str">
        <f t="shared" si="253"/>
        <v>OK</v>
      </c>
      <c r="AP74" s="206"/>
      <c r="AQ74" s="230"/>
      <c r="AR74" s="183" t="str">
        <f t="shared" si="181"/>
        <v/>
      </c>
      <c r="AS74" s="203" t="str">
        <f t="shared" si="254"/>
        <v>OK</v>
      </c>
      <c r="AT74" s="206"/>
      <c r="AU74" s="230"/>
      <c r="AV74" s="183" t="str">
        <f t="shared" si="182"/>
        <v/>
      </c>
      <c r="AW74" s="203" t="str">
        <f t="shared" si="255"/>
        <v>OK</v>
      </c>
      <c r="AX74" s="206"/>
      <c r="AY74" s="230"/>
      <c r="AZ74" s="183" t="str">
        <f t="shared" si="183"/>
        <v/>
      </c>
      <c r="BA74" s="203" t="str">
        <f t="shared" si="256"/>
        <v>OK</v>
      </c>
      <c r="BB74" s="206"/>
      <c r="BC74" s="230"/>
      <c r="BD74" s="183" t="str">
        <f t="shared" si="184"/>
        <v/>
      </c>
      <c r="BE74" s="203" t="str">
        <f t="shared" si="257"/>
        <v>OK</v>
      </c>
      <c r="BF74" s="206"/>
      <c r="BG74" s="230"/>
      <c r="BH74" s="183" t="str">
        <f t="shared" si="185"/>
        <v/>
      </c>
      <c r="BI74" s="203" t="str">
        <f t="shared" si="258"/>
        <v>OK</v>
      </c>
      <c r="BJ74" s="206"/>
      <c r="BK74" s="230"/>
      <c r="BL74" s="183" t="str">
        <f t="shared" si="186"/>
        <v/>
      </c>
      <c r="BM74" s="203" t="str">
        <f t="shared" si="259"/>
        <v>OK</v>
      </c>
      <c r="BN74" s="206"/>
      <c r="BO74" s="230"/>
      <c r="BP74" s="183" t="str">
        <f t="shared" si="187"/>
        <v/>
      </c>
      <c r="BQ74" s="203" t="str">
        <f t="shared" si="260"/>
        <v>OK</v>
      </c>
      <c r="BR74" s="206"/>
      <c r="BS74" s="230"/>
      <c r="BT74" s="183" t="str">
        <f t="shared" si="188"/>
        <v/>
      </c>
      <c r="BU74" s="203" t="str">
        <f t="shared" si="261"/>
        <v>OK</v>
      </c>
      <c r="BV74" s="206"/>
      <c r="BW74" s="230"/>
      <c r="BX74" s="183" t="str">
        <f t="shared" si="189"/>
        <v/>
      </c>
      <c r="BY74" s="203" t="str">
        <f t="shared" si="262"/>
        <v>OK</v>
      </c>
      <c r="BZ74" s="206"/>
      <c r="CA74" s="230"/>
      <c r="CB74" s="183" t="str">
        <f t="shared" si="190"/>
        <v/>
      </c>
      <c r="CC74" s="203" t="str">
        <f t="shared" si="232"/>
        <v>OK</v>
      </c>
      <c r="CD74" s="206"/>
      <c r="CE74" s="230"/>
      <c r="CF74" s="183" t="str">
        <f t="shared" si="191"/>
        <v/>
      </c>
      <c r="CG74" s="203" t="str">
        <f t="shared" si="233"/>
        <v>OK</v>
      </c>
      <c r="CH74" s="206"/>
      <c r="CI74" s="230"/>
      <c r="CJ74" s="183" t="str">
        <f t="shared" si="192"/>
        <v/>
      </c>
      <c r="CK74" s="203" t="str">
        <f t="shared" si="263"/>
        <v>OK</v>
      </c>
      <c r="CL74" s="206"/>
      <c r="CM74" s="230"/>
      <c r="CN74" s="183" t="str">
        <f t="shared" si="193"/>
        <v/>
      </c>
      <c r="CO74" s="203" t="str">
        <f t="shared" si="234"/>
        <v>OK</v>
      </c>
      <c r="CP74" s="206"/>
      <c r="CQ74" s="230"/>
      <c r="CR74" s="183" t="str">
        <f t="shared" si="194"/>
        <v/>
      </c>
      <c r="CS74" s="203" t="str">
        <f t="shared" si="235"/>
        <v>OK</v>
      </c>
      <c r="CT74" s="206"/>
      <c r="CU74" s="230"/>
      <c r="CV74" s="183" t="str">
        <f t="shared" si="195"/>
        <v/>
      </c>
      <c r="CW74" s="203" t="str">
        <f t="shared" si="264"/>
        <v>OK</v>
      </c>
      <c r="CX74" s="206"/>
      <c r="CY74" s="230"/>
      <c r="CZ74" s="183" t="str">
        <f t="shared" si="196"/>
        <v/>
      </c>
      <c r="DA74" s="203" t="str">
        <f t="shared" si="236"/>
        <v>OK</v>
      </c>
      <c r="DB74" s="206"/>
      <c r="DC74" s="230"/>
      <c r="DD74" s="183" t="str">
        <f t="shared" si="197"/>
        <v/>
      </c>
      <c r="DE74" s="203" t="str">
        <f t="shared" si="237"/>
        <v>OK</v>
      </c>
      <c r="DF74" s="206"/>
      <c r="DG74" s="230"/>
      <c r="DH74" s="183" t="str">
        <f t="shared" si="198"/>
        <v/>
      </c>
      <c r="DI74" s="203" t="str">
        <f t="shared" si="265"/>
        <v>OK</v>
      </c>
      <c r="DJ74" s="206"/>
      <c r="DK74" s="230"/>
      <c r="DL74" s="183" t="str">
        <f t="shared" si="199"/>
        <v/>
      </c>
      <c r="DM74" s="203" t="str">
        <f t="shared" si="238"/>
        <v>OK</v>
      </c>
      <c r="DN74" s="206"/>
      <c r="DO74" s="230"/>
      <c r="DP74" s="183" t="str">
        <f t="shared" si="200"/>
        <v/>
      </c>
      <c r="DQ74" s="203" t="str">
        <f t="shared" si="239"/>
        <v>OK</v>
      </c>
      <c r="DR74" s="206"/>
      <c r="DS74" s="230"/>
      <c r="DT74" s="183" t="str">
        <f t="shared" si="201"/>
        <v/>
      </c>
      <c r="DU74" s="203" t="str">
        <f t="shared" si="266"/>
        <v>OK</v>
      </c>
      <c r="DV74" s="206"/>
      <c r="DW74" s="230"/>
      <c r="DX74" s="183" t="str">
        <f t="shared" si="202"/>
        <v/>
      </c>
      <c r="DY74" s="203" t="str">
        <f t="shared" si="240"/>
        <v>OK</v>
      </c>
      <c r="DZ74" s="206"/>
      <c r="EA74" s="230"/>
      <c r="EB74" s="183" t="str">
        <f t="shared" si="203"/>
        <v/>
      </c>
      <c r="EC74" s="203" t="str">
        <f t="shared" si="241"/>
        <v>OK</v>
      </c>
      <c r="ED74" s="206"/>
      <c r="EE74" s="230"/>
      <c r="EF74" s="183" t="str">
        <f t="shared" si="204"/>
        <v/>
      </c>
      <c r="EG74" s="203" t="str">
        <f t="shared" si="267"/>
        <v>OK</v>
      </c>
      <c r="EH74" s="206"/>
      <c r="EI74" s="230"/>
      <c r="EJ74" s="183" t="str">
        <f t="shared" si="205"/>
        <v/>
      </c>
      <c r="EK74" s="203" t="str">
        <f t="shared" si="242"/>
        <v>OK</v>
      </c>
      <c r="EL74" s="206"/>
      <c r="EM74" s="230"/>
      <c r="EN74" s="183" t="str">
        <f t="shared" si="206"/>
        <v/>
      </c>
      <c r="EO74" s="203" t="str">
        <f t="shared" si="243"/>
        <v>OK</v>
      </c>
      <c r="EP74" s="206"/>
      <c r="EQ74" s="230"/>
      <c r="ER74" s="183" t="str">
        <f t="shared" si="207"/>
        <v/>
      </c>
      <c r="ES74" s="203" t="str">
        <f t="shared" si="268"/>
        <v>OK</v>
      </c>
      <c r="ET74" s="206"/>
      <c r="EU74" s="230"/>
      <c r="EV74" s="183" t="str">
        <f t="shared" si="208"/>
        <v/>
      </c>
      <c r="EW74" s="203" t="str">
        <f t="shared" si="244"/>
        <v>OK</v>
      </c>
      <c r="EX74" s="206"/>
      <c r="EY74" s="230"/>
      <c r="EZ74" s="183" t="str">
        <f t="shared" si="209"/>
        <v/>
      </c>
      <c r="FA74" s="203" t="str">
        <f t="shared" si="245"/>
        <v>OK</v>
      </c>
      <c r="FB74" s="206"/>
      <c r="FC74" s="230"/>
      <c r="FD74" s="183" t="str">
        <f t="shared" si="210"/>
        <v/>
      </c>
      <c r="FE74" s="203" t="str">
        <f t="shared" si="269"/>
        <v>OK</v>
      </c>
      <c r="FF74" s="206"/>
      <c r="FG74" s="230"/>
      <c r="FH74" s="183" t="str">
        <f t="shared" si="211"/>
        <v/>
      </c>
      <c r="FI74" s="203" t="str">
        <f t="shared" si="246"/>
        <v>OK</v>
      </c>
      <c r="FJ74" s="206"/>
      <c r="FK74" s="230"/>
      <c r="FL74" s="183" t="str">
        <f t="shared" si="212"/>
        <v/>
      </c>
      <c r="FM74" s="203" t="str">
        <f t="shared" si="247"/>
        <v>OK</v>
      </c>
      <c r="FN74" s="206"/>
      <c r="FO74" s="230"/>
      <c r="FP74" s="183" t="str">
        <f t="shared" si="213"/>
        <v/>
      </c>
      <c r="FQ74" s="203" t="str">
        <f t="shared" si="270"/>
        <v>OK</v>
      </c>
      <c r="FR74" s="206"/>
      <c r="FS74" s="230"/>
      <c r="FT74" s="183" t="str">
        <f t="shared" si="214"/>
        <v/>
      </c>
      <c r="FU74" s="203" t="str">
        <f t="shared" si="248"/>
        <v>OK</v>
      </c>
      <c r="FV74" s="206"/>
      <c r="FW74" s="230"/>
      <c r="FX74" s="183" t="str">
        <f t="shared" si="215"/>
        <v/>
      </c>
      <c r="FY74" s="203" t="str">
        <f t="shared" si="249"/>
        <v>OK</v>
      </c>
      <c r="FZ74" s="206"/>
      <c r="GA74" s="230"/>
      <c r="GB74" s="183" t="str">
        <f t="shared" si="216"/>
        <v/>
      </c>
      <c r="GC74" s="203" t="str">
        <f t="shared" si="271"/>
        <v>OK</v>
      </c>
      <c r="GD74" s="206"/>
      <c r="GE74" s="230"/>
      <c r="GF74" s="183" t="str">
        <f t="shared" si="217"/>
        <v/>
      </c>
      <c r="GG74" s="203" t="str">
        <f t="shared" si="272"/>
        <v>OK</v>
      </c>
      <c r="GH74" s="206"/>
      <c r="GI74" s="230"/>
      <c r="GJ74" s="183" t="str">
        <f t="shared" si="218"/>
        <v/>
      </c>
      <c r="GK74" s="203" t="str">
        <f t="shared" si="273"/>
        <v>OK</v>
      </c>
      <c r="GL74" s="206"/>
      <c r="GM74" s="230"/>
      <c r="GN74" s="183" t="str">
        <f t="shared" si="219"/>
        <v/>
      </c>
      <c r="GO74" s="203" t="str">
        <f t="shared" si="274"/>
        <v>OK</v>
      </c>
      <c r="GP74" s="206"/>
      <c r="GQ74" s="230"/>
      <c r="GR74" s="183" t="str">
        <f t="shared" si="220"/>
        <v/>
      </c>
      <c r="GS74" s="203" t="str">
        <f t="shared" si="250"/>
        <v>OK</v>
      </c>
      <c r="GT74" s="202"/>
      <c r="GU74" s="202"/>
      <c r="GV74" s="201"/>
      <c r="GW74" s="201"/>
      <c r="GX74" s="201"/>
    </row>
    <row r="75" spans="1:206">
      <c r="A75" s="200" t="s">
        <v>59</v>
      </c>
      <c r="B75" s="225">
        <f t="shared" si="221"/>
        <v>68</v>
      </c>
      <c r="C75" s="229"/>
      <c r="D75" s="229"/>
      <c r="E75" s="228"/>
      <c r="F75" s="222" t="s">
        <v>315</v>
      </c>
      <c r="G75" s="221"/>
      <c r="H75" s="220"/>
      <c r="I75" s="209"/>
      <c r="J75" s="217" t="s">
        <v>61</v>
      </c>
      <c r="K75" s="219"/>
      <c r="L75" s="219"/>
      <c r="M75" s="218"/>
      <c r="N75" s="217"/>
      <c r="O75" s="216"/>
      <c r="P75" s="212"/>
      <c r="Q75" s="212"/>
      <c r="R75" s="215"/>
      <c r="S75" s="214"/>
      <c r="T75" s="212"/>
      <c r="U75" s="213"/>
      <c r="V75" s="212"/>
      <c r="W75" s="211" t="str">
        <f t="shared" si="222"/>
        <v>3</v>
      </c>
      <c r="X75" s="210" t="s">
        <v>314</v>
      </c>
      <c r="Y75" s="210">
        <v>8</v>
      </c>
      <c r="Z75" s="210">
        <v>8</v>
      </c>
      <c r="AA75" s="209" t="s">
        <v>54</v>
      </c>
      <c r="AB75" s="209" t="s">
        <v>306</v>
      </c>
      <c r="AC75" s="207"/>
      <c r="AD75" s="206" t="s">
        <v>313</v>
      </c>
      <c r="AE75" s="230"/>
      <c r="AF75" s="183" t="str">
        <f t="shared" si="178"/>
        <v/>
      </c>
      <c r="AG75" s="203" t="str">
        <f t="shared" si="251"/>
        <v>OK</v>
      </c>
      <c r="AH75" s="206" t="s">
        <v>313</v>
      </c>
      <c r="AI75" s="230"/>
      <c r="AJ75" s="183" t="str">
        <f t="shared" si="179"/>
        <v/>
      </c>
      <c r="AK75" s="203" t="str">
        <f t="shared" si="252"/>
        <v>OK</v>
      </c>
      <c r="AL75" s="206" t="s">
        <v>313</v>
      </c>
      <c r="AM75" s="230"/>
      <c r="AN75" s="183" t="str">
        <f t="shared" si="180"/>
        <v/>
      </c>
      <c r="AO75" s="203" t="str">
        <f t="shared" si="253"/>
        <v>OK</v>
      </c>
      <c r="AP75" s="206" t="s">
        <v>313</v>
      </c>
      <c r="AQ75" s="230"/>
      <c r="AR75" s="183" t="str">
        <f t="shared" si="181"/>
        <v/>
      </c>
      <c r="AS75" s="203" t="str">
        <f t="shared" si="254"/>
        <v>OK</v>
      </c>
      <c r="AT75" s="206" t="s">
        <v>313</v>
      </c>
      <c r="AU75" s="230"/>
      <c r="AV75" s="183" t="str">
        <f t="shared" si="182"/>
        <v/>
      </c>
      <c r="AW75" s="203" t="str">
        <f t="shared" si="255"/>
        <v>OK</v>
      </c>
      <c r="AX75" s="206" t="s">
        <v>313</v>
      </c>
      <c r="AY75" s="230"/>
      <c r="AZ75" s="183" t="str">
        <f t="shared" si="183"/>
        <v/>
      </c>
      <c r="BA75" s="203" t="str">
        <f t="shared" si="256"/>
        <v>OK</v>
      </c>
      <c r="BB75" s="206" t="s">
        <v>313</v>
      </c>
      <c r="BC75" s="230"/>
      <c r="BD75" s="183" t="str">
        <f t="shared" si="184"/>
        <v/>
      </c>
      <c r="BE75" s="203" t="str">
        <f t="shared" si="257"/>
        <v>OK</v>
      </c>
      <c r="BF75" s="206" t="s">
        <v>313</v>
      </c>
      <c r="BG75" s="230"/>
      <c r="BH75" s="183" t="str">
        <f t="shared" si="185"/>
        <v/>
      </c>
      <c r="BI75" s="203" t="str">
        <f t="shared" si="258"/>
        <v>OK</v>
      </c>
      <c r="BJ75" s="206" t="s">
        <v>313</v>
      </c>
      <c r="BK75" s="230"/>
      <c r="BL75" s="183" t="str">
        <f t="shared" si="186"/>
        <v/>
      </c>
      <c r="BM75" s="203" t="str">
        <f t="shared" si="259"/>
        <v>OK</v>
      </c>
      <c r="BN75" s="206" t="s">
        <v>313</v>
      </c>
      <c r="BO75" s="230"/>
      <c r="BP75" s="183" t="str">
        <f t="shared" si="187"/>
        <v/>
      </c>
      <c r="BQ75" s="203" t="str">
        <f t="shared" si="260"/>
        <v>OK</v>
      </c>
      <c r="BR75" s="206" t="s">
        <v>313</v>
      </c>
      <c r="BS75" s="230"/>
      <c r="BT75" s="183" t="str">
        <f t="shared" si="188"/>
        <v/>
      </c>
      <c r="BU75" s="203" t="str">
        <f t="shared" si="261"/>
        <v>OK</v>
      </c>
      <c r="BV75" s="206" t="s">
        <v>313</v>
      </c>
      <c r="BW75" s="230"/>
      <c r="BX75" s="183" t="str">
        <f t="shared" si="189"/>
        <v/>
      </c>
      <c r="BY75" s="203" t="str">
        <f t="shared" si="262"/>
        <v>OK</v>
      </c>
      <c r="BZ75" s="206" t="s">
        <v>313</v>
      </c>
      <c r="CA75" s="230"/>
      <c r="CB75" s="183" t="str">
        <f t="shared" si="190"/>
        <v/>
      </c>
      <c r="CC75" s="203" t="str">
        <f t="shared" si="232"/>
        <v>OK</v>
      </c>
      <c r="CD75" s="206" t="s">
        <v>313</v>
      </c>
      <c r="CE75" s="230"/>
      <c r="CF75" s="183" t="str">
        <f t="shared" si="191"/>
        <v/>
      </c>
      <c r="CG75" s="203" t="str">
        <f t="shared" si="233"/>
        <v>OK</v>
      </c>
      <c r="CH75" s="206" t="s">
        <v>313</v>
      </c>
      <c r="CI75" s="230"/>
      <c r="CJ75" s="183" t="str">
        <f t="shared" si="192"/>
        <v/>
      </c>
      <c r="CK75" s="203" t="str">
        <f t="shared" si="263"/>
        <v>OK</v>
      </c>
      <c r="CL75" s="206" t="s">
        <v>313</v>
      </c>
      <c r="CM75" s="230"/>
      <c r="CN75" s="183" t="str">
        <f t="shared" si="193"/>
        <v/>
      </c>
      <c r="CO75" s="203" t="str">
        <f t="shared" si="234"/>
        <v>OK</v>
      </c>
      <c r="CP75" s="206" t="s">
        <v>313</v>
      </c>
      <c r="CQ75" s="230"/>
      <c r="CR75" s="183" t="str">
        <f t="shared" si="194"/>
        <v/>
      </c>
      <c r="CS75" s="203" t="str">
        <f t="shared" si="235"/>
        <v>OK</v>
      </c>
      <c r="CT75" s="206" t="s">
        <v>313</v>
      </c>
      <c r="CU75" s="230"/>
      <c r="CV75" s="183" t="str">
        <f t="shared" si="195"/>
        <v/>
      </c>
      <c r="CW75" s="203" t="str">
        <f t="shared" si="264"/>
        <v>OK</v>
      </c>
      <c r="CX75" s="206" t="s">
        <v>313</v>
      </c>
      <c r="CY75" s="230"/>
      <c r="CZ75" s="183" t="str">
        <f t="shared" si="196"/>
        <v/>
      </c>
      <c r="DA75" s="203" t="str">
        <f t="shared" si="236"/>
        <v>OK</v>
      </c>
      <c r="DB75" s="206" t="s">
        <v>313</v>
      </c>
      <c r="DC75" s="230"/>
      <c r="DD75" s="183" t="str">
        <f t="shared" si="197"/>
        <v/>
      </c>
      <c r="DE75" s="203" t="str">
        <f t="shared" si="237"/>
        <v>OK</v>
      </c>
      <c r="DF75" s="206" t="s">
        <v>313</v>
      </c>
      <c r="DG75" s="230"/>
      <c r="DH75" s="183" t="str">
        <f t="shared" si="198"/>
        <v/>
      </c>
      <c r="DI75" s="203" t="str">
        <f t="shared" si="265"/>
        <v>OK</v>
      </c>
      <c r="DJ75" s="206" t="s">
        <v>313</v>
      </c>
      <c r="DK75" s="230"/>
      <c r="DL75" s="183" t="str">
        <f t="shared" si="199"/>
        <v/>
      </c>
      <c r="DM75" s="203" t="str">
        <f t="shared" si="238"/>
        <v>OK</v>
      </c>
      <c r="DN75" s="206" t="s">
        <v>313</v>
      </c>
      <c r="DO75" s="230"/>
      <c r="DP75" s="183" t="str">
        <f t="shared" si="200"/>
        <v/>
      </c>
      <c r="DQ75" s="203" t="str">
        <f t="shared" si="239"/>
        <v>OK</v>
      </c>
      <c r="DR75" s="206" t="s">
        <v>313</v>
      </c>
      <c r="DS75" s="230"/>
      <c r="DT75" s="183" t="str">
        <f t="shared" si="201"/>
        <v/>
      </c>
      <c r="DU75" s="203" t="str">
        <f t="shared" si="266"/>
        <v>OK</v>
      </c>
      <c r="DV75" s="206" t="s">
        <v>313</v>
      </c>
      <c r="DW75" s="230"/>
      <c r="DX75" s="183" t="str">
        <f t="shared" si="202"/>
        <v/>
      </c>
      <c r="DY75" s="203" t="str">
        <f t="shared" si="240"/>
        <v>OK</v>
      </c>
      <c r="DZ75" s="206" t="s">
        <v>313</v>
      </c>
      <c r="EA75" s="230"/>
      <c r="EB75" s="183" t="str">
        <f t="shared" si="203"/>
        <v/>
      </c>
      <c r="EC75" s="203" t="str">
        <f t="shared" si="241"/>
        <v>OK</v>
      </c>
      <c r="ED75" s="206" t="s">
        <v>313</v>
      </c>
      <c r="EE75" s="230"/>
      <c r="EF75" s="183" t="str">
        <f t="shared" si="204"/>
        <v/>
      </c>
      <c r="EG75" s="203" t="str">
        <f t="shared" si="267"/>
        <v>OK</v>
      </c>
      <c r="EH75" s="206" t="s">
        <v>313</v>
      </c>
      <c r="EI75" s="230"/>
      <c r="EJ75" s="183" t="str">
        <f t="shared" si="205"/>
        <v/>
      </c>
      <c r="EK75" s="203" t="str">
        <f t="shared" si="242"/>
        <v>OK</v>
      </c>
      <c r="EL75" s="206" t="s">
        <v>313</v>
      </c>
      <c r="EM75" s="230"/>
      <c r="EN75" s="183" t="str">
        <f t="shared" si="206"/>
        <v/>
      </c>
      <c r="EO75" s="203" t="str">
        <f t="shared" si="243"/>
        <v>OK</v>
      </c>
      <c r="EP75" s="206" t="s">
        <v>313</v>
      </c>
      <c r="EQ75" s="230"/>
      <c r="ER75" s="183" t="str">
        <f t="shared" si="207"/>
        <v/>
      </c>
      <c r="ES75" s="203" t="str">
        <f t="shared" si="268"/>
        <v>OK</v>
      </c>
      <c r="ET75" s="206" t="s">
        <v>313</v>
      </c>
      <c r="EU75" s="230"/>
      <c r="EV75" s="183" t="str">
        <f t="shared" si="208"/>
        <v/>
      </c>
      <c r="EW75" s="203" t="str">
        <f t="shared" si="244"/>
        <v>OK</v>
      </c>
      <c r="EX75" s="206" t="s">
        <v>313</v>
      </c>
      <c r="EY75" s="230"/>
      <c r="EZ75" s="183" t="str">
        <f t="shared" si="209"/>
        <v/>
      </c>
      <c r="FA75" s="203" t="str">
        <f t="shared" si="245"/>
        <v>OK</v>
      </c>
      <c r="FB75" s="206" t="s">
        <v>313</v>
      </c>
      <c r="FC75" s="230"/>
      <c r="FD75" s="183" t="str">
        <f t="shared" si="210"/>
        <v/>
      </c>
      <c r="FE75" s="203" t="str">
        <f t="shared" si="269"/>
        <v>OK</v>
      </c>
      <c r="FF75" s="206" t="s">
        <v>313</v>
      </c>
      <c r="FG75" s="230"/>
      <c r="FH75" s="183" t="str">
        <f t="shared" si="211"/>
        <v/>
      </c>
      <c r="FI75" s="203" t="str">
        <f t="shared" si="246"/>
        <v>OK</v>
      </c>
      <c r="FJ75" s="206" t="s">
        <v>313</v>
      </c>
      <c r="FK75" s="230"/>
      <c r="FL75" s="183" t="str">
        <f t="shared" si="212"/>
        <v/>
      </c>
      <c r="FM75" s="203" t="str">
        <f t="shared" si="247"/>
        <v>OK</v>
      </c>
      <c r="FN75" s="206" t="s">
        <v>313</v>
      </c>
      <c r="FO75" s="230"/>
      <c r="FP75" s="183" t="str">
        <f t="shared" si="213"/>
        <v/>
      </c>
      <c r="FQ75" s="203" t="str">
        <f t="shared" si="270"/>
        <v>OK</v>
      </c>
      <c r="FR75" s="206" t="s">
        <v>313</v>
      </c>
      <c r="FS75" s="230"/>
      <c r="FT75" s="183" t="str">
        <f t="shared" si="214"/>
        <v/>
      </c>
      <c r="FU75" s="203" t="str">
        <f t="shared" si="248"/>
        <v>OK</v>
      </c>
      <c r="FV75" s="206" t="s">
        <v>313</v>
      </c>
      <c r="FW75" s="230"/>
      <c r="FX75" s="183" t="str">
        <f t="shared" si="215"/>
        <v/>
      </c>
      <c r="FY75" s="203" t="str">
        <f t="shared" si="249"/>
        <v>OK</v>
      </c>
      <c r="FZ75" s="206" t="s">
        <v>313</v>
      </c>
      <c r="GA75" s="230"/>
      <c r="GB75" s="183" t="str">
        <f t="shared" si="216"/>
        <v/>
      </c>
      <c r="GC75" s="203" t="str">
        <f t="shared" si="271"/>
        <v>OK</v>
      </c>
      <c r="GD75" s="206" t="s">
        <v>313</v>
      </c>
      <c r="GE75" s="230"/>
      <c r="GF75" s="183" t="str">
        <f t="shared" si="217"/>
        <v/>
      </c>
      <c r="GG75" s="203" t="str">
        <f t="shared" si="272"/>
        <v>OK</v>
      </c>
      <c r="GH75" s="206" t="s">
        <v>313</v>
      </c>
      <c r="GI75" s="230"/>
      <c r="GJ75" s="183" t="str">
        <f t="shared" si="218"/>
        <v/>
      </c>
      <c r="GK75" s="203" t="str">
        <f t="shared" si="273"/>
        <v>OK</v>
      </c>
      <c r="GL75" s="206" t="s">
        <v>313</v>
      </c>
      <c r="GM75" s="230"/>
      <c r="GN75" s="183" t="str">
        <f t="shared" si="219"/>
        <v/>
      </c>
      <c r="GO75" s="203" t="str">
        <f t="shared" si="274"/>
        <v>OK</v>
      </c>
      <c r="GP75" s="206" t="s">
        <v>313</v>
      </c>
      <c r="GQ75" s="230"/>
      <c r="GR75" s="183" t="str">
        <f t="shared" si="220"/>
        <v/>
      </c>
      <c r="GS75" s="203" t="str">
        <f t="shared" si="250"/>
        <v>OK</v>
      </c>
      <c r="GT75" s="202"/>
      <c r="GU75" s="202"/>
      <c r="GV75" s="201"/>
      <c r="GW75" s="201"/>
      <c r="GX75" s="201"/>
    </row>
    <row r="76" spans="1:206">
      <c r="A76" s="200" t="s">
        <v>59</v>
      </c>
      <c r="B76" s="225">
        <f t="shared" si="221"/>
        <v>69</v>
      </c>
      <c r="C76" s="229"/>
      <c r="D76" s="229"/>
      <c r="E76" s="228"/>
      <c r="F76" s="222" t="s">
        <v>312</v>
      </c>
      <c r="G76" s="221"/>
      <c r="H76" s="220"/>
      <c r="I76" s="209"/>
      <c r="J76" s="217" t="s">
        <v>61</v>
      </c>
      <c r="K76" s="219"/>
      <c r="L76" s="219"/>
      <c r="M76" s="218"/>
      <c r="N76" s="217"/>
      <c r="O76" s="216"/>
      <c r="P76" s="212"/>
      <c r="Q76" s="212"/>
      <c r="R76" s="215"/>
      <c r="S76" s="214"/>
      <c r="T76" s="212"/>
      <c r="U76" s="213"/>
      <c r="V76" s="212"/>
      <c r="W76" s="211" t="str">
        <f t="shared" si="222"/>
        <v>3</v>
      </c>
      <c r="X76" s="210" t="s">
        <v>311</v>
      </c>
      <c r="Y76" s="210">
        <v>10</v>
      </c>
      <c r="Z76" s="210">
        <v>10</v>
      </c>
      <c r="AA76" s="209" t="s">
        <v>54</v>
      </c>
      <c r="AB76" s="209" t="s">
        <v>306</v>
      </c>
      <c r="AC76" s="207"/>
      <c r="AD76" s="231"/>
      <c r="AE76" s="230"/>
      <c r="AF76" s="183" t="str">
        <f t="shared" si="178"/>
        <v/>
      </c>
      <c r="AG76" s="203" t="str">
        <f t="shared" si="251"/>
        <v>OK</v>
      </c>
      <c r="AH76" s="231"/>
      <c r="AI76" s="230"/>
      <c r="AJ76" s="183" t="str">
        <f t="shared" si="179"/>
        <v/>
      </c>
      <c r="AK76" s="203" t="str">
        <f t="shared" si="252"/>
        <v>OK</v>
      </c>
      <c r="AL76" s="231"/>
      <c r="AM76" s="230"/>
      <c r="AN76" s="183" t="str">
        <f t="shared" si="180"/>
        <v/>
      </c>
      <c r="AO76" s="203" t="str">
        <f t="shared" si="253"/>
        <v>OK</v>
      </c>
      <c r="AP76" s="231"/>
      <c r="AQ76" s="230"/>
      <c r="AR76" s="183" t="str">
        <f t="shared" si="181"/>
        <v/>
      </c>
      <c r="AS76" s="203" t="str">
        <f t="shared" si="254"/>
        <v>OK</v>
      </c>
      <c r="AT76" s="231"/>
      <c r="AU76" s="230"/>
      <c r="AV76" s="183" t="str">
        <f t="shared" si="182"/>
        <v/>
      </c>
      <c r="AW76" s="203" t="str">
        <f t="shared" si="255"/>
        <v>OK</v>
      </c>
      <c r="AX76" s="231"/>
      <c r="AY76" s="230"/>
      <c r="AZ76" s="183" t="str">
        <f t="shared" si="183"/>
        <v/>
      </c>
      <c r="BA76" s="203" t="str">
        <f t="shared" si="256"/>
        <v>OK</v>
      </c>
      <c r="BB76" s="231"/>
      <c r="BC76" s="230"/>
      <c r="BD76" s="183" t="str">
        <f t="shared" si="184"/>
        <v/>
      </c>
      <c r="BE76" s="203" t="str">
        <f t="shared" si="257"/>
        <v>OK</v>
      </c>
      <c r="BF76" s="231"/>
      <c r="BG76" s="230"/>
      <c r="BH76" s="183" t="str">
        <f t="shared" si="185"/>
        <v/>
      </c>
      <c r="BI76" s="203" t="str">
        <f t="shared" si="258"/>
        <v>OK</v>
      </c>
      <c r="BJ76" s="231"/>
      <c r="BK76" s="230"/>
      <c r="BL76" s="183" t="str">
        <f t="shared" si="186"/>
        <v/>
      </c>
      <c r="BM76" s="203" t="str">
        <f t="shared" si="259"/>
        <v>OK</v>
      </c>
      <c r="BN76" s="231"/>
      <c r="BO76" s="230"/>
      <c r="BP76" s="183" t="str">
        <f t="shared" si="187"/>
        <v/>
      </c>
      <c r="BQ76" s="203" t="str">
        <f t="shared" si="260"/>
        <v>OK</v>
      </c>
      <c r="BR76" s="231"/>
      <c r="BS76" s="230"/>
      <c r="BT76" s="183" t="str">
        <f t="shared" si="188"/>
        <v/>
      </c>
      <c r="BU76" s="203" t="str">
        <f t="shared" si="261"/>
        <v>OK</v>
      </c>
      <c r="BV76" s="231"/>
      <c r="BW76" s="230"/>
      <c r="BX76" s="183" t="str">
        <f t="shared" si="189"/>
        <v/>
      </c>
      <c r="BY76" s="203" t="str">
        <f t="shared" si="262"/>
        <v>OK</v>
      </c>
      <c r="BZ76" s="231"/>
      <c r="CA76" s="230"/>
      <c r="CB76" s="183" t="str">
        <f t="shared" si="190"/>
        <v/>
      </c>
      <c r="CC76" s="203" t="str">
        <f t="shared" si="232"/>
        <v>OK</v>
      </c>
      <c r="CD76" s="231"/>
      <c r="CE76" s="230"/>
      <c r="CF76" s="183" t="str">
        <f t="shared" si="191"/>
        <v/>
      </c>
      <c r="CG76" s="203" t="str">
        <f t="shared" si="233"/>
        <v>OK</v>
      </c>
      <c r="CH76" s="231"/>
      <c r="CI76" s="230"/>
      <c r="CJ76" s="183" t="str">
        <f t="shared" si="192"/>
        <v/>
      </c>
      <c r="CK76" s="203" t="str">
        <f t="shared" si="263"/>
        <v>OK</v>
      </c>
      <c r="CL76" s="231"/>
      <c r="CM76" s="230"/>
      <c r="CN76" s="183" t="str">
        <f t="shared" si="193"/>
        <v/>
      </c>
      <c r="CO76" s="203" t="str">
        <f t="shared" si="234"/>
        <v>OK</v>
      </c>
      <c r="CP76" s="231"/>
      <c r="CQ76" s="230"/>
      <c r="CR76" s="183" t="str">
        <f t="shared" si="194"/>
        <v/>
      </c>
      <c r="CS76" s="203" t="str">
        <f t="shared" si="235"/>
        <v>OK</v>
      </c>
      <c r="CT76" s="231"/>
      <c r="CU76" s="230"/>
      <c r="CV76" s="183" t="str">
        <f t="shared" si="195"/>
        <v/>
      </c>
      <c r="CW76" s="203" t="str">
        <f t="shared" si="264"/>
        <v>OK</v>
      </c>
      <c r="CX76" s="231"/>
      <c r="CY76" s="230"/>
      <c r="CZ76" s="183" t="str">
        <f t="shared" si="196"/>
        <v/>
      </c>
      <c r="DA76" s="203" t="str">
        <f t="shared" si="236"/>
        <v>OK</v>
      </c>
      <c r="DB76" s="231"/>
      <c r="DC76" s="230"/>
      <c r="DD76" s="183" t="str">
        <f t="shared" si="197"/>
        <v/>
      </c>
      <c r="DE76" s="203" t="str">
        <f t="shared" si="237"/>
        <v>OK</v>
      </c>
      <c r="DF76" s="231"/>
      <c r="DG76" s="230"/>
      <c r="DH76" s="183" t="str">
        <f t="shared" si="198"/>
        <v/>
      </c>
      <c r="DI76" s="203" t="str">
        <f t="shared" si="265"/>
        <v>OK</v>
      </c>
      <c r="DJ76" s="231"/>
      <c r="DK76" s="230"/>
      <c r="DL76" s="183" t="str">
        <f t="shared" si="199"/>
        <v/>
      </c>
      <c r="DM76" s="203" t="str">
        <f t="shared" si="238"/>
        <v>OK</v>
      </c>
      <c r="DN76" s="231"/>
      <c r="DO76" s="230"/>
      <c r="DP76" s="183" t="str">
        <f t="shared" si="200"/>
        <v/>
      </c>
      <c r="DQ76" s="203" t="str">
        <f t="shared" si="239"/>
        <v>OK</v>
      </c>
      <c r="DR76" s="231"/>
      <c r="DS76" s="230"/>
      <c r="DT76" s="183" t="str">
        <f t="shared" si="201"/>
        <v/>
      </c>
      <c r="DU76" s="203" t="str">
        <f t="shared" si="266"/>
        <v>OK</v>
      </c>
      <c r="DV76" s="231"/>
      <c r="DW76" s="230"/>
      <c r="DX76" s="183" t="str">
        <f t="shared" si="202"/>
        <v/>
      </c>
      <c r="DY76" s="203" t="str">
        <f t="shared" si="240"/>
        <v>OK</v>
      </c>
      <c r="DZ76" s="231"/>
      <c r="EA76" s="230"/>
      <c r="EB76" s="183" t="str">
        <f t="shared" si="203"/>
        <v/>
      </c>
      <c r="EC76" s="203" t="str">
        <f t="shared" si="241"/>
        <v>OK</v>
      </c>
      <c r="ED76" s="231"/>
      <c r="EE76" s="230"/>
      <c r="EF76" s="183" t="str">
        <f t="shared" si="204"/>
        <v/>
      </c>
      <c r="EG76" s="203" t="str">
        <f t="shared" si="267"/>
        <v>OK</v>
      </c>
      <c r="EH76" s="231"/>
      <c r="EI76" s="230"/>
      <c r="EJ76" s="183" t="str">
        <f t="shared" si="205"/>
        <v/>
      </c>
      <c r="EK76" s="203" t="str">
        <f t="shared" si="242"/>
        <v>OK</v>
      </c>
      <c r="EL76" s="231"/>
      <c r="EM76" s="230"/>
      <c r="EN76" s="183" t="str">
        <f t="shared" si="206"/>
        <v/>
      </c>
      <c r="EO76" s="203" t="str">
        <f t="shared" si="243"/>
        <v>OK</v>
      </c>
      <c r="EP76" s="231"/>
      <c r="EQ76" s="230"/>
      <c r="ER76" s="183" t="str">
        <f t="shared" si="207"/>
        <v/>
      </c>
      <c r="ES76" s="203" t="str">
        <f t="shared" si="268"/>
        <v>OK</v>
      </c>
      <c r="ET76" s="231"/>
      <c r="EU76" s="230"/>
      <c r="EV76" s="183" t="str">
        <f t="shared" si="208"/>
        <v/>
      </c>
      <c r="EW76" s="203" t="str">
        <f t="shared" si="244"/>
        <v>OK</v>
      </c>
      <c r="EX76" s="231"/>
      <c r="EY76" s="230"/>
      <c r="EZ76" s="183" t="str">
        <f t="shared" si="209"/>
        <v/>
      </c>
      <c r="FA76" s="203" t="str">
        <f t="shared" si="245"/>
        <v>OK</v>
      </c>
      <c r="FB76" s="231"/>
      <c r="FC76" s="230"/>
      <c r="FD76" s="183" t="str">
        <f t="shared" si="210"/>
        <v/>
      </c>
      <c r="FE76" s="203" t="str">
        <f t="shared" si="269"/>
        <v>OK</v>
      </c>
      <c r="FF76" s="231"/>
      <c r="FG76" s="230"/>
      <c r="FH76" s="183" t="str">
        <f t="shared" si="211"/>
        <v/>
      </c>
      <c r="FI76" s="203" t="str">
        <f t="shared" si="246"/>
        <v>OK</v>
      </c>
      <c r="FJ76" s="231"/>
      <c r="FK76" s="230"/>
      <c r="FL76" s="183" t="str">
        <f t="shared" si="212"/>
        <v/>
      </c>
      <c r="FM76" s="203" t="str">
        <f t="shared" si="247"/>
        <v>OK</v>
      </c>
      <c r="FN76" s="231"/>
      <c r="FO76" s="230"/>
      <c r="FP76" s="183" t="str">
        <f t="shared" si="213"/>
        <v/>
      </c>
      <c r="FQ76" s="203" t="str">
        <f t="shared" si="270"/>
        <v>OK</v>
      </c>
      <c r="FR76" s="231"/>
      <c r="FS76" s="230"/>
      <c r="FT76" s="183" t="str">
        <f t="shared" si="214"/>
        <v/>
      </c>
      <c r="FU76" s="203" t="str">
        <f t="shared" si="248"/>
        <v>OK</v>
      </c>
      <c r="FV76" s="231"/>
      <c r="FW76" s="230"/>
      <c r="FX76" s="183" t="str">
        <f t="shared" si="215"/>
        <v/>
      </c>
      <c r="FY76" s="203" t="str">
        <f t="shared" si="249"/>
        <v>OK</v>
      </c>
      <c r="FZ76" s="231"/>
      <c r="GA76" s="230"/>
      <c r="GB76" s="183" t="str">
        <f t="shared" si="216"/>
        <v/>
      </c>
      <c r="GC76" s="203" t="str">
        <f t="shared" si="271"/>
        <v>OK</v>
      </c>
      <c r="GD76" s="231"/>
      <c r="GE76" s="230"/>
      <c r="GF76" s="183" t="str">
        <f t="shared" si="217"/>
        <v/>
      </c>
      <c r="GG76" s="203" t="str">
        <f t="shared" si="272"/>
        <v>OK</v>
      </c>
      <c r="GH76" s="231"/>
      <c r="GI76" s="230"/>
      <c r="GJ76" s="183" t="str">
        <f t="shared" si="218"/>
        <v/>
      </c>
      <c r="GK76" s="203" t="str">
        <f t="shared" si="273"/>
        <v>OK</v>
      </c>
      <c r="GL76" s="231"/>
      <c r="GM76" s="230"/>
      <c r="GN76" s="183" t="str">
        <f t="shared" si="219"/>
        <v/>
      </c>
      <c r="GO76" s="203" t="str">
        <f t="shared" si="274"/>
        <v>OK</v>
      </c>
      <c r="GP76" s="231"/>
      <c r="GQ76" s="230"/>
      <c r="GR76" s="183" t="str">
        <f t="shared" si="220"/>
        <v/>
      </c>
      <c r="GS76" s="203" t="str">
        <f t="shared" si="250"/>
        <v>OK</v>
      </c>
      <c r="GT76" s="202"/>
      <c r="GU76" s="202"/>
      <c r="GV76" s="201"/>
      <c r="GW76" s="201"/>
      <c r="GX76" s="201"/>
    </row>
    <row r="77" spans="1:206" ht="37.5">
      <c r="A77" s="200" t="s">
        <v>59</v>
      </c>
      <c r="B77" s="225">
        <f t="shared" si="221"/>
        <v>70</v>
      </c>
      <c r="C77" s="229"/>
      <c r="D77" s="229"/>
      <c r="E77" s="223"/>
      <c r="F77" s="222" t="s">
        <v>310</v>
      </c>
      <c r="G77" s="221"/>
      <c r="H77" s="220"/>
      <c r="I77" s="209"/>
      <c r="J77" s="217" t="s">
        <v>59</v>
      </c>
      <c r="K77" s="219"/>
      <c r="L77" s="219"/>
      <c r="M77" s="218" t="s">
        <v>309</v>
      </c>
      <c r="N77" s="217" t="s">
        <v>308</v>
      </c>
      <c r="O77" s="216"/>
      <c r="P77" s="212"/>
      <c r="Q77" s="212"/>
      <c r="R77" s="215"/>
      <c r="S77" s="214"/>
      <c r="T77" s="212"/>
      <c r="U77" s="213"/>
      <c r="V77" s="212"/>
      <c r="W77" s="211" t="str">
        <f t="shared" si="222"/>
        <v>3</v>
      </c>
      <c r="X77" s="210" t="s">
        <v>307</v>
      </c>
      <c r="Y77" s="210">
        <v>1</v>
      </c>
      <c r="Z77" s="210">
        <v>1</v>
      </c>
      <c r="AA77" s="209" t="s">
        <v>54</v>
      </c>
      <c r="AB77" s="209" t="s">
        <v>306</v>
      </c>
      <c r="AC77" s="207"/>
      <c r="AD77" s="231" t="s">
        <v>57</v>
      </c>
      <c r="AE77" s="230"/>
      <c r="AF77" s="183" t="str">
        <f t="shared" si="178"/>
        <v/>
      </c>
      <c r="AG77" s="203" t="str">
        <f t="shared" si="251"/>
        <v>OK</v>
      </c>
      <c r="AH77" s="231" t="s">
        <v>57</v>
      </c>
      <c r="AI77" s="230"/>
      <c r="AJ77" s="183" t="str">
        <f t="shared" si="179"/>
        <v/>
      </c>
      <c r="AK77" s="203" t="str">
        <f t="shared" si="252"/>
        <v>OK</v>
      </c>
      <c r="AL77" s="231" t="s">
        <v>57</v>
      </c>
      <c r="AM77" s="230"/>
      <c r="AN77" s="183" t="str">
        <f t="shared" si="180"/>
        <v/>
      </c>
      <c r="AO77" s="203" t="str">
        <f t="shared" si="253"/>
        <v>OK</v>
      </c>
      <c r="AP77" s="231" t="s">
        <v>57</v>
      </c>
      <c r="AQ77" s="230"/>
      <c r="AR77" s="183" t="str">
        <f t="shared" si="181"/>
        <v/>
      </c>
      <c r="AS77" s="203" t="str">
        <f t="shared" si="254"/>
        <v>OK</v>
      </c>
      <c r="AT77" s="231" t="s">
        <v>57</v>
      </c>
      <c r="AU77" s="230"/>
      <c r="AV77" s="183" t="str">
        <f t="shared" si="182"/>
        <v/>
      </c>
      <c r="AW77" s="203" t="str">
        <f t="shared" si="255"/>
        <v>OK</v>
      </c>
      <c r="AX77" s="231" t="s">
        <v>57</v>
      </c>
      <c r="AY77" s="230"/>
      <c r="AZ77" s="183" t="str">
        <f t="shared" si="183"/>
        <v/>
      </c>
      <c r="BA77" s="203" t="str">
        <f t="shared" si="256"/>
        <v>OK</v>
      </c>
      <c r="BB77" s="231" t="s">
        <v>57</v>
      </c>
      <c r="BC77" s="230"/>
      <c r="BD77" s="183" t="str">
        <f t="shared" si="184"/>
        <v/>
      </c>
      <c r="BE77" s="203" t="str">
        <f t="shared" si="257"/>
        <v>OK</v>
      </c>
      <c r="BF77" s="231" t="s">
        <v>57</v>
      </c>
      <c r="BG77" s="230"/>
      <c r="BH77" s="183" t="str">
        <f t="shared" si="185"/>
        <v/>
      </c>
      <c r="BI77" s="203" t="str">
        <f t="shared" si="258"/>
        <v>OK</v>
      </c>
      <c r="BJ77" s="231" t="s">
        <v>57</v>
      </c>
      <c r="BK77" s="230"/>
      <c r="BL77" s="183" t="str">
        <f t="shared" si="186"/>
        <v/>
      </c>
      <c r="BM77" s="203" t="str">
        <f t="shared" si="259"/>
        <v>OK</v>
      </c>
      <c r="BN77" s="231" t="s">
        <v>57</v>
      </c>
      <c r="BO77" s="230"/>
      <c r="BP77" s="183" t="str">
        <f t="shared" si="187"/>
        <v/>
      </c>
      <c r="BQ77" s="203" t="str">
        <f t="shared" si="260"/>
        <v>OK</v>
      </c>
      <c r="BR77" s="231" t="s">
        <v>57</v>
      </c>
      <c r="BS77" s="230"/>
      <c r="BT77" s="183" t="str">
        <f t="shared" si="188"/>
        <v/>
      </c>
      <c r="BU77" s="203" t="str">
        <f t="shared" si="261"/>
        <v>OK</v>
      </c>
      <c r="BV77" s="231" t="s">
        <v>57</v>
      </c>
      <c r="BW77" s="230"/>
      <c r="BX77" s="183" t="str">
        <f t="shared" si="189"/>
        <v/>
      </c>
      <c r="BY77" s="203" t="str">
        <f t="shared" si="262"/>
        <v>OK</v>
      </c>
      <c r="BZ77" s="231" t="s">
        <v>57</v>
      </c>
      <c r="CA77" s="230"/>
      <c r="CB77" s="183" t="str">
        <f t="shared" si="190"/>
        <v/>
      </c>
      <c r="CC77" s="203" t="str">
        <f t="shared" si="232"/>
        <v>OK</v>
      </c>
      <c r="CD77" s="231" t="s">
        <v>57</v>
      </c>
      <c r="CE77" s="230"/>
      <c r="CF77" s="183" t="str">
        <f t="shared" si="191"/>
        <v/>
      </c>
      <c r="CG77" s="203" t="str">
        <f t="shared" si="233"/>
        <v>OK</v>
      </c>
      <c r="CH77" s="231" t="s">
        <v>57</v>
      </c>
      <c r="CI77" s="230"/>
      <c r="CJ77" s="183" t="str">
        <f t="shared" si="192"/>
        <v/>
      </c>
      <c r="CK77" s="203" t="str">
        <f t="shared" si="263"/>
        <v>OK</v>
      </c>
      <c r="CL77" s="231" t="s">
        <v>57</v>
      </c>
      <c r="CM77" s="230"/>
      <c r="CN77" s="183" t="str">
        <f t="shared" si="193"/>
        <v/>
      </c>
      <c r="CO77" s="203" t="str">
        <f t="shared" si="234"/>
        <v>OK</v>
      </c>
      <c r="CP77" s="231" t="s">
        <v>57</v>
      </c>
      <c r="CQ77" s="230"/>
      <c r="CR77" s="183" t="str">
        <f t="shared" si="194"/>
        <v/>
      </c>
      <c r="CS77" s="203" t="str">
        <f t="shared" si="235"/>
        <v>OK</v>
      </c>
      <c r="CT77" s="231" t="s">
        <v>57</v>
      </c>
      <c r="CU77" s="230"/>
      <c r="CV77" s="183" t="str">
        <f t="shared" si="195"/>
        <v/>
      </c>
      <c r="CW77" s="203" t="str">
        <f t="shared" si="264"/>
        <v>OK</v>
      </c>
      <c r="CX77" s="231" t="s">
        <v>57</v>
      </c>
      <c r="CY77" s="230"/>
      <c r="CZ77" s="183" t="str">
        <f t="shared" si="196"/>
        <v/>
      </c>
      <c r="DA77" s="203" t="str">
        <f t="shared" si="236"/>
        <v>OK</v>
      </c>
      <c r="DB77" s="231" t="s">
        <v>57</v>
      </c>
      <c r="DC77" s="230"/>
      <c r="DD77" s="183" t="str">
        <f t="shared" si="197"/>
        <v/>
      </c>
      <c r="DE77" s="203" t="str">
        <f t="shared" si="237"/>
        <v>OK</v>
      </c>
      <c r="DF77" s="231" t="s">
        <v>57</v>
      </c>
      <c r="DG77" s="230"/>
      <c r="DH77" s="183" t="str">
        <f t="shared" si="198"/>
        <v/>
      </c>
      <c r="DI77" s="203" t="str">
        <f t="shared" si="265"/>
        <v>OK</v>
      </c>
      <c r="DJ77" s="231" t="s">
        <v>57</v>
      </c>
      <c r="DK77" s="230"/>
      <c r="DL77" s="183" t="str">
        <f t="shared" si="199"/>
        <v/>
      </c>
      <c r="DM77" s="203" t="str">
        <f t="shared" si="238"/>
        <v>OK</v>
      </c>
      <c r="DN77" s="231" t="s">
        <v>57</v>
      </c>
      <c r="DO77" s="230"/>
      <c r="DP77" s="183" t="str">
        <f t="shared" si="200"/>
        <v/>
      </c>
      <c r="DQ77" s="203" t="str">
        <f t="shared" si="239"/>
        <v>OK</v>
      </c>
      <c r="DR77" s="231" t="s">
        <v>57</v>
      </c>
      <c r="DS77" s="230"/>
      <c r="DT77" s="183" t="str">
        <f t="shared" si="201"/>
        <v/>
      </c>
      <c r="DU77" s="203" t="str">
        <f t="shared" si="266"/>
        <v>OK</v>
      </c>
      <c r="DV77" s="231" t="s">
        <v>57</v>
      </c>
      <c r="DW77" s="230"/>
      <c r="DX77" s="183" t="str">
        <f t="shared" si="202"/>
        <v/>
      </c>
      <c r="DY77" s="203" t="str">
        <f t="shared" si="240"/>
        <v>OK</v>
      </c>
      <c r="DZ77" s="231" t="s">
        <v>57</v>
      </c>
      <c r="EA77" s="230"/>
      <c r="EB77" s="183" t="str">
        <f t="shared" si="203"/>
        <v/>
      </c>
      <c r="EC77" s="203" t="str">
        <f t="shared" si="241"/>
        <v>OK</v>
      </c>
      <c r="ED77" s="231" t="s">
        <v>57</v>
      </c>
      <c r="EE77" s="230"/>
      <c r="EF77" s="183" t="str">
        <f t="shared" si="204"/>
        <v/>
      </c>
      <c r="EG77" s="203" t="str">
        <f t="shared" si="267"/>
        <v>OK</v>
      </c>
      <c r="EH77" s="231" t="s">
        <v>57</v>
      </c>
      <c r="EI77" s="230"/>
      <c r="EJ77" s="183" t="str">
        <f t="shared" si="205"/>
        <v/>
      </c>
      <c r="EK77" s="203" t="str">
        <f t="shared" si="242"/>
        <v>OK</v>
      </c>
      <c r="EL77" s="231" t="s">
        <v>57</v>
      </c>
      <c r="EM77" s="230"/>
      <c r="EN77" s="183" t="str">
        <f t="shared" si="206"/>
        <v/>
      </c>
      <c r="EO77" s="203" t="str">
        <f t="shared" si="243"/>
        <v>OK</v>
      </c>
      <c r="EP77" s="231" t="s">
        <v>57</v>
      </c>
      <c r="EQ77" s="230"/>
      <c r="ER77" s="183" t="str">
        <f t="shared" si="207"/>
        <v/>
      </c>
      <c r="ES77" s="203" t="str">
        <f t="shared" si="268"/>
        <v>OK</v>
      </c>
      <c r="ET77" s="231" t="s">
        <v>57</v>
      </c>
      <c r="EU77" s="230"/>
      <c r="EV77" s="183" t="str">
        <f t="shared" si="208"/>
        <v/>
      </c>
      <c r="EW77" s="203" t="str">
        <f t="shared" si="244"/>
        <v>OK</v>
      </c>
      <c r="EX77" s="231" t="s">
        <v>57</v>
      </c>
      <c r="EY77" s="230"/>
      <c r="EZ77" s="183" t="str">
        <f t="shared" si="209"/>
        <v/>
      </c>
      <c r="FA77" s="203" t="str">
        <f t="shared" si="245"/>
        <v>OK</v>
      </c>
      <c r="FB77" s="231" t="s">
        <v>57</v>
      </c>
      <c r="FC77" s="230"/>
      <c r="FD77" s="183" t="str">
        <f t="shared" si="210"/>
        <v/>
      </c>
      <c r="FE77" s="203" t="str">
        <f t="shared" si="269"/>
        <v>OK</v>
      </c>
      <c r="FF77" s="231" t="s">
        <v>57</v>
      </c>
      <c r="FG77" s="230"/>
      <c r="FH77" s="183" t="str">
        <f t="shared" si="211"/>
        <v/>
      </c>
      <c r="FI77" s="203" t="str">
        <f t="shared" si="246"/>
        <v>OK</v>
      </c>
      <c r="FJ77" s="231" t="s">
        <v>57</v>
      </c>
      <c r="FK77" s="230"/>
      <c r="FL77" s="183" t="str">
        <f t="shared" si="212"/>
        <v/>
      </c>
      <c r="FM77" s="203" t="str">
        <f t="shared" si="247"/>
        <v>OK</v>
      </c>
      <c r="FN77" s="231" t="s">
        <v>57</v>
      </c>
      <c r="FO77" s="230"/>
      <c r="FP77" s="183" t="str">
        <f t="shared" si="213"/>
        <v/>
      </c>
      <c r="FQ77" s="203" t="str">
        <f t="shared" si="270"/>
        <v>OK</v>
      </c>
      <c r="FR77" s="231" t="s">
        <v>57</v>
      </c>
      <c r="FS77" s="230"/>
      <c r="FT77" s="183" t="str">
        <f t="shared" si="214"/>
        <v/>
      </c>
      <c r="FU77" s="203" t="str">
        <f t="shared" si="248"/>
        <v>OK</v>
      </c>
      <c r="FV77" s="231" t="s">
        <v>57</v>
      </c>
      <c r="FW77" s="230"/>
      <c r="FX77" s="183" t="str">
        <f t="shared" si="215"/>
        <v/>
      </c>
      <c r="FY77" s="203" t="str">
        <f t="shared" si="249"/>
        <v>OK</v>
      </c>
      <c r="FZ77" s="231" t="s">
        <v>57</v>
      </c>
      <c r="GA77" s="230"/>
      <c r="GB77" s="183" t="str">
        <f t="shared" si="216"/>
        <v/>
      </c>
      <c r="GC77" s="203" t="str">
        <f t="shared" si="271"/>
        <v>OK</v>
      </c>
      <c r="GD77" s="231" t="s">
        <v>57</v>
      </c>
      <c r="GE77" s="230"/>
      <c r="GF77" s="183" t="str">
        <f t="shared" si="217"/>
        <v/>
      </c>
      <c r="GG77" s="203" t="str">
        <f t="shared" si="272"/>
        <v>OK</v>
      </c>
      <c r="GH77" s="231" t="s">
        <v>57</v>
      </c>
      <c r="GI77" s="230"/>
      <c r="GJ77" s="183" t="str">
        <f t="shared" si="218"/>
        <v/>
      </c>
      <c r="GK77" s="203" t="str">
        <f t="shared" si="273"/>
        <v>OK</v>
      </c>
      <c r="GL77" s="231" t="s">
        <v>57</v>
      </c>
      <c r="GM77" s="230"/>
      <c r="GN77" s="183" t="str">
        <f t="shared" si="219"/>
        <v/>
      </c>
      <c r="GO77" s="203" t="str">
        <f t="shared" si="274"/>
        <v>OK</v>
      </c>
      <c r="GP77" s="231" t="s">
        <v>57</v>
      </c>
      <c r="GQ77" s="230"/>
      <c r="GR77" s="183" t="str">
        <f t="shared" si="220"/>
        <v/>
      </c>
      <c r="GS77" s="203" t="str">
        <f t="shared" si="250"/>
        <v>OK</v>
      </c>
      <c r="GT77" s="202"/>
      <c r="GU77" s="202"/>
      <c r="GV77" s="201"/>
      <c r="GW77" s="201"/>
      <c r="GX77" s="201"/>
    </row>
    <row r="78" spans="1:206" ht="37.5">
      <c r="A78" s="200" t="s">
        <v>298</v>
      </c>
      <c r="B78" s="225">
        <f t="shared" si="221"/>
        <v>71</v>
      </c>
      <c r="C78" s="229"/>
      <c r="D78" s="229"/>
      <c r="E78" s="222" t="s">
        <v>67</v>
      </c>
      <c r="F78" s="221"/>
      <c r="G78" s="221"/>
      <c r="H78" s="220"/>
      <c r="I78" s="209"/>
      <c r="J78" s="217" t="s">
        <v>23</v>
      </c>
      <c r="K78" s="219"/>
      <c r="L78" s="219"/>
      <c r="M78" s="236" t="s">
        <v>305</v>
      </c>
      <c r="N78" s="217"/>
      <c r="O78" s="216"/>
      <c r="P78" s="212"/>
      <c r="Q78" s="212"/>
      <c r="R78" s="215"/>
      <c r="S78" s="214"/>
      <c r="T78" s="212"/>
      <c r="U78" s="213"/>
      <c r="V78" s="212"/>
      <c r="W78" s="211" t="str">
        <f t="shared" si="222"/>
        <v>2</v>
      </c>
      <c r="X78" s="224" t="s">
        <v>56</v>
      </c>
      <c r="Y78" s="224">
        <v>4</v>
      </c>
      <c r="Z78" s="224">
        <v>4</v>
      </c>
      <c r="AA78" s="208" t="s">
        <v>54</v>
      </c>
      <c r="AB78" s="208" t="s">
        <v>14</v>
      </c>
      <c r="AC78" s="207"/>
      <c r="AD78" s="231"/>
      <c r="AE78" s="205"/>
      <c r="AF78" s="235" t="s">
        <v>304</v>
      </c>
      <c r="AG78" s="203" t="str">
        <f t="shared" si="251"/>
        <v>NG</v>
      </c>
      <c r="AH78" s="231"/>
      <c r="AI78" s="205"/>
      <c r="AJ78" s="235" t="s">
        <v>304</v>
      </c>
      <c r="AK78" s="203" t="str">
        <f t="shared" si="252"/>
        <v>NG</v>
      </c>
      <c r="AL78" s="231"/>
      <c r="AM78" s="205"/>
      <c r="AN78" s="235" t="s">
        <v>304</v>
      </c>
      <c r="AO78" s="203" t="str">
        <f t="shared" si="253"/>
        <v>NG</v>
      </c>
      <c r="AP78" s="231"/>
      <c r="AQ78" s="205"/>
      <c r="AR78" s="235" t="s">
        <v>304</v>
      </c>
      <c r="AS78" s="203" t="str">
        <f t="shared" si="254"/>
        <v>NG</v>
      </c>
      <c r="AT78" s="231"/>
      <c r="AU78" s="205"/>
      <c r="AV78" s="235" t="s">
        <v>304</v>
      </c>
      <c r="AW78" s="203" t="str">
        <f t="shared" si="255"/>
        <v>NG</v>
      </c>
      <c r="AX78" s="231"/>
      <c r="AY78" s="205"/>
      <c r="AZ78" s="235" t="s">
        <v>304</v>
      </c>
      <c r="BA78" s="203" t="str">
        <f t="shared" si="256"/>
        <v>NG</v>
      </c>
      <c r="BB78" s="231"/>
      <c r="BC78" s="205"/>
      <c r="BD78" s="235" t="s">
        <v>304</v>
      </c>
      <c r="BE78" s="203" t="str">
        <f t="shared" si="257"/>
        <v>NG</v>
      </c>
      <c r="BF78" s="231"/>
      <c r="BG78" s="205"/>
      <c r="BH78" s="235" t="s">
        <v>304</v>
      </c>
      <c r="BI78" s="203" t="str">
        <f t="shared" si="258"/>
        <v>NG</v>
      </c>
      <c r="BJ78" s="231"/>
      <c r="BK78" s="205"/>
      <c r="BL78" s="235" t="s">
        <v>304</v>
      </c>
      <c r="BM78" s="203" t="str">
        <f t="shared" si="259"/>
        <v>NG</v>
      </c>
      <c r="BN78" s="231"/>
      <c r="BO78" s="205"/>
      <c r="BP78" s="235" t="s">
        <v>304</v>
      </c>
      <c r="BQ78" s="203" t="str">
        <f t="shared" si="260"/>
        <v>NG</v>
      </c>
      <c r="BR78" s="231"/>
      <c r="BS78" s="205"/>
      <c r="BT78" s="235" t="s">
        <v>304</v>
      </c>
      <c r="BU78" s="203" t="str">
        <f t="shared" si="261"/>
        <v>NG</v>
      </c>
      <c r="BV78" s="231"/>
      <c r="BW78" s="205"/>
      <c r="BX78" s="235" t="s">
        <v>304</v>
      </c>
      <c r="BY78" s="203" t="str">
        <f t="shared" si="262"/>
        <v>NG</v>
      </c>
      <c r="BZ78" s="231"/>
      <c r="CA78" s="205"/>
      <c r="CB78" s="235" t="s">
        <v>304</v>
      </c>
      <c r="CC78" s="203" t="str">
        <f t="shared" si="232"/>
        <v>NG</v>
      </c>
      <c r="CD78" s="231"/>
      <c r="CE78" s="205"/>
      <c r="CF78" s="235" t="s">
        <v>304</v>
      </c>
      <c r="CG78" s="203" t="str">
        <f t="shared" si="233"/>
        <v>NG</v>
      </c>
      <c r="CH78" s="231"/>
      <c r="CI78" s="205"/>
      <c r="CJ78" s="235" t="s">
        <v>304</v>
      </c>
      <c r="CK78" s="203" t="str">
        <f t="shared" si="263"/>
        <v>NG</v>
      </c>
      <c r="CL78" s="231"/>
      <c r="CM78" s="205"/>
      <c r="CN78" s="235" t="s">
        <v>304</v>
      </c>
      <c r="CO78" s="203" t="str">
        <f t="shared" si="234"/>
        <v>NG</v>
      </c>
      <c r="CP78" s="231"/>
      <c r="CQ78" s="205"/>
      <c r="CR78" s="235" t="s">
        <v>304</v>
      </c>
      <c r="CS78" s="203" t="str">
        <f t="shared" si="235"/>
        <v>NG</v>
      </c>
      <c r="CT78" s="231"/>
      <c r="CU78" s="205"/>
      <c r="CV78" s="235" t="s">
        <v>304</v>
      </c>
      <c r="CW78" s="203" t="str">
        <f t="shared" si="264"/>
        <v>NG</v>
      </c>
      <c r="CX78" s="231"/>
      <c r="CY78" s="205"/>
      <c r="CZ78" s="235" t="s">
        <v>304</v>
      </c>
      <c r="DA78" s="203" t="str">
        <f t="shared" si="236"/>
        <v>NG</v>
      </c>
      <c r="DB78" s="231"/>
      <c r="DC78" s="205"/>
      <c r="DD78" s="235" t="s">
        <v>304</v>
      </c>
      <c r="DE78" s="203" t="str">
        <f t="shared" si="237"/>
        <v>NG</v>
      </c>
      <c r="DF78" s="231"/>
      <c r="DG78" s="205"/>
      <c r="DH78" s="235" t="s">
        <v>304</v>
      </c>
      <c r="DI78" s="203" t="str">
        <f t="shared" si="265"/>
        <v>NG</v>
      </c>
      <c r="DJ78" s="231"/>
      <c r="DK78" s="205"/>
      <c r="DL78" s="235" t="s">
        <v>304</v>
      </c>
      <c r="DM78" s="203" t="str">
        <f t="shared" si="238"/>
        <v>NG</v>
      </c>
      <c r="DN78" s="231"/>
      <c r="DO78" s="205"/>
      <c r="DP78" s="235" t="s">
        <v>304</v>
      </c>
      <c r="DQ78" s="203" t="str">
        <f t="shared" si="239"/>
        <v>NG</v>
      </c>
      <c r="DR78" s="231"/>
      <c r="DS78" s="205"/>
      <c r="DT78" s="235" t="s">
        <v>304</v>
      </c>
      <c r="DU78" s="203" t="str">
        <f t="shared" si="266"/>
        <v>NG</v>
      </c>
      <c r="DV78" s="231"/>
      <c r="DW78" s="205"/>
      <c r="DX78" s="235" t="s">
        <v>304</v>
      </c>
      <c r="DY78" s="203" t="str">
        <f t="shared" si="240"/>
        <v>NG</v>
      </c>
      <c r="DZ78" s="231"/>
      <c r="EA78" s="205"/>
      <c r="EB78" s="235" t="s">
        <v>304</v>
      </c>
      <c r="EC78" s="203" t="str">
        <f t="shared" si="241"/>
        <v>NG</v>
      </c>
      <c r="ED78" s="231"/>
      <c r="EE78" s="205"/>
      <c r="EF78" s="235" t="s">
        <v>304</v>
      </c>
      <c r="EG78" s="203" t="str">
        <f t="shared" si="267"/>
        <v>NG</v>
      </c>
      <c r="EH78" s="231"/>
      <c r="EI78" s="205"/>
      <c r="EJ78" s="235" t="s">
        <v>304</v>
      </c>
      <c r="EK78" s="203" t="str">
        <f t="shared" si="242"/>
        <v>NG</v>
      </c>
      <c r="EL78" s="231"/>
      <c r="EM78" s="205"/>
      <c r="EN78" s="235" t="s">
        <v>304</v>
      </c>
      <c r="EO78" s="203" t="str">
        <f t="shared" si="243"/>
        <v>NG</v>
      </c>
      <c r="EP78" s="231"/>
      <c r="EQ78" s="205"/>
      <c r="ER78" s="235" t="s">
        <v>304</v>
      </c>
      <c r="ES78" s="203" t="str">
        <f t="shared" si="268"/>
        <v>NG</v>
      </c>
      <c r="ET78" s="231"/>
      <c r="EU78" s="205"/>
      <c r="EV78" s="235" t="s">
        <v>304</v>
      </c>
      <c r="EW78" s="203" t="str">
        <f t="shared" si="244"/>
        <v>NG</v>
      </c>
      <c r="EX78" s="231"/>
      <c r="EY78" s="205"/>
      <c r="EZ78" s="235" t="s">
        <v>304</v>
      </c>
      <c r="FA78" s="203" t="str">
        <f t="shared" si="245"/>
        <v>NG</v>
      </c>
      <c r="FB78" s="231"/>
      <c r="FC78" s="205"/>
      <c r="FD78" s="235" t="s">
        <v>304</v>
      </c>
      <c r="FE78" s="203" t="str">
        <f t="shared" si="269"/>
        <v>NG</v>
      </c>
      <c r="FF78" s="231"/>
      <c r="FG78" s="205"/>
      <c r="FH78" s="235" t="s">
        <v>304</v>
      </c>
      <c r="FI78" s="203" t="str">
        <f t="shared" si="246"/>
        <v>NG</v>
      </c>
      <c r="FJ78" s="231"/>
      <c r="FK78" s="205"/>
      <c r="FL78" s="235" t="s">
        <v>304</v>
      </c>
      <c r="FM78" s="203" t="str">
        <f t="shared" si="247"/>
        <v>NG</v>
      </c>
      <c r="FN78" s="231"/>
      <c r="FO78" s="205"/>
      <c r="FP78" s="235" t="s">
        <v>304</v>
      </c>
      <c r="FQ78" s="203" t="str">
        <f t="shared" si="270"/>
        <v>NG</v>
      </c>
      <c r="FR78" s="231"/>
      <c r="FS78" s="205"/>
      <c r="FT78" s="235" t="s">
        <v>304</v>
      </c>
      <c r="FU78" s="203" t="str">
        <f t="shared" si="248"/>
        <v>NG</v>
      </c>
      <c r="FV78" s="231"/>
      <c r="FW78" s="205"/>
      <c r="FX78" s="235" t="s">
        <v>304</v>
      </c>
      <c r="FY78" s="203" t="str">
        <f t="shared" si="249"/>
        <v>NG</v>
      </c>
      <c r="FZ78" s="231"/>
      <c r="GA78" s="205"/>
      <c r="GB78" s="235" t="s">
        <v>304</v>
      </c>
      <c r="GC78" s="203" t="str">
        <f t="shared" si="271"/>
        <v>NG</v>
      </c>
      <c r="GD78" s="231"/>
      <c r="GE78" s="205"/>
      <c r="GF78" s="235" t="s">
        <v>304</v>
      </c>
      <c r="GG78" s="203" t="str">
        <f t="shared" si="272"/>
        <v>NG</v>
      </c>
      <c r="GH78" s="231"/>
      <c r="GI78" s="205"/>
      <c r="GJ78" s="235" t="s">
        <v>304</v>
      </c>
      <c r="GK78" s="203" t="str">
        <f t="shared" si="273"/>
        <v>NG</v>
      </c>
      <c r="GL78" s="231"/>
      <c r="GM78" s="205"/>
      <c r="GN78" s="235" t="s">
        <v>304</v>
      </c>
      <c r="GO78" s="203" t="str">
        <f t="shared" si="274"/>
        <v>NG</v>
      </c>
      <c r="GP78" s="231"/>
      <c r="GQ78" s="205"/>
      <c r="GR78" s="235" t="s">
        <v>304</v>
      </c>
      <c r="GS78" s="203" t="str">
        <f t="shared" si="250"/>
        <v>NG</v>
      </c>
      <c r="GT78" s="202"/>
      <c r="GU78" s="202"/>
      <c r="GV78" s="201"/>
      <c r="GW78" s="201"/>
      <c r="GX78" s="201"/>
    </row>
    <row r="79" spans="1:206">
      <c r="A79" s="200" t="s">
        <v>298</v>
      </c>
      <c r="B79" s="225">
        <f t="shared" si="221"/>
        <v>72</v>
      </c>
      <c r="C79" s="229"/>
      <c r="D79" s="229"/>
      <c r="E79" s="234" t="s">
        <v>303</v>
      </c>
      <c r="F79" s="233"/>
      <c r="G79" s="233"/>
      <c r="H79" s="232"/>
      <c r="I79" s="209"/>
      <c r="J79" s="217" t="s">
        <v>23</v>
      </c>
      <c r="K79" s="219"/>
      <c r="L79" s="219"/>
      <c r="M79" s="218"/>
      <c r="N79" s="217"/>
      <c r="O79" s="216"/>
      <c r="P79" s="212"/>
      <c r="Q79" s="212"/>
      <c r="R79" s="215"/>
      <c r="S79" s="214"/>
      <c r="T79" s="212"/>
      <c r="U79" s="213"/>
      <c r="V79" s="212"/>
      <c r="W79" s="211" t="str">
        <f t="shared" si="222"/>
        <v>2</v>
      </c>
      <c r="X79" s="210" t="s">
        <v>302</v>
      </c>
      <c r="Y79" s="210"/>
      <c r="Z79" s="210"/>
      <c r="AA79" s="209"/>
      <c r="AB79" s="208" t="s">
        <v>14</v>
      </c>
      <c r="AC79" s="207"/>
      <c r="AD79" s="231"/>
      <c r="AE79" s="230"/>
      <c r="AF79" s="183" t="str">
        <f>IF($AB79="I","",IF($AA79="","",IF(AD79="","",AD79)))</f>
        <v/>
      </c>
      <c r="AG79" s="203" t="str">
        <f t="shared" si="251"/>
        <v>OK</v>
      </c>
      <c r="AH79" s="231"/>
      <c r="AI79" s="230"/>
      <c r="AJ79" s="183" t="str">
        <f>IF($AB79="I","",IF($AA79="","",IF(AH79="","",AH79)))</f>
        <v/>
      </c>
      <c r="AK79" s="203" t="str">
        <f t="shared" si="252"/>
        <v>OK</v>
      </c>
      <c r="AL79" s="231"/>
      <c r="AM79" s="230"/>
      <c r="AN79" s="183" t="str">
        <f>IF($AB79="I","",IF($AA79="","",IF(AL79="","",AL79)))</f>
        <v/>
      </c>
      <c r="AO79" s="203" t="str">
        <f t="shared" si="253"/>
        <v>OK</v>
      </c>
      <c r="AP79" s="231"/>
      <c r="AQ79" s="230"/>
      <c r="AR79" s="183" t="str">
        <f>IF($AB79="I","",IF($AA79="","",IF(AP79="","",AP79)))</f>
        <v/>
      </c>
      <c r="AS79" s="203" t="str">
        <f t="shared" si="254"/>
        <v>OK</v>
      </c>
      <c r="AT79" s="231"/>
      <c r="AU79" s="230"/>
      <c r="AV79" s="183" t="str">
        <f>IF($AB79="I","",IF($AA79="","",IF(AT79="","",AT79)))</f>
        <v/>
      </c>
      <c r="AW79" s="203" t="str">
        <f t="shared" si="255"/>
        <v>OK</v>
      </c>
      <c r="AX79" s="231"/>
      <c r="AY79" s="230"/>
      <c r="AZ79" s="183" t="str">
        <f>IF($AB79="I","",IF($AA79="","",IF(AX79="","",AX79)))</f>
        <v/>
      </c>
      <c r="BA79" s="203" t="str">
        <f t="shared" si="256"/>
        <v>OK</v>
      </c>
      <c r="BB79" s="231"/>
      <c r="BC79" s="230"/>
      <c r="BD79" s="183" t="str">
        <f>IF($AB79="I","",IF($AA79="","",IF(BB79="","",BB79)))</f>
        <v/>
      </c>
      <c r="BE79" s="203" t="str">
        <f t="shared" si="257"/>
        <v>OK</v>
      </c>
      <c r="BF79" s="231"/>
      <c r="BG79" s="230"/>
      <c r="BH79" s="183" t="str">
        <f>IF($AB79="I","",IF($AA79="","",IF(BF79="","",BF79)))</f>
        <v/>
      </c>
      <c r="BI79" s="203" t="str">
        <f t="shared" si="258"/>
        <v>OK</v>
      </c>
      <c r="BJ79" s="231"/>
      <c r="BK79" s="230"/>
      <c r="BL79" s="183" t="str">
        <f>IF($AB79="I","",IF($AA79="","",IF(BJ79="","",BJ79)))</f>
        <v/>
      </c>
      <c r="BM79" s="203" t="str">
        <f t="shared" si="259"/>
        <v>OK</v>
      </c>
      <c r="BN79" s="231"/>
      <c r="BO79" s="230"/>
      <c r="BP79" s="183" t="str">
        <f>IF($AB79="I","",IF($AA79="","",IF(BN79="","",BN79)))</f>
        <v/>
      </c>
      <c r="BQ79" s="203" t="str">
        <f t="shared" si="260"/>
        <v>OK</v>
      </c>
      <c r="BR79" s="231"/>
      <c r="BS79" s="230"/>
      <c r="BT79" s="183" t="str">
        <f>IF($AB79="I","",IF($AA79="","",IF(BR79="","",BR79)))</f>
        <v/>
      </c>
      <c r="BU79" s="203" t="str">
        <f t="shared" si="261"/>
        <v>OK</v>
      </c>
      <c r="BV79" s="231"/>
      <c r="BW79" s="230"/>
      <c r="BX79" s="183" t="str">
        <f>IF($AB79="I","",IF($AA79="","",IF(BV79="","",BV79)))</f>
        <v/>
      </c>
      <c r="BY79" s="203" t="str">
        <f t="shared" si="262"/>
        <v>OK</v>
      </c>
      <c r="BZ79" s="231"/>
      <c r="CA79" s="230"/>
      <c r="CB79" s="183" t="str">
        <f>IF($AB79="I","",IF($AA79="","",IF(BZ79="","",BZ79)))</f>
        <v/>
      </c>
      <c r="CC79" s="203" t="str">
        <f t="shared" si="232"/>
        <v>OK</v>
      </c>
      <c r="CD79" s="231"/>
      <c r="CE79" s="230"/>
      <c r="CF79" s="183" t="str">
        <f>IF($AB79="I","",IF($AA79="","",IF(CD79="","",CD79)))</f>
        <v/>
      </c>
      <c r="CG79" s="203" t="str">
        <f t="shared" si="233"/>
        <v>OK</v>
      </c>
      <c r="CH79" s="231"/>
      <c r="CI79" s="230"/>
      <c r="CJ79" s="183" t="str">
        <f>IF($AB79="I","",IF($AA79="","",IF(CH79="","",CH79)))</f>
        <v/>
      </c>
      <c r="CK79" s="203" t="str">
        <f t="shared" si="263"/>
        <v>OK</v>
      </c>
      <c r="CL79" s="231"/>
      <c r="CM79" s="230"/>
      <c r="CN79" s="183" t="str">
        <f>IF($AB79="I","",IF($AA79="","",IF(CL79="","",CL79)))</f>
        <v/>
      </c>
      <c r="CO79" s="203" t="str">
        <f t="shared" si="234"/>
        <v>OK</v>
      </c>
      <c r="CP79" s="231"/>
      <c r="CQ79" s="230"/>
      <c r="CR79" s="183" t="str">
        <f>IF($AB79="I","",IF($AA79="","",IF(CP79="","",CP79)))</f>
        <v/>
      </c>
      <c r="CS79" s="203" t="str">
        <f t="shared" si="235"/>
        <v>OK</v>
      </c>
      <c r="CT79" s="231"/>
      <c r="CU79" s="230"/>
      <c r="CV79" s="183" t="str">
        <f>IF($AB79="I","",IF($AA79="","",IF(CT79="","",CT79)))</f>
        <v/>
      </c>
      <c r="CW79" s="203" t="str">
        <f t="shared" si="264"/>
        <v>OK</v>
      </c>
      <c r="CX79" s="231"/>
      <c r="CY79" s="230"/>
      <c r="CZ79" s="183" t="str">
        <f>IF($AB79="I","",IF($AA79="","",IF(CX79="","",CX79)))</f>
        <v/>
      </c>
      <c r="DA79" s="203" t="str">
        <f t="shared" si="236"/>
        <v>OK</v>
      </c>
      <c r="DB79" s="231"/>
      <c r="DC79" s="230"/>
      <c r="DD79" s="183" t="str">
        <f>IF($AB79="I","",IF($AA79="","",IF(DB79="","",DB79)))</f>
        <v/>
      </c>
      <c r="DE79" s="203" t="str">
        <f t="shared" si="237"/>
        <v>OK</v>
      </c>
      <c r="DF79" s="231"/>
      <c r="DG79" s="230"/>
      <c r="DH79" s="183" t="str">
        <f>IF($AB79="I","",IF($AA79="","",IF(DF79="","",DF79)))</f>
        <v/>
      </c>
      <c r="DI79" s="203" t="str">
        <f t="shared" si="265"/>
        <v>OK</v>
      </c>
      <c r="DJ79" s="231"/>
      <c r="DK79" s="230"/>
      <c r="DL79" s="183" t="str">
        <f>IF($AB79="I","",IF($AA79="","",IF(DJ79="","",DJ79)))</f>
        <v/>
      </c>
      <c r="DM79" s="203" t="str">
        <f t="shared" si="238"/>
        <v>OK</v>
      </c>
      <c r="DN79" s="231"/>
      <c r="DO79" s="230"/>
      <c r="DP79" s="183" t="str">
        <f>IF($AB79="I","",IF($AA79="","",IF(DN79="","",DN79)))</f>
        <v/>
      </c>
      <c r="DQ79" s="203" t="str">
        <f t="shared" si="239"/>
        <v>OK</v>
      </c>
      <c r="DR79" s="231"/>
      <c r="DS79" s="230"/>
      <c r="DT79" s="183" t="str">
        <f>IF($AB79="I","",IF($AA79="","",IF(DR79="","",DR79)))</f>
        <v/>
      </c>
      <c r="DU79" s="203" t="str">
        <f t="shared" si="266"/>
        <v>OK</v>
      </c>
      <c r="DV79" s="231"/>
      <c r="DW79" s="230"/>
      <c r="DX79" s="183" t="str">
        <f>IF($AB79="I","",IF($AA79="","",IF(DV79="","",DV79)))</f>
        <v/>
      </c>
      <c r="DY79" s="203" t="str">
        <f t="shared" si="240"/>
        <v>OK</v>
      </c>
      <c r="DZ79" s="231"/>
      <c r="EA79" s="230"/>
      <c r="EB79" s="183" t="str">
        <f>IF($AB79="I","",IF($AA79="","",IF(DZ79="","",DZ79)))</f>
        <v/>
      </c>
      <c r="EC79" s="203" t="str">
        <f t="shared" si="241"/>
        <v>OK</v>
      </c>
      <c r="ED79" s="231"/>
      <c r="EE79" s="230"/>
      <c r="EF79" s="183" t="str">
        <f>IF($AB79="I","",IF($AA79="","",IF(ED79="","",ED79)))</f>
        <v/>
      </c>
      <c r="EG79" s="203" t="str">
        <f t="shared" si="267"/>
        <v>OK</v>
      </c>
      <c r="EH79" s="231"/>
      <c r="EI79" s="230"/>
      <c r="EJ79" s="183" t="str">
        <f>IF($AB79="I","",IF($AA79="","",IF(EH79="","",EH79)))</f>
        <v/>
      </c>
      <c r="EK79" s="203" t="str">
        <f t="shared" si="242"/>
        <v>OK</v>
      </c>
      <c r="EL79" s="231"/>
      <c r="EM79" s="230"/>
      <c r="EN79" s="183" t="str">
        <f>IF($AB79="I","",IF($AA79="","",IF(EL79="","",EL79)))</f>
        <v/>
      </c>
      <c r="EO79" s="203" t="str">
        <f t="shared" si="243"/>
        <v>OK</v>
      </c>
      <c r="EP79" s="231"/>
      <c r="EQ79" s="230"/>
      <c r="ER79" s="183" t="str">
        <f>IF($AB79="I","",IF($AA79="","",IF(EP79="","",EP79)))</f>
        <v/>
      </c>
      <c r="ES79" s="203" t="str">
        <f t="shared" si="268"/>
        <v>OK</v>
      </c>
      <c r="ET79" s="231"/>
      <c r="EU79" s="230"/>
      <c r="EV79" s="183" t="str">
        <f>IF($AB79="I","",IF($AA79="","",IF(ET79="","",ET79)))</f>
        <v/>
      </c>
      <c r="EW79" s="203" t="str">
        <f t="shared" si="244"/>
        <v>OK</v>
      </c>
      <c r="EX79" s="231"/>
      <c r="EY79" s="230"/>
      <c r="EZ79" s="183" t="str">
        <f>IF($AB79="I","",IF($AA79="","",IF(EX79="","",EX79)))</f>
        <v/>
      </c>
      <c r="FA79" s="203" t="str">
        <f t="shared" si="245"/>
        <v>OK</v>
      </c>
      <c r="FB79" s="231"/>
      <c r="FC79" s="230"/>
      <c r="FD79" s="183" t="str">
        <f>IF($AB79="I","",IF($AA79="","",IF(FB79="","",FB79)))</f>
        <v/>
      </c>
      <c r="FE79" s="203" t="str">
        <f t="shared" si="269"/>
        <v>OK</v>
      </c>
      <c r="FF79" s="231"/>
      <c r="FG79" s="230"/>
      <c r="FH79" s="183" t="str">
        <f>IF($AB79="I","",IF($AA79="","",IF(FF79="","",FF79)))</f>
        <v/>
      </c>
      <c r="FI79" s="203" t="str">
        <f t="shared" si="246"/>
        <v>OK</v>
      </c>
      <c r="FJ79" s="231"/>
      <c r="FK79" s="230"/>
      <c r="FL79" s="183" t="str">
        <f>IF($AB79="I","",IF($AA79="","",IF(FJ79="","",FJ79)))</f>
        <v/>
      </c>
      <c r="FM79" s="203" t="str">
        <f t="shared" si="247"/>
        <v>OK</v>
      </c>
      <c r="FN79" s="231"/>
      <c r="FO79" s="230"/>
      <c r="FP79" s="183" t="str">
        <f>IF($AB79="I","",IF($AA79="","",IF(FN79="","",FN79)))</f>
        <v/>
      </c>
      <c r="FQ79" s="203" t="str">
        <f t="shared" si="270"/>
        <v>OK</v>
      </c>
      <c r="FR79" s="231"/>
      <c r="FS79" s="230"/>
      <c r="FT79" s="183" t="str">
        <f>IF($AB79="I","",IF($AA79="","",IF(FR79="","",FR79)))</f>
        <v/>
      </c>
      <c r="FU79" s="203" t="str">
        <f t="shared" si="248"/>
        <v>OK</v>
      </c>
      <c r="FV79" s="231"/>
      <c r="FW79" s="230"/>
      <c r="FX79" s="183" t="str">
        <f>IF($AB79="I","",IF($AA79="","",IF(FV79="","",FV79)))</f>
        <v/>
      </c>
      <c r="FY79" s="203" t="str">
        <f t="shared" si="249"/>
        <v>OK</v>
      </c>
      <c r="FZ79" s="231"/>
      <c r="GA79" s="230"/>
      <c r="GB79" s="183" t="str">
        <f>IF($AB79="I","",IF($AA79="","",IF(FZ79="","",FZ79)))</f>
        <v/>
      </c>
      <c r="GC79" s="203" t="str">
        <f t="shared" si="271"/>
        <v>OK</v>
      </c>
      <c r="GD79" s="231"/>
      <c r="GE79" s="230"/>
      <c r="GF79" s="183" t="str">
        <f>IF($AB79="I","",IF($AA79="","",IF(GD79="","",GD79)))</f>
        <v/>
      </c>
      <c r="GG79" s="203" t="str">
        <f t="shared" si="272"/>
        <v>OK</v>
      </c>
      <c r="GH79" s="231"/>
      <c r="GI79" s="230"/>
      <c r="GJ79" s="183" t="str">
        <f>IF($AB79="I","",IF($AA79="","",IF(GH79="","",GH79)))</f>
        <v/>
      </c>
      <c r="GK79" s="203" t="str">
        <f t="shared" si="273"/>
        <v>OK</v>
      </c>
      <c r="GL79" s="231"/>
      <c r="GM79" s="230"/>
      <c r="GN79" s="183" t="str">
        <f>IF($AB79="I","",IF($AA79="","",IF(GL79="","",GL79)))</f>
        <v/>
      </c>
      <c r="GO79" s="203" t="str">
        <f t="shared" si="274"/>
        <v>OK</v>
      </c>
      <c r="GP79" s="231"/>
      <c r="GQ79" s="230"/>
      <c r="GR79" s="183" t="str">
        <f>IF($AB79="I","",IF($AA79="","",IF(GP79="","",GP79)))</f>
        <v/>
      </c>
      <c r="GS79" s="203" t="str">
        <f t="shared" si="250"/>
        <v>OK</v>
      </c>
      <c r="GT79" s="202"/>
      <c r="GU79" s="202"/>
      <c r="GV79" s="201"/>
      <c r="GW79" s="201"/>
      <c r="GX79" s="201"/>
    </row>
    <row r="80" spans="1:206">
      <c r="A80" s="200"/>
      <c r="B80" s="225">
        <f t="shared" si="221"/>
        <v>73</v>
      </c>
      <c r="C80" s="229"/>
      <c r="D80" s="229"/>
      <c r="E80" s="228"/>
      <c r="F80" s="222" t="s">
        <v>301</v>
      </c>
      <c r="G80" s="221"/>
      <c r="H80" s="220"/>
      <c r="I80" s="209"/>
      <c r="J80" s="217" t="s">
        <v>23</v>
      </c>
      <c r="K80" s="219"/>
      <c r="L80" s="219"/>
      <c r="M80" s="218" t="s">
        <v>300</v>
      </c>
      <c r="N80" s="217"/>
      <c r="O80" s="216"/>
      <c r="P80" s="212"/>
      <c r="Q80" s="212"/>
      <c r="R80" s="215"/>
      <c r="S80" s="214"/>
      <c r="T80" s="212"/>
      <c r="U80" s="213"/>
      <c r="V80" s="212"/>
      <c r="W80" s="211" t="str">
        <f t="shared" si="222"/>
        <v>3</v>
      </c>
      <c r="X80" s="218" t="s">
        <v>299</v>
      </c>
      <c r="Y80" s="210">
        <v>1</v>
      </c>
      <c r="Z80" s="210">
        <v>10</v>
      </c>
      <c r="AA80" s="209">
        <v>9</v>
      </c>
      <c r="AB80" s="227" t="s">
        <v>14</v>
      </c>
      <c r="AC80" s="207"/>
      <c r="AD80" s="226"/>
      <c r="AE80" s="205"/>
      <c r="AF80" s="204" t="s">
        <v>294</v>
      </c>
      <c r="AG80" s="203" t="str">
        <f t="shared" si="251"/>
        <v>NG</v>
      </c>
      <c r="AH80" s="226"/>
      <c r="AI80" s="205"/>
      <c r="AJ80" s="204" t="s">
        <v>294</v>
      </c>
      <c r="AK80" s="203" t="str">
        <f t="shared" si="252"/>
        <v>NG</v>
      </c>
      <c r="AL80" s="226"/>
      <c r="AM80" s="205"/>
      <c r="AN80" s="204" t="s">
        <v>294</v>
      </c>
      <c r="AO80" s="203" t="str">
        <f t="shared" si="253"/>
        <v>NG</v>
      </c>
      <c r="AP80" s="226"/>
      <c r="AQ80" s="205"/>
      <c r="AR80" s="204" t="s">
        <v>294</v>
      </c>
      <c r="AS80" s="203" t="str">
        <f t="shared" si="254"/>
        <v>NG</v>
      </c>
      <c r="AT80" s="226"/>
      <c r="AU80" s="205"/>
      <c r="AV80" s="204" t="s">
        <v>294</v>
      </c>
      <c r="AW80" s="203" t="str">
        <f t="shared" si="255"/>
        <v>NG</v>
      </c>
      <c r="AX80" s="226"/>
      <c r="AY80" s="205"/>
      <c r="AZ80" s="204" t="s">
        <v>294</v>
      </c>
      <c r="BA80" s="203" t="str">
        <f t="shared" si="256"/>
        <v>NG</v>
      </c>
      <c r="BB80" s="226"/>
      <c r="BC80" s="205"/>
      <c r="BD80" s="204" t="s">
        <v>294</v>
      </c>
      <c r="BE80" s="203" t="str">
        <f t="shared" si="257"/>
        <v>NG</v>
      </c>
      <c r="BF80" s="226"/>
      <c r="BG80" s="205"/>
      <c r="BH80" s="204" t="s">
        <v>294</v>
      </c>
      <c r="BI80" s="203" t="str">
        <f t="shared" si="258"/>
        <v>NG</v>
      </c>
      <c r="BJ80" s="226"/>
      <c r="BK80" s="205"/>
      <c r="BL80" s="204" t="s">
        <v>294</v>
      </c>
      <c r="BM80" s="203" t="str">
        <f t="shared" si="259"/>
        <v>NG</v>
      </c>
      <c r="BN80" s="226"/>
      <c r="BO80" s="205"/>
      <c r="BP80" s="204" t="s">
        <v>294</v>
      </c>
      <c r="BQ80" s="203" t="str">
        <f t="shared" si="260"/>
        <v>NG</v>
      </c>
      <c r="BR80" s="226"/>
      <c r="BS80" s="205"/>
      <c r="BT80" s="204" t="s">
        <v>294</v>
      </c>
      <c r="BU80" s="203" t="str">
        <f t="shared" si="261"/>
        <v>NG</v>
      </c>
      <c r="BV80" s="226"/>
      <c r="BW80" s="205"/>
      <c r="BX80" s="204" t="s">
        <v>294</v>
      </c>
      <c r="BY80" s="203" t="str">
        <f t="shared" si="262"/>
        <v>NG</v>
      </c>
      <c r="BZ80" s="226"/>
      <c r="CA80" s="205"/>
      <c r="CB80" s="204" t="s">
        <v>294</v>
      </c>
      <c r="CC80" s="203" t="str">
        <f t="shared" si="232"/>
        <v>NG</v>
      </c>
      <c r="CD80" s="226"/>
      <c r="CE80" s="205"/>
      <c r="CF80" s="204" t="s">
        <v>294</v>
      </c>
      <c r="CG80" s="203" t="str">
        <f t="shared" si="233"/>
        <v>NG</v>
      </c>
      <c r="CH80" s="226"/>
      <c r="CI80" s="205"/>
      <c r="CJ80" s="204" t="s">
        <v>294</v>
      </c>
      <c r="CK80" s="203" t="str">
        <f t="shared" si="263"/>
        <v>NG</v>
      </c>
      <c r="CL80" s="226"/>
      <c r="CM80" s="205"/>
      <c r="CN80" s="204" t="s">
        <v>294</v>
      </c>
      <c r="CO80" s="203" t="str">
        <f t="shared" si="234"/>
        <v>NG</v>
      </c>
      <c r="CP80" s="226"/>
      <c r="CQ80" s="205"/>
      <c r="CR80" s="204" t="s">
        <v>294</v>
      </c>
      <c r="CS80" s="203" t="str">
        <f t="shared" si="235"/>
        <v>NG</v>
      </c>
      <c r="CT80" s="226"/>
      <c r="CU80" s="205"/>
      <c r="CV80" s="204" t="s">
        <v>294</v>
      </c>
      <c r="CW80" s="203" t="str">
        <f t="shared" si="264"/>
        <v>NG</v>
      </c>
      <c r="CX80" s="226"/>
      <c r="CY80" s="205"/>
      <c r="CZ80" s="204" t="s">
        <v>294</v>
      </c>
      <c r="DA80" s="203" t="str">
        <f t="shared" si="236"/>
        <v>NG</v>
      </c>
      <c r="DB80" s="226"/>
      <c r="DC80" s="205"/>
      <c r="DD80" s="204" t="s">
        <v>294</v>
      </c>
      <c r="DE80" s="203" t="str">
        <f t="shared" si="237"/>
        <v>NG</v>
      </c>
      <c r="DF80" s="226"/>
      <c r="DG80" s="205"/>
      <c r="DH80" s="204" t="s">
        <v>294</v>
      </c>
      <c r="DI80" s="203" t="str">
        <f t="shared" si="265"/>
        <v>NG</v>
      </c>
      <c r="DJ80" s="226"/>
      <c r="DK80" s="205"/>
      <c r="DL80" s="204" t="s">
        <v>294</v>
      </c>
      <c r="DM80" s="203" t="str">
        <f t="shared" si="238"/>
        <v>NG</v>
      </c>
      <c r="DN80" s="226"/>
      <c r="DO80" s="205"/>
      <c r="DP80" s="204" t="s">
        <v>294</v>
      </c>
      <c r="DQ80" s="203" t="str">
        <f t="shared" si="239"/>
        <v>NG</v>
      </c>
      <c r="DR80" s="226"/>
      <c r="DS80" s="205"/>
      <c r="DT80" s="204" t="s">
        <v>294</v>
      </c>
      <c r="DU80" s="203" t="str">
        <f t="shared" si="266"/>
        <v>NG</v>
      </c>
      <c r="DV80" s="226"/>
      <c r="DW80" s="205"/>
      <c r="DX80" s="204" t="s">
        <v>294</v>
      </c>
      <c r="DY80" s="203" t="str">
        <f t="shared" si="240"/>
        <v>NG</v>
      </c>
      <c r="DZ80" s="226"/>
      <c r="EA80" s="205"/>
      <c r="EB80" s="204" t="s">
        <v>294</v>
      </c>
      <c r="EC80" s="203" t="str">
        <f t="shared" si="241"/>
        <v>NG</v>
      </c>
      <c r="ED80" s="226"/>
      <c r="EE80" s="205"/>
      <c r="EF80" s="204" t="s">
        <v>294</v>
      </c>
      <c r="EG80" s="203" t="str">
        <f t="shared" si="267"/>
        <v>NG</v>
      </c>
      <c r="EH80" s="226"/>
      <c r="EI80" s="205"/>
      <c r="EJ80" s="204" t="s">
        <v>294</v>
      </c>
      <c r="EK80" s="203" t="str">
        <f t="shared" si="242"/>
        <v>NG</v>
      </c>
      <c r="EL80" s="226"/>
      <c r="EM80" s="205"/>
      <c r="EN80" s="204" t="s">
        <v>294</v>
      </c>
      <c r="EO80" s="203" t="str">
        <f t="shared" si="243"/>
        <v>NG</v>
      </c>
      <c r="EP80" s="226"/>
      <c r="EQ80" s="205"/>
      <c r="ER80" s="204" t="s">
        <v>294</v>
      </c>
      <c r="ES80" s="203" t="str">
        <f t="shared" si="268"/>
        <v>NG</v>
      </c>
      <c r="ET80" s="226"/>
      <c r="EU80" s="205"/>
      <c r="EV80" s="204" t="s">
        <v>294</v>
      </c>
      <c r="EW80" s="203" t="str">
        <f t="shared" si="244"/>
        <v>NG</v>
      </c>
      <c r="EX80" s="226"/>
      <c r="EY80" s="205"/>
      <c r="EZ80" s="204" t="s">
        <v>294</v>
      </c>
      <c r="FA80" s="203" t="str">
        <f t="shared" si="245"/>
        <v>NG</v>
      </c>
      <c r="FB80" s="226"/>
      <c r="FC80" s="205"/>
      <c r="FD80" s="204" t="s">
        <v>294</v>
      </c>
      <c r="FE80" s="203" t="str">
        <f t="shared" si="269"/>
        <v>NG</v>
      </c>
      <c r="FF80" s="226"/>
      <c r="FG80" s="205"/>
      <c r="FH80" s="204" t="s">
        <v>294</v>
      </c>
      <c r="FI80" s="203" t="str">
        <f t="shared" si="246"/>
        <v>NG</v>
      </c>
      <c r="FJ80" s="226"/>
      <c r="FK80" s="205"/>
      <c r="FL80" s="204" t="s">
        <v>294</v>
      </c>
      <c r="FM80" s="203" t="str">
        <f t="shared" si="247"/>
        <v>NG</v>
      </c>
      <c r="FN80" s="226"/>
      <c r="FO80" s="205"/>
      <c r="FP80" s="204" t="s">
        <v>294</v>
      </c>
      <c r="FQ80" s="203" t="str">
        <f t="shared" si="270"/>
        <v>NG</v>
      </c>
      <c r="FR80" s="226"/>
      <c r="FS80" s="205"/>
      <c r="FT80" s="204" t="s">
        <v>294</v>
      </c>
      <c r="FU80" s="203" t="str">
        <f t="shared" si="248"/>
        <v>NG</v>
      </c>
      <c r="FV80" s="226"/>
      <c r="FW80" s="205"/>
      <c r="FX80" s="204" t="s">
        <v>294</v>
      </c>
      <c r="FY80" s="203" t="str">
        <f t="shared" si="249"/>
        <v>NG</v>
      </c>
      <c r="FZ80" s="226"/>
      <c r="GA80" s="205"/>
      <c r="GB80" s="204" t="s">
        <v>294</v>
      </c>
      <c r="GC80" s="203" t="str">
        <f t="shared" si="271"/>
        <v>NG</v>
      </c>
      <c r="GD80" s="226"/>
      <c r="GE80" s="205"/>
      <c r="GF80" s="204" t="s">
        <v>294</v>
      </c>
      <c r="GG80" s="203" t="str">
        <f t="shared" si="272"/>
        <v>NG</v>
      </c>
      <c r="GH80" s="226"/>
      <c r="GI80" s="205"/>
      <c r="GJ80" s="204" t="s">
        <v>294</v>
      </c>
      <c r="GK80" s="203" t="str">
        <f t="shared" si="273"/>
        <v>NG</v>
      </c>
      <c r="GL80" s="226"/>
      <c r="GM80" s="205"/>
      <c r="GN80" s="204" t="s">
        <v>294</v>
      </c>
      <c r="GO80" s="203" t="str">
        <f t="shared" si="274"/>
        <v>NG</v>
      </c>
      <c r="GP80" s="226"/>
      <c r="GQ80" s="205"/>
      <c r="GR80" s="204" t="s">
        <v>294</v>
      </c>
      <c r="GS80" s="203" t="str">
        <f t="shared" si="250"/>
        <v>NG</v>
      </c>
      <c r="GT80" s="202"/>
      <c r="GU80" s="202"/>
      <c r="GV80" s="201"/>
      <c r="GW80" s="201"/>
      <c r="GX80" s="201"/>
    </row>
    <row r="81" spans="1:206">
      <c r="A81" s="200" t="s">
        <v>298</v>
      </c>
      <c r="B81" s="225">
        <f t="shared" si="221"/>
        <v>74</v>
      </c>
      <c r="C81" s="224"/>
      <c r="D81" s="224"/>
      <c r="E81" s="223"/>
      <c r="F81" s="222" t="s">
        <v>297</v>
      </c>
      <c r="G81" s="221"/>
      <c r="H81" s="220"/>
      <c r="I81" s="209"/>
      <c r="J81" s="217" t="s">
        <v>23</v>
      </c>
      <c r="K81" s="219"/>
      <c r="L81" s="219"/>
      <c r="M81" s="218" t="s">
        <v>296</v>
      </c>
      <c r="N81" s="217"/>
      <c r="O81" s="216"/>
      <c r="P81" s="212"/>
      <c r="Q81" s="212"/>
      <c r="R81" s="215"/>
      <c r="S81" s="214"/>
      <c r="T81" s="212"/>
      <c r="U81" s="213"/>
      <c r="V81" s="212"/>
      <c r="W81" s="211" t="str">
        <f t="shared" si="222"/>
        <v>3</v>
      </c>
      <c r="X81" s="210" t="s">
        <v>295</v>
      </c>
      <c r="Y81" s="210">
        <v>9</v>
      </c>
      <c r="Z81" s="210">
        <v>9</v>
      </c>
      <c r="AA81" s="209" t="s">
        <v>54</v>
      </c>
      <c r="AB81" s="208" t="s">
        <v>14</v>
      </c>
      <c r="AC81" s="207"/>
      <c r="AD81" s="206"/>
      <c r="AE81" s="205"/>
      <c r="AF81" s="204" t="s">
        <v>294</v>
      </c>
      <c r="AG81" s="203" t="str">
        <f t="shared" si="251"/>
        <v>NG</v>
      </c>
      <c r="AH81" s="206"/>
      <c r="AI81" s="205"/>
      <c r="AJ81" s="204" t="s">
        <v>294</v>
      </c>
      <c r="AK81" s="203" t="str">
        <f t="shared" si="252"/>
        <v>NG</v>
      </c>
      <c r="AL81" s="206"/>
      <c r="AM81" s="205"/>
      <c r="AN81" s="204" t="s">
        <v>294</v>
      </c>
      <c r="AO81" s="203" t="str">
        <f t="shared" si="253"/>
        <v>NG</v>
      </c>
      <c r="AP81" s="206"/>
      <c r="AQ81" s="205"/>
      <c r="AR81" s="204" t="s">
        <v>294</v>
      </c>
      <c r="AS81" s="203" t="str">
        <f t="shared" si="254"/>
        <v>NG</v>
      </c>
      <c r="AT81" s="206"/>
      <c r="AU81" s="205"/>
      <c r="AV81" s="204" t="s">
        <v>294</v>
      </c>
      <c r="AW81" s="203" t="str">
        <f t="shared" si="255"/>
        <v>NG</v>
      </c>
      <c r="AX81" s="206"/>
      <c r="AY81" s="205"/>
      <c r="AZ81" s="204" t="s">
        <v>294</v>
      </c>
      <c r="BA81" s="203" t="str">
        <f t="shared" si="256"/>
        <v>NG</v>
      </c>
      <c r="BB81" s="206"/>
      <c r="BC81" s="205"/>
      <c r="BD81" s="204" t="s">
        <v>294</v>
      </c>
      <c r="BE81" s="203" t="str">
        <f t="shared" si="257"/>
        <v>NG</v>
      </c>
      <c r="BF81" s="206"/>
      <c r="BG81" s="205"/>
      <c r="BH81" s="204" t="s">
        <v>294</v>
      </c>
      <c r="BI81" s="203" t="str">
        <f t="shared" si="258"/>
        <v>NG</v>
      </c>
      <c r="BJ81" s="206"/>
      <c r="BK81" s="205"/>
      <c r="BL81" s="204" t="s">
        <v>294</v>
      </c>
      <c r="BM81" s="203" t="str">
        <f t="shared" si="259"/>
        <v>NG</v>
      </c>
      <c r="BN81" s="206"/>
      <c r="BO81" s="205"/>
      <c r="BP81" s="204" t="s">
        <v>294</v>
      </c>
      <c r="BQ81" s="203" t="str">
        <f t="shared" si="260"/>
        <v>NG</v>
      </c>
      <c r="BR81" s="206"/>
      <c r="BS81" s="205"/>
      <c r="BT81" s="204" t="s">
        <v>294</v>
      </c>
      <c r="BU81" s="203" t="str">
        <f t="shared" si="261"/>
        <v>NG</v>
      </c>
      <c r="BV81" s="206"/>
      <c r="BW81" s="205"/>
      <c r="BX81" s="204" t="s">
        <v>294</v>
      </c>
      <c r="BY81" s="203" t="str">
        <f t="shared" si="262"/>
        <v>NG</v>
      </c>
      <c r="BZ81" s="206"/>
      <c r="CA81" s="205"/>
      <c r="CB81" s="204" t="s">
        <v>294</v>
      </c>
      <c r="CC81" s="203" t="str">
        <f t="shared" si="232"/>
        <v>NG</v>
      </c>
      <c r="CD81" s="206"/>
      <c r="CE81" s="205"/>
      <c r="CF81" s="204" t="s">
        <v>294</v>
      </c>
      <c r="CG81" s="203" t="str">
        <f t="shared" si="233"/>
        <v>NG</v>
      </c>
      <c r="CH81" s="206"/>
      <c r="CI81" s="205"/>
      <c r="CJ81" s="204" t="s">
        <v>294</v>
      </c>
      <c r="CK81" s="203" t="str">
        <f t="shared" si="263"/>
        <v>NG</v>
      </c>
      <c r="CL81" s="206"/>
      <c r="CM81" s="205"/>
      <c r="CN81" s="204" t="s">
        <v>294</v>
      </c>
      <c r="CO81" s="203" t="str">
        <f t="shared" si="234"/>
        <v>NG</v>
      </c>
      <c r="CP81" s="206"/>
      <c r="CQ81" s="205"/>
      <c r="CR81" s="204" t="s">
        <v>294</v>
      </c>
      <c r="CS81" s="203" t="str">
        <f t="shared" si="235"/>
        <v>NG</v>
      </c>
      <c r="CT81" s="206"/>
      <c r="CU81" s="205"/>
      <c r="CV81" s="204" t="s">
        <v>294</v>
      </c>
      <c r="CW81" s="203" t="str">
        <f t="shared" si="264"/>
        <v>NG</v>
      </c>
      <c r="CX81" s="206"/>
      <c r="CY81" s="205"/>
      <c r="CZ81" s="204" t="s">
        <v>294</v>
      </c>
      <c r="DA81" s="203" t="str">
        <f t="shared" si="236"/>
        <v>NG</v>
      </c>
      <c r="DB81" s="206"/>
      <c r="DC81" s="205"/>
      <c r="DD81" s="204" t="s">
        <v>294</v>
      </c>
      <c r="DE81" s="203" t="str">
        <f t="shared" si="237"/>
        <v>NG</v>
      </c>
      <c r="DF81" s="206"/>
      <c r="DG81" s="205"/>
      <c r="DH81" s="204" t="s">
        <v>294</v>
      </c>
      <c r="DI81" s="203" t="str">
        <f t="shared" si="265"/>
        <v>NG</v>
      </c>
      <c r="DJ81" s="206"/>
      <c r="DK81" s="205"/>
      <c r="DL81" s="204" t="s">
        <v>294</v>
      </c>
      <c r="DM81" s="203" t="str">
        <f t="shared" si="238"/>
        <v>NG</v>
      </c>
      <c r="DN81" s="206"/>
      <c r="DO81" s="205"/>
      <c r="DP81" s="204" t="s">
        <v>294</v>
      </c>
      <c r="DQ81" s="203" t="str">
        <f t="shared" si="239"/>
        <v>NG</v>
      </c>
      <c r="DR81" s="206"/>
      <c r="DS81" s="205"/>
      <c r="DT81" s="204" t="s">
        <v>294</v>
      </c>
      <c r="DU81" s="203" t="str">
        <f t="shared" si="266"/>
        <v>NG</v>
      </c>
      <c r="DV81" s="206"/>
      <c r="DW81" s="205"/>
      <c r="DX81" s="204" t="s">
        <v>294</v>
      </c>
      <c r="DY81" s="203" t="str">
        <f t="shared" si="240"/>
        <v>NG</v>
      </c>
      <c r="DZ81" s="206"/>
      <c r="EA81" s="205"/>
      <c r="EB81" s="204" t="s">
        <v>294</v>
      </c>
      <c r="EC81" s="203" t="str">
        <f t="shared" si="241"/>
        <v>NG</v>
      </c>
      <c r="ED81" s="206"/>
      <c r="EE81" s="205"/>
      <c r="EF81" s="204" t="s">
        <v>294</v>
      </c>
      <c r="EG81" s="203" t="str">
        <f t="shared" si="267"/>
        <v>NG</v>
      </c>
      <c r="EH81" s="206"/>
      <c r="EI81" s="205"/>
      <c r="EJ81" s="204" t="s">
        <v>294</v>
      </c>
      <c r="EK81" s="203" t="str">
        <f t="shared" si="242"/>
        <v>NG</v>
      </c>
      <c r="EL81" s="206"/>
      <c r="EM81" s="205"/>
      <c r="EN81" s="204" t="s">
        <v>294</v>
      </c>
      <c r="EO81" s="203" t="str">
        <f t="shared" si="243"/>
        <v>NG</v>
      </c>
      <c r="EP81" s="206"/>
      <c r="EQ81" s="205"/>
      <c r="ER81" s="204" t="s">
        <v>294</v>
      </c>
      <c r="ES81" s="203" t="str">
        <f t="shared" si="268"/>
        <v>NG</v>
      </c>
      <c r="ET81" s="206"/>
      <c r="EU81" s="205"/>
      <c r="EV81" s="204" t="s">
        <v>294</v>
      </c>
      <c r="EW81" s="203" t="str">
        <f t="shared" si="244"/>
        <v>NG</v>
      </c>
      <c r="EX81" s="206"/>
      <c r="EY81" s="205"/>
      <c r="EZ81" s="204" t="s">
        <v>294</v>
      </c>
      <c r="FA81" s="203" t="str">
        <f t="shared" si="245"/>
        <v>NG</v>
      </c>
      <c r="FB81" s="206"/>
      <c r="FC81" s="205"/>
      <c r="FD81" s="204" t="s">
        <v>294</v>
      </c>
      <c r="FE81" s="203" t="str">
        <f t="shared" si="269"/>
        <v>NG</v>
      </c>
      <c r="FF81" s="206"/>
      <c r="FG81" s="205"/>
      <c r="FH81" s="204" t="s">
        <v>294</v>
      </c>
      <c r="FI81" s="203" t="str">
        <f t="shared" si="246"/>
        <v>NG</v>
      </c>
      <c r="FJ81" s="206"/>
      <c r="FK81" s="205"/>
      <c r="FL81" s="204" t="s">
        <v>294</v>
      </c>
      <c r="FM81" s="203" t="str">
        <f t="shared" si="247"/>
        <v>NG</v>
      </c>
      <c r="FN81" s="206"/>
      <c r="FO81" s="205"/>
      <c r="FP81" s="204" t="s">
        <v>294</v>
      </c>
      <c r="FQ81" s="203" t="str">
        <f t="shared" si="270"/>
        <v>NG</v>
      </c>
      <c r="FR81" s="206"/>
      <c r="FS81" s="205"/>
      <c r="FT81" s="204" t="s">
        <v>294</v>
      </c>
      <c r="FU81" s="203" t="str">
        <f t="shared" si="248"/>
        <v>NG</v>
      </c>
      <c r="FV81" s="206"/>
      <c r="FW81" s="205"/>
      <c r="FX81" s="204" t="s">
        <v>294</v>
      </c>
      <c r="FY81" s="203" t="str">
        <f t="shared" si="249"/>
        <v>NG</v>
      </c>
      <c r="FZ81" s="206"/>
      <c r="GA81" s="205"/>
      <c r="GB81" s="204" t="s">
        <v>294</v>
      </c>
      <c r="GC81" s="203" t="str">
        <f t="shared" si="271"/>
        <v>NG</v>
      </c>
      <c r="GD81" s="206"/>
      <c r="GE81" s="205"/>
      <c r="GF81" s="204" t="s">
        <v>294</v>
      </c>
      <c r="GG81" s="203" t="str">
        <f t="shared" si="272"/>
        <v>NG</v>
      </c>
      <c r="GH81" s="206"/>
      <c r="GI81" s="205"/>
      <c r="GJ81" s="204" t="s">
        <v>294</v>
      </c>
      <c r="GK81" s="203" t="str">
        <f t="shared" si="273"/>
        <v>NG</v>
      </c>
      <c r="GL81" s="206"/>
      <c r="GM81" s="205"/>
      <c r="GN81" s="204" t="s">
        <v>294</v>
      </c>
      <c r="GO81" s="203" t="str">
        <f t="shared" si="274"/>
        <v>NG</v>
      </c>
      <c r="GP81" s="206"/>
      <c r="GQ81" s="205"/>
      <c r="GR81" s="204" t="s">
        <v>294</v>
      </c>
      <c r="GS81" s="203" t="str">
        <f t="shared" si="250"/>
        <v>NG</v>
      </c>
      <c r="GT81" s="202"/>
      <c r="GU81" s="202"/>
      <c r="GV81" s="201"/>
      <c r="GW81" s="201"/>
      <c r="GX81" s="201"/>
    </row>
    <row r="82" spans="1:206" ht="13.5" thickBot="1">
      <c r="A82" s="200"/>
      <c r="B82" s="199"/>
      <c r="C82" s="198"/>
      <c r="D82" s="197"/>
      <c r="E82" s="197"/>
      <c r="F82" s="197"/>
      <c r="G82" s="197"/>
      <c r="H82" s="196"/>
      <c r="I82" s="195"/>
      <c r="J82" s="195"/>
      <c r="K82" s="187"/>
      <c r="L82" s="187"/>
      <c r="M82" s="186"/>
      <c r="N82" s="187"/>
      <c r="O82" s="194"/>
      <c r="P82" s="193"/>
      <c r="Q82" s="192"/>
      <c r="R82" s="191"/>
      <c r="S82" s="192"/>
      <c r="T82" s="192"/>
      <c r="U82" s="191"/>
      <c r="V82" s="190"/>
      <c r="W82" s="189"/>
      <c r="X82" s="188"/>
      <c r="Y82" s="188"/>
      <c r="Z82" s="188"/>
      <c r="AA82" s="187"/>
      <c r="AB82" s="187"/>
      <c r="AC82" s="186"/>
      <c r="AD82" s="185"/>
      <c r="AE82" s="184"/>
      <c r="AF82" s="183"/>
      <c r="AG82" s="182"/>
      <c r="AH82" s="185"/>
      <c r="AI82" s="184"/>
      <c r="AJ82" s="183"/>
      <c r="AK82" s="182"/>
      <c r="AL82" s="185"/>
      <c r="AM82" s="184"/>
      <c r="AN82" s="183"/>
      <c r="AO82" s="182"/>
      <c r="AP82" s="185"/>
      <c r="AQ82" s="184"/>
      <c r="AR82" s="183"/>
      <c r="AS82" s="182"/>
      <c r="AT82" s="185"/>
      <c r="AU82" s="184"/>
      <c r="AV82" s="183"/>
      <c r="AW82" s="182"/>
      <c r="AX82" s="185"/>
      <c r="AY82" s="184"/>
      <c r="AZ82" s="183"/>
      <c r="BA82" s="182"/>
      <c r="BB82" s="185"/>
      <c r="BC82" s="184"/>
      <c r="BD82" s="183"/>
      <c r="BE82" s="182"/>
      <c r="BF82" s="185"/>
      <c r="BG82" s="184"/>
      <c r="BH82" s="183"/>
      <c r="BI82" s="182"/>
      <c r="BJ82" s="185"/>
      <c r="BK82" s="184"/>
      <c r="BL82" s="183"/>
      <c r="BM82" s="182"/>
      <c r="BN82" s="185"/>
      <c r="BO82" s="184"/>
      <c r="BP82" s="183"/>
      <c r="BQ82" s="182"/>
      <c r="BR82" s="185"/>
      <c r="BS82" s="184"/>
      <c r="BT82" s="183"/>
      <c r="BU82" s="182"/>
      <c r="BV82" s="185"/>
      <c r="BW82" s="184"/>
      <c r="BX82" s="183"/>
      <c r="BY82" s="182"/>
      <c r="BZ82" s="185"/>
      <c r="CA82" s="184"/>
      <c r="CB82" s="183"/>
      <c r="CC82" s="182"/>
      <c r="CD82" s="185"/>
      <c r="CE82" s="184"/>
      <c r="CF82" s="183"/>
      <c r="CG82" s="182"/>
      <c r="CH82" s="185"/>
      <c r="CI82" s="184"/>
      <c r="CJ82" s="183"/>
      <c r="CK82" s="182"/>
      <c r="CL82" s="185"/>
      <c r="CM82" s="184"/>
      <c r="CN82" s="183"/>
      <c r="CO82" s="182"/>
      <c r="CP82" s="185"/>
      <c r="CQ82" s="184"/>
      <c r="CR82" s="183"/>
      <c r="CS82" s="182"/>
      <c r="CT82" s="185"/>
      <c r="CU82" s="184"/>
      <c r="CV82" s="183"/>
      <c r="CW82" s="182"/>
      <c r="CX82" s="185"/>
      <c r="CY82" s="184"/>
      <c r="CZ82" s="183"/>
      <c r="DA82" s="182"/>
      <c r="DB82" s="185"/>
      <c r="DC82" s="184"/>
      <c r="DD82" s="183"/>
      <c r="DE82" s="182"/>
      <c r="DF82" s="185"/>
      <c r="DG82" s="184"/>
      <c r="DH82" s="183"/>
      <c r="DI82" s="182"/>
      <c r="DJ82" s="185"/>
      <c r="DK82" s="184"/>
      <c r="DL82" s="183"/>
      <c r="DM82" s="182"/>
      <c r="DN82" s="185"/>
      <c r="DO82" s="184"/>
      <c r="DP82" s="183"/>
      <c r="DQ82" s="182"/>
      <c r="DR82" s="185"/>
      <c r="DS82" s="184"/>
      <c r="DT82" s="183"/>
      <c r="DU82" s="182"/>
      <c r="DV82" s="185"/>
      <c r="DW82" s="184"/>
      <c r="DX82" s="183"/>
      <c r="DY82" s="182"/>
      <c r="DZ82" s="185"/>
      <c r="EA82" s="184"/>
      <c r="EB82" s="183"/>
      <c r="EC82" s="182"/>
      <c r="ED82" s="185"/>
      <c r="EE82" s="184"/>
      <c r="EF82" s="183"/>
      <c r="EG82" s="182"/>
      <c r="EH82" s="185"/>
      <c r="EI82" s="184"/>
      <c r="EJ82" s="183"/>
      <c r="EK82" s="182"/>
      <c r="EL82" s="185"/>
      <c r="EM82" s="184"/>
      <c r="EN82" s="183"/>
      <c r="EO82" s="182"/>
      <c r="EP82" s="185"/>
      <c r="EQ82" s="184"/>
      <c r="ER82" s="183"/>
      <c r="ES82" s="182"/>
      <c r="ET82" s="185"/>
      <c r="EU82" s="184"/>
      <c r="EV82" s="183"/>
      <c r="EW82" s="182"/>
      <c r="EX82" s="185"/>
      <c r="EY82" s="184"/>
      <c r="EZ82" s="183"/>
      <c r="FA82" s="182"/>
      <c r="FB82" s="185"/>
      <c r="FC82" s="184"/>
      <c r="FD82" s="183"/>
      <c r="FE82" s="182"/>
      <c r="FF82" s="185"/>
      <c r="FG82" s="184"/>
      <c r="FH82" s="183"/>
      <c r="FI82" s="182"/>
      <c r="FJ82" s="185"/>
      <c r="FK82" s="184"/>
      <c r="FL82" s="183"/>
      <c r="FM82" s="182"/>
      <c r="FN82" s="185"/>
      <c r="FO82" s="184"/>
      <c r="FP82" s="183"/>
      <c r="FQ82" s="182"/>
      <c r="FR82" s="185"/>
      <c r="FS82" s="184"/>
      <c r="FT82" s="183"/>
      <c r="FU82" s="182"/>
      <c r="FV82" s="185"/>
      <c r="FW82" s="184"/>
      <c r="FX82" s="183"/>
      <c r="FY82" s="182"/>
      <c r="FZ82" s="185"/>
      <c r="GA82" s="184"/>
      <c r="GB82" s="183"/>
      <c r="GC82" s="182"/>
      <c r="GD82" s="185"/>
      <c r="GE82" s="184"/>
      <c r="GF82" s="183"/>
      <c r="GG82" s="182"/>
      <c r="GH82" s="185"/>
      <c r="GI82" s="184"/>
      <c r="GJ82" s="183"/>
      <c r="GK82" s="182"/>
      <c r="GL82" s="185"/>
      <c r="GM82" s="184"/>
      <c r="GN82" s="183"/>
      <c r="GO82" s="182"/>
      <c r="GP82" s="185"/>
      <c r="GQ82" s="184"/>
      <c r="GR82" s="183"/>
      <c r="GS82" s="182"/>
      <c r="GT82" s="181"/>
      <c r="GU82" s="180"/>
      <c r="GV82" s="173"/>
      <c r="GW82" s="173"/>
      <c r="GX82" s="173"/>
    </row>
    <row r="83" spans="1:206">
      <c r="A83" s="173"/>
      <c r="B83" s="177"/>
      <c r="C83" s="177"/>
      <c r="D83" s="175"/>
      <c r="E83" s="175"/>
      <c r="F83" s="173"/>
      <c r="G83" s="173"/>
      <c r="H83" s="173"/>
      <c r="I83" s="173"/>
      <c r="J83" s="173"/>
      <c r="K83" s="173"/>
      <c r="L83" s="173"/>
      <c r="M83" s="173"/>
      <c r="N83" s="173"/>
      <c r="O83" s="175"/>
      <c r="P83" s="175"/>
      <c r="Q83" s="175"/>
      <c r="R83" s="175"/>
      <c r="S83" s="175"/>
      <c r="T83" s="175"/>
      <c r="U83" s="175"/>
      <c r="V83" s="175"/>
      <c r="W83" s="175"/>
      <c r="X83" s="175"/>
      <c r="Y83" s="175"/>
      <c r="Z83" s="173"/>
      <c r="AA83" s="175"/>
      <c r="AB83" s="173"/>
      <c r="AC83" s="173"/>
      <c r="AD83" s="179"/>
      <c r="AE83" s="179"/>
      <c r="AF83" s="179"/>
      <c r="AG83" s="178"/>
      <c r="AH83" s="179"/>
      <c r="AI83" s="179"/>
      <c r="AJ83" s="179"/>
      <c r="AK83" s="178"/>
      <c r="AL83" s="179"/>
      <c r="AM83" s="179"/>
      <c r="AN83" s="179"/>
      <c r="AO83" s="178"/>
      <c r="AP83" s="179"/>
      <c r="AQ83" s="179"/>
      <c r="AR83" s="179"/>
      <c r="AS83" s="178"/>
      <c r="AT83" s="179"/>
      <c r="AU83" s="179"/>
      <c r="AV83" s="179"/>
      <c r="AW83" s="178"/>
      <c r="AX83" s="179"/>
      <c r="AY83" s="179"/>
      <c r="AZ83" s="179"/>
      <c r="BA83" s="178"/>
      <c r="BB83" s="179"/>
      <c r="BC83" s="179"/>
      <c r="BD83" s="179"/>
      <c r="BE83" s="178"/>
      <c r="BF83" s="179"/>
      <c r="BG83" s="179"/>
      <c r="BH83" s="179"/>
      <c r="BI83" s="178"/>
      <c r="BJ83" s="179"/>
      <c r="BK83" s="179"/>
      <c r="BL83" s="179"/>
      <c r="BM83" s="178"/>
      <c r="BN83" s="179"/>
      <c r="BO83" s="179"/>
      <c r="BP83" s="179"/>
      <c r="BQ83" s="178"/>
      <c r="BR83" s="179"/>
      <c r="BS83" s="179"/>
      <c r="BT83" s="179"/>
      <c r="BU83" s="178"/>
      <c r="BV83" s="179"/>
      <c r="BW83" s="179"/>
      <c r="BX83" s="179"/>
      <c r="BY83" s="178"/>
      <c r="BZ83" s="179"/>
      <c r="CA83" s="179"/>
      <c r="CB83" s="179"/>
      <c r="CC83" s="178"/>
      <c r="CD83" s="179"/>
      <c r="CE83" s="179"/>
      <c r="CF83" s="179"/>
      <c r="CG83" s="178"/>
      <c r="CH83" s="179"/>
      <c r="CI83" s="179"/>
      <c r="CJ83" s="179"/>
      <c r="CK83" s="178"/>
      <c r="CL83" s="179"/>
      <c r="CM83" s="179"/>
      <c r="CN83" s="179"/>
      <c r="CO83" s="178"/>
      <c r="CP83" s="179"/>
      <c r="CQ83" s="179"/>
      <c r="CR83" s="179"/>
      <c r="CS83" s="178"/>
      <c r="CT83" s="179"/>
      <c r="CU83" s="179"/>
      <c r="CV83" s="179"/>
      <c r="CW83" s="178"/>
      <c r="CX83" s="179"/>
      <c r="CY83" s="179"/>
      <c r="CZ83" s="179"/>
      <c r="DA83" s="178"/>
      <c r="DB83" s="179"/>
      <c r="DC83" s="179"/>
      <c r="DD83" s="179"/>
      <c r="DE83" s="178"/>
      <c r="DF83" s="179"/>
      <c r="DG83" s="179"/>
      <c r="DH83" s="179"/>
      <c r="DI83" s="178"/>
      <c r="DJ83" s="179"/>
      <c r="DK83" s="179"/>
      <c r="DL83" s="179"/>
      <c r="DM83" s="178"/>
      <c r="DN83" s="179"/>
      <c r="DO83" s="179"/>
      <c r="DP83" s="179"/>
      <c r="DQ83" s="178"/>
      <c r="DR83" s="179"/>
      <c r="DS83" s="179"/>
      <c r="DT83" s="179"/>
      <c r="DU83" s="178"/>
      <c r="DV83" s="179"/>
      <c r="DW83" s="179"/>
      <c r="DX83" s="179"/>
      <c r="DY83" s="178"/>
      <c r="DZ83" s="179"/>
      <c r="EA83" s="179"/>
      <c r="EB83" s="179"/>
      <c r="EC83" s="178"/>
      <c r="ED83" s="179"/>
      <c r="EE83" s="179"/>
      <c r="EF83" s="179"/>
      <c r="EG83" s="178"/>
      <c r="EH83" s="179"/>
      <c r="EI83" s="179"/>
      <c r="EJ83" s="179"/>
      <c r="EK83" s="178"/>
      <c r="EL83" s="179"/>
      <c r="EM83" s="179"/>
      <c r="EN83" s="179"/>
      <c r="EO83" s="178"/>
      <c r="EP83" s="179"/>
      <c r="EQ83" s="179"/>
      <c r="ER83" s="179"/>
      <c r="ES83" s="178"/>
      <c r="ET83" s="179"/>
      <c r="EU83" s="179"/>
      <c r="EV83" s="179"/>
      <c r="EW83" s="178"/>
      <c r="EX83" s="179"/>
      <c r="EY83" s="179"/>
      <c r="EZ83" s="179"/>
      <c r="FA83" s="178"/>
      <c r="FB83" s="179"/>
      <c r="FC83" s="179"/>
      <c r="FD83" s="179"/>
      <c r="FE83" s="178"/>
      <c r="FF83" s="179"/>
      <c r="FG83" s="179"/>
      <c r="FH83" s="179"/>
      <c r="FI83" s="178"/>
      <c r="FJ83" s="179"/>
      <c r="FK83" s="179"/>
      <c r="FL83" s="179"/>
      <c r="FM83" s="178"/>
      <c r="FN83" s="179"/>
      <c r="FO83" s="179"/>
      <c r="FP83" s="179"/>
      <c r="FQ83" s="178"/>
      <c r="FR83" s="179"/>
      <c r="FS83" s="179"/>
      <c r="FT83" s="179"/>
      <c r="FU83" s="178"/>
      <c r="FV83" s="179"/>
      <c r="FW83" s="179"/>
      <c r="FX83" s="179"/>
      <c r="FY83" s="178"/>
      <c r="FZ83" s="179"/>
      <c r="GA83" s="179"/>
      <c r="GB83" s="179"/>
      <c r="GC83" s="178"/>
      <c r="GD83" s="179"/>
      <c r="GE83" s="179"/>
      <c r="GF83" s="179"/>
      <c r="GG83" s="178"/>
      <c r="GH83" s="179"/>
      <c r="GI83" s="179"/>
      <c r="GJ83" s="179"/>
      <c r="GK83" s="178"/>
      <c r="GL83" s="179"/>
      <c r="GM83" s="179"/>
      <c r="GN83" s="179"/>
      <c r="GO83" s="178"/>
      <c r="GP83" s="179"/>
      <c r="GQ83" s="179"/>
      <c r="GR83" s="179"/>
      <c r="GS83" s="178"/>
      <c r="GT83" s="178"/>
      <c r="GU83" s="178"/>
      <c r="GV83" s="173"/>
      <c r="GW83" s="173"/>
      <c r="GX83" s="173"/>
    </row>
    <row r="84" spans="1:206">
      <c r="A84" s="173"/>
      <c r="B84" s="177"/>
      <c r="C84" s="177"/>
      <c r="D84" s="176"/>
      <c r="E84" s="175"/>
      <c r="F84" s="173"/>
      <c r="G84" s="173"/>
      <c r="H84" s="173"/>
      <c r="I84" s="173"/>
      <c r="J84" s="173"/>
      <c r="K84" s="173"/>
      <c r="L84" s="173"/>
      <c r="M84" s="173"/>
      <c r="N84" s="173"/>
      <c r="O84" s="175"/>
      <c r="P84" s="175"/>
      <c r="Q84" s="175"/>
      <c r="R84" s="175"/>
      <c r="S84" s="175"/>
      <c r="T84" s="175"/>
      <c r="U84" s="175"/>
      <c r="V84" s="175"/>
      <c r="W84" s="175"/>
      <c r="X84" s="175"/>
      <c r="Y84" s="175"/>
      <c r="Z84" s="173"/>
      <c r="AA84" s="175"/>
      <c r="AB84" s="173"/>
      <c r="AC84" s="173"/>
      <c r="AD84" s="174"/>
      <c r="AE84" s="174"/>
      <c r="AF84" s="174"/>
      <c r="AG84" s="174"/>
      <c r="AH84" s="174"/>
      <c r="AI84" s="174"/>
      <c r="AJ84" s="174"/>
      <c r="AK84" s="174"/>
      <c r="AL84" s="174"/>
      <c r="AM84" s="174"/>
      <c r="AN84" s="174"/>
      <c r="AO84" s="174"/>
      <c r="AP84" s="174"/>
      <c r="AQ84" s="174"/>
      <c r="AR84" s="174"/>
      <c r="AS84" s="174"/>
      <c r="AT84" s="174"/>
      <c r="AU84" s="174"/>
      <c r="AV84" s="174"/>
      <c r="AW84" s="174"/>
      <c r="AX84" s="174"/>
      <c r="AY84" s="174"/>
      <c r="AZ84" s="174"/>
      <c r="BA84" s="174"/>
      <c r="BB84" s="174"/>
      <c r="BC84" s="174"/>
      <c r="BD84" s="174"/>
      <c r="BE84" s="174"/>
      <c r="BF84" s="174"/>
      <c r="BG84" s="174"/>
      <c r="BH84" s="174"/>
      <c r="BI84" s="174"/>
      <c r="BJ84" s="174"/>
      <c r="BK84" s="174"/>
      <c r="BL84" s="174"/>
      <c r="BM84" s="174"/>
      <c r="BN84" s="174"/>
      <c r="BO84" s="174"/>
      <c r="BP84" s="174"/>
      <c r="BQ84" s="174"/>
      <c r="BR84" s="174"/>
      <c r="BS84" s="174"/>
      <c r="BT84" s="174"/>
      <c r="BU84" s="174"/>
      <c r="BV84" s="174"/>
      <c r="BW84" s="174"/>
      <c r="BX84" s="174"/>
      <c r="BY84" s="174"/>
      <c r="BZ84" s="174"/>
      <c r="CA84" s="174"/>
      <c r="CB84" s="174"/>
      <c r="CC84" s="174"/>
      <c r="CD84" s="174"/>
      <c r="CE84" s="174"/>
      <c r="CF84" s="174"/>
      <c r="CG84" s="174"/>
      <c r="CH84" s="174"/>
      <c r="CI84" s="174"/>
      <c r="CJ84" s="174"/>
      <c r="CK84" s="174"/>
      <c r="CL84" s="174"/>
      <c r="CM84" s="174"/>
      <c r="CN84" s="174"/>
      <c r="CO84" s="174"/>
      <c r="CP84" s="174"/>
      <c r="CQ84" s="174"/>
      <c r="CR84" s="174"/>
      <c r="CS84" s="174"/>
      <c r="CT84" s="174"/>
      <c r="CU84" s="174"/>
      <c r="CV84" s="174"/>
      <c r="CW84" s="174"/>
      <c r="CX84" s="174"/>
      <c r="CY84" s="174"/>
      <c r="CZ84" s="174"/>
      <c r="DA84" s="174"/>
      <c r="DB84" s="174"/>
      <c r="DC84" s="174"/>
      <c r="DD84" s="174"/>
      <c r="DE84" s="174"/>
      <c r="DF84" s="174"/>
      <c r="DG84" s="174"/>
      <c r="DH84" s="174"/>
      <c r="DI84" s="174"/>
      <c r="DJ84" s="174"/>
      <c r="DK84" s="174"/>
      <c r="DL84" s="174"/>
      <c r="DM84" s="174"/>
      <c r="DN84" s="174"/>
      <c r="DO84" s="174"/>
      <c r="DP84" s="174"/>
      <c r="DQ84" s="174"/>
      <c r="DR84" s="174"/>
      <c r="DS84" s="174"/>
      <c r="DT84" s="174"/>
      <c r="DU84" s="174"/>
      <c r="DV84" s="174"/>
      <c r="DW84" s="174"/>
      <c r="DX84" s="174"/>
      <c r="DY84" s="174"/>
      <c r="DZ84" s="174"/>
      <c r="EA84" s="174"/>
      <c r="EB84" s="174"/>
      <c r="EC84" s="174"/>
      <c r="ED84" s="174"/>
      <c r="EE84" s="174"/>
      <c r="EF84" s="174"/>
      <c r="EG84" s="174"/>
      <c r="EH84" s="174"/>
      <c r="EI84" s="174"/>
      <c r="EJ84" s="174"/>
      <c r="EK84" s="174"/>
      <c r="EL84" s="174"/>
      <c r="EM84" s="174"/>
      <c r="EN84" s="174"/>
      <c r="EO84" s="174"/>
      <c r="EP84" s="174"/>
      <c r="EQ84" s="174"/>
      <c r="ER84" s="174"/>
      <c r="ES84" s="174"/>
      <c r="ET84" s="174"/>
      <c r="EU84" s="174"/>
      <c r="EV84" s="174"/>
      <c r="EW84" s="174"/>
      <c r="EX84" s="174"/>
      <c r="EY84" s="174"/>
      <c r="EZ84" s="174"/>
      <c r="FA84" s="174"/>
      <c r="FB84" s="174"/>
      <c r="FC84" s="174"/>
      <c r="FD84" s="174"/>
      <c r="FE84" s="174"/>
      <c r="FF84" s="174"/>
      <c r="FG84" s="174"/>
      <c r="FH84" s="174"/>
      <c r="FI84" s="174"/>
      <c r="FJ84" s="174"/>
      <c r="FK84" s="174"/>
      <c r="FL84" s="174"/>
      <c r="FM84" s="174"/>
      <c r="FN84" s="174"/>
      <c r="FO84" s="174"/>
      <c r="FP84" s="174"/>
      <c r="FQ84" s="174"/>
      <c r="FR84" s="174"/>
      <c r="FS84" s="174"/>
      <c r="FT84" s="174"/>
      <c r="FU84" s="174"/>
      <c r="FV84" s="174"/>
      <c r="FW84" s="174"/>
      <c r="FX84" s="174"/>
      <c r="FY84" s="174"/>
      <c r="FZ84" s="174"/>
      <c r="GA84" s="174"/>
      <c r="GB84" s="174"/>
      <c r="GC84" s="174"/>
      <c r="GD84" s="174"/>
      <c r="GE84" s="174"/>
      <c r="GF84" s="174"/>
      <c r="GG84" s="174"/>
      <c r="GH84" s="174"/>
      <c r="GI84" s="174"/>
      <c r="GJ84" s="174"/>
      <c r="GK84" s="174"/>
      <c r="GL84" s="174"/>
      <c r="GM84" s="174"/>
      <c r="GN84" s="174"/>
      <c r="GO84" s="174"/>
      <c r="GP84" s="174"/>
      <c r="GQ84" s="174"/>
      <c r="GR84" s="174"/>
      <c r="GS84" s="174"/>
      <c r="GT84" s="174"/>
      <c r="GU84" s="174"/>
      <c r="GV84" s="173"/>
      <c r="GW84" s="173"/>
      <c r="GX84" s="173"/>
    </row>
    <row r="85" spans="1:206">
      <c r="A85" s="173"/>
      <c r="B85" s="177"/>
      <c r="C85" s="177"/>
      <c r="D85" s="176"/>
      <c r="E85" s="175"/>
      <c r="F85" s="173"/>
      <c r="G85" s="173"/>
      <c r="H85" s="173"/>
      <c r="I85" s="173"/>
      <c r="J85" s="173"/>
      <c r="K85" s="173"/>
      <c r="L85" s="173"/>
      <c r="M85" s="173"/>
      <c r="N85" s="173"/>
      <c r="O85" s="175"/>
      <c r="P85" s="175"/>
      <c r="Q85" s="175"/>
      <c r="R85" s="175"/>
      <c r="S85" s="175"/>
      <c r="T85" s="175"/>
      <c r="U85" s="175"/>
      <c r="V85" s="175"/>
      <c r="W85" s="175"/>
      <c r="X85" s="175"/>
      <c r="Y85" s="175"/>
      <c r="Z85" s="173"/>
      <c r="AA85" s="175"/>
      <c r="AB85" s="173"/>
      <c r="AC85" s="173"/>
      <c r="AD85" s="174"/>
      <c r="AE85" s="174"/>
      <c r="AF85" s="174"/>
      <c r="AG85" s="174"/>
      <c r="AH85" s="174"/>
      <c r="AI85" s="174"/>
      <c r="AJ85" s="174"/>
      <c r="AK85" s="174"/>
      <c r="AL85" s="174"/>
      <c r="AM85" s="174"/>
      <c r="AN85" s="174"/>
      <c r="AO85" s="174"/>
      <c r="AP85" s="174"/>
      <c r="AQ85" s="174"/>
      <c r="AR85" s="174"/>
      <c r="AS85" s="174"/>
      <c r="AT85" s="174"/>
      <c r="AU85" s="174"/>
      <c r="AV85" s="174"/>
      <c r="AW85" s="174"/>
      <c r="AX85" s="174"/>
      <c r="AY85" s="174"/>
      <c r="AZ85" s="174"/>
      <c r="BA85" s="174"/>
      <c r="BB85" s="174"/>
      <c r="BC85" s="174"/>
      <c r="BD85" s="174"/>
      <c r="BE85" s="174"/>
      <c r="BF85" s="174"/>
      <c r="BG85" s="174"/>
      <c r="BH85" s="174"/>
      <c r="BI85" s="174"/>
      <c r="BJ85" s="174"/>
      <c r="BK85" s="174"/>
      <c r="BL85" s="174"/>
      <c r="BM85" s="174"/>
      <c r="BN85" s="174"/>
      <c r="BO85" s="174"/>
      <c r="BP85" s="174"/>
      <c r="BQ85" s="174"/>
      <c r="BR85" s="174"/>
      <c r="BS85" s="174"/>
      <c r="BT85" s="174"/>
      <c r="BU85" s="174"/>
      <c r="BV85" s="174"/>
      <c r="BW85" s="174"/>
      <c r="BX85" s="174"/>
      <c r="BY85" s="174"/>
      <c r="BZ85" s="174"/>
      <c r="CA85" s="174"/>
      <c r="CB85" s="174"/>
      <c r="CC85" s="174"/>
      <c r="CD85" s="174"/>
      <c r="CE85" s="174"/>
      <c r="CF85" s="174"/>
      <c r="CG85" s="174"/>
      <c r="CH85" s="174"/>
      <c r="CI85" s="174"/>
      <c r="CJ85" s="174"/>
      <c r="CK85" s="174"/>
      <c r="CL85" s="174"/>
      <c r="CM85" s="174"/>
      <c r="CN85" s="174"/>
      <c r="CO85" s="174"/>
      <c r="CP85" s="174"/>
      <c r="CQ85" s="174"/>
      <c r="CR85" s="174"/>
      <c r="CS85" s="174"/>
      <c r="CT85" s="174"/>
      <c r="CU85" s="174"/>
      <c r="CV85" s="174"/>
      <c r="CW85" s="174"/>
      <c r="CX85" s="174"/>
      <c r="CY85" s="174"/>
      <c r="CZ85" s="174"/>
      <c r="DA85" s="174"/>
      <c r="DB85" s="174"/>
      <c r="DC85" s="174"/>
      <c r="DD85" s="174"/>
      <c r="DE85" s="174"/>
      <c r="DF85" s="174"/>
      <c r="DG85" s="174"/>
      <c r="DH85" s="174"/>
      <c r="DI85" s="174"/>
      <c r="DJ85" s="174"/>
      <c r="DK85" s="174"/>
      <c r="DL85" s="174"/>
      <c r="DM85" s="174"/>
      <c r="DN85" s="174"/>
      <c r="DO85" s="174"/>
      <c r="DP85" s="174"/>
      <c r="DQ85" s="174"/>
      <c r="DR85" s="174"/>
      <c r="DS85" s="174"/>
      <c r="DT85" s="174"/>
      <c r="DU85" s="174"/>
      <c r="DV85" s="174"/>
      <c r="DW85" s="174"/>
      <c r="DX85" s="174"/>
      <c r="DY85" s="174"/>
      <c r="DZ85" s="174"/>
      <c r="EA85" s="174"/>
      <c r="EB85" s="174"/>
      <c r="EC85" s="174"/>
      <c r="ED85" s="174"/>
      <c r="EE85" s="174"/>
      <c r="EF85" s="174"/>
      <c r="EG85" s="174"/>
      <c r="EH85" s="174"/>
      <c r="EI85" s="174"/>
      <c r="EJ85" s="174"/>
      <c r="EK85" s="174"/>
      <c r="EL85" s="174"/>
      <c r="EM85" s="174"/>
      <c r="EN85" s="174"/>
      <c r="EO85" s="174"/>
      <c r="EP85" s="174"/>
      <c r="EQ85" s="174"/>
      <c r="ER85" s="174"/>
      <c r="ES85" s="174"/>
      <c r="ET85" s="174"/>
      <c r="EU85" s="174"/>
      <c r="EV85" s="174"/>
      <c r="EW85" s="174"/>
      <c r="EX85" s="174"/>
      <c r="EY85" s="174"/>
      <c r="EZ85" s="174"/>
      <c r="FA85" s="174"/>
      <c r="FB85" s="174"/>
      <c r="FC85" s="174"/>
      <c r="FD85" s="174"/>
      <c r="FE85" s="174"/>
      <c r="FF85" s="174"/>
      <c r="FG85" s="174"/>
      <c r="FH85" s="174"/>
      <c r="FI85" s="174"/>
      <c r="FJ85" s="174"/>
      <c r="FK85" s="174"/>
      <c r="FL85" s="174"/>
      <c r="FM85" s="174"/>
      <c r="FN85" s="174"/>
      <c r="FO85" s="174"/>
      <c r="FP85" s="174"/>
      <c r="FQ85" s="174"/>
      <c r="FR85" s="174"/>
      <c r="FS85" s="174"/>
      <c r="FT85" s="174"/>
      <c r="FU85" s="174"/>
      <c r="FV85" s="174"/>
      <c r="FW85" s="174"/>
      <c r="FX85" s="174"/>
      <c r="FY85" s="174"/>
      <c r="FZ85" s="174"/>
      <c r="GA85" s="174"/>
      <c r="GB85" s="174"/>
      <c r="GC85" s="174"/>
      <c r="GD85" s="174"/>
      <c r="GE85" s="174"/>
      <c r="GF85" s="174"/>
      <c r="GG85" s="174"/>
      <c r="GH85" s="174"/>
      <c r="GI85" s="174"/>
      <c r="GJ85" s="174"/>
      <c r="GK85" s="174"/>
      <c r="GL85" s="174"/>
      <c r="GM85" s="174"/>
      <c r="GN85" s="174"/>
      <c r="GO85" s="174"/>
      <c r="GP85" s="174"/>
      <c r="GQ85" s="174"/>
      <c r="GR85" s="174"/>
      <c r="GS85" s="174"/>
      <c r="GT85" s="174"/>
      <c r="GU85" s="174"/>
      <c r="GV85" s="173"/>
      <c r="GW85" s="173"/>
      <c r="GX85" s="173"/>
    </row>
  </sheetData>
  <mergeCells count="57">
    <mergeCell ref="GP6:GS6"/>
    <mergeCell ref="FR6:FU6"/>
    <mergeCell ref="FV6:FY6"/>
    <mergeCell ref="FZ6:GC6"/>
    <mergeCell ref="GD6:GG6"/>
    <mergeCell ref="GH6:GK6"/>
    <mergeCell ref="GL6:GO6"/>
    <mergeCell ref="FN6:FQ6"/>
    <mergeCell ref="DV6:DY6"/>
    <mergeCell ref="DZ6:EC6"/>
    <mergeCell ref="ED6:EG6"/>
    <mergeCell ref="EH6:EK6"/>
    <mergeCell ref="EL6:EO6"/>
    <mergeCell ref="EP6:ES6"/>
    <mergeCell ref="ET6:EW6"/>
    <mergeCell ref="EX6:FA6"/>
    <mergeCell ref="FB6:FE6"/>
    <mergeCell ref="FF6:FI6"/>
    <mergeCell ref="FJ6:FM6"/>
    <mergeCell ref="DR6:DU6"/>
    <mergeCell ref="BZ6:CC6"/>
    <mergeCell ref="CD6:CG6"/>
    <mergeCell ref="CH6:CK6"/>
    <mergeCell ref="CL6:CO6"/>
    <mergeCell ref="CP6:CS6"/>
    <mergeCell ref="CT6:CW6"/>
    <mergeCell ref="CX6:DA6"/>
    <mergeCell ref="DB6:DE6"/>
    <mergeCell ref="DF6:DI6"/>
    <mergeCell ref="DJ6:DM6"/>
    <mergeCell ref="DN6:DQ6"/>
    <mergeCell ref="BV6:BY6"/>
    <mergeCell ref="AD6:AG6"/>
    <mergeCell ref="AH6:AK6"/>
    <mergeCell ref="AL6:AO6"/>
    <mergeCell ref="AP6:AS6"/>
    <mergeCell ref="AT6:AW6"/>
    <mergeCell ref="AX6:BA6"/>
    <mergeCell ref="BB6:BE6"/>
    <mergeCell ref="BF6:BI6"/>
    <mergeCell ref="BJ6:BM6"/>
    <mergeCell ref="BN6:BQ6"/>
    <mergeCell ref="BR6:BU6"/>
    <mergeCell ref="B1:Z1"/>
    <mergeCell ref="B2:E2"/>
    <mergeCell ref="F2:H2"/>
    <mergeCell ref="I2:K2"/>
    <mergeCell ref="P2:S2"/>
    <mergeCell ref="T2:V2"/>
    <mergeCell ref="C7:H7"/>
    <mergeCell ref="B3:K3"/>
    <mergeCell ref="L3:W3"/>
    <mergeCell ref="B4:K4"/>
    <mergeCell ref="L4:W4"/>
    <mergeCell ref="B6:O6"/>
    <mergeCell ref="P6:V6"/>
    <mergeCell ref="W6:AC6"/>
  </mergeCells>
  <phoneticPr fontId="3"/>
  <conditionalFormatting sqref="AG8:AG10">
    <cfRule type="expression" dxfId="4598" priority="4745" stopIfTrue="1">
      <formula>IF(AG8="-",TRUE,FALSE)</formula>
    </cfRule>
    <cfRule type="expression" dxfId="4597" priority="4746" stopIfTrue="1">
      <formula>IF(OR(AG8="OK"),FALSE,TRUE)</formula>
    </cfRule>
  </conditionalFormatting>
  <conditionalFormatting sqref="AD8:AD10">
    <cfRule type="expression" dxfId="4596" priority="4744" stopIfTrue="1">
      <formula>IF(AE$8="判定対象外",TRUE,FALSE)</formula>
    </cfRule>
  </conditionalFormatting>
  <conditionalFormatting sqref="AE8:AE10">
    <cfRule type="expression" dxfId="4595" priority="4743" stopIfTrue="1">
      <formula>IF(AE$8="判定対象外",TRUE,FALSE)</formula>
    </cfRule>
  </conditionalFormatting>
  <conditionalFormatting sqref="AF8:AF10">
    <cfRule type="expression" dxfId="4594" priority="4742" stopIfTrue="1">
      <formula>IF(AE$8="判定対象外",TRUE,FALSE)</formula>
    </cfRule>
  </conditionalFormatting>
  <conditionalFormatting sqref="AG11:AG56 AG71:AG81">
    <cfRule type="expression" dxfId="4593" priority="4739" stopIfTrue="1">
      <formula>IF(AG11="-",TRUE,FALSE)</formula>
    </cfRule>
    <cfRule type="expression" dxfId="4592" priority="4740" stopIfTrue="1">
      <formula>IF(OR(AG11="OK"),FALSE,TRUE)</formula>
    </cfRule>
  </conditionalFormatting>
  <conditionalFormatting sqref="AF11:AF56 AF71:AF81">
    <cfRule type="expression" dxfId="4591" priority="4738" stopIfTrue="1">
      <formula>IF(AE$8="判定対象外",TRUE,FALSE)</formula>
    </cfRule>
  </conditionalFormatting>
  <conditionalFormatting sqref="AD72:AD81 AD21:AD46">
    <cfRule type="expression" dxfId="4590" priority="4737" stopIfTrue="1">
      <formula>IF(AE$8="判定対象外",TRUE,FALSE)</formula>
    </cfRule>
  </conditionalFormatting>
  <conditionalFormatting sqref="AD29:AD32">
    <cfRule type="expression" dxfId="4589" priority="4736" stopIfTrue="1">
      <formula>IF(AE$8="判定対象外",TRUE,FALSE)</formula>
    </cfRule>
  </conditionalFormatting>
  <conditionalFormatting sqref="AD42:AD44">
    <cfRule type="expression" dxfId="4588" priority="4735" stopIfTrue="1">
      <formula>IF(AE$8="判定対象外",TRUE,FALSE)</formula>
    </cfRule>
  </conditionalFormatting>
  <conditionalFormatting sqref="AD46">
    <cfRule type="expression" dxfId="4587" priority="4734" stopIfTrue="1">
      <formula>IF(AE$8="判定対象外",TRUE,FALSE)</formula>
    </cfRule>
  </conditionalFormatting>
  <conditionalFormatting sqref="AD42:AD44">
    <cfRule type="expression" dxfId="4586" priority="4733" stopIfTrue="1">
      <formula>IF(AE$8="判定対象外",TRUE,FALSE)</formula>
    </cfRule>
  </conditionalFormatting>
  <conditionalFormatting sqref="AD42:AD44">
    <cfRule type="expression" dxfId="4585" priority="4732" stopIfTrue="1">
      <formula>IF(AE$8="判定対象外",TRUE,FALSE)</formula>
    </cfRule>
  </conditionalFormatting>
  <conditionalFormatting sqref="AD42:AD44">
    <cfRule type="expression" dxfId="4584" priority="4731" stopIfTrue="1">
      <formula>IF(AE$8="判定対象外",TRUE,FALSE)</formula>
    </cfRule>
  </conditionalFormatting>
  <conditionalFormatting sqref="AD42:AD44">
    <cfRule type="expression" dxfId="4583" priority="4730" stopIfTrue="1">
      <formula>IF(AE$8="判定対象外",TRUE,FALSE)</formula>
    </cfRule>
  </conditionalFormatting>
  <conditionalFormatting sqref="AD42:AD44">
    <cfRule type="expression" dxfId="4582" priority="4729" stopIfTrue="1">
      <formula>IF(AE$8="判定対象外",TRUE,FALSE)</formula>
    </cfRule>
  </conditionalFormatting>
  <conditionalFormatting sqref="AD42:AD44">
    <cfRule type="expression" dxfId="4581" priority="4728" stopIfTrue="1">
      <formula>IF(AE$8="判定対象外",TRUE,FALSE)</formula>
    </cfRule>
  </conditionalFormatting>
  <conditionalFormatting sqref="AD42:AD44">
    <cfRule type="expression" dxfId="4580" priority="4727" stopIfTrue="1">
      <formula>IF(AE$8="判定対象外",TRUE,FALSE)</formula>
    </cfRule>
  </conditionalFormatting>
  <conditionalFormatting sqref="AD38">
    <cfRule type="expression" dxfId="4579" priority="4741" stopIfTrue="1">
      <formula>IF(#REF!="判定対象外",TRUE,FALSE)</formula>
    </cfRule>
  </conditionalFormatting>
  <conditionalFormatting sqref="AE11:AE56 AE71:AE81">
    <cfRule type="expression" dxfId="4578" priority="4726" stopIfTrue="1">
      <formula>IF(AE$8="判定対象外",TRUE,FALSE)</formula>
    </cfRule>
  </conditionalFormatting>
  <conditionalFormatting sqref="AD48">
    <cfRule type="expression" dxfId="4577" priority="4725" stopIfTrue="1">
      <formula>IF(AE$8="判定対象外",TRUE,FALSE)</formula>
    </cfRule>
  </conditionalFormatting>
  <conditionalFormatting sqref="AD51">
    <cfRule type="expression" dxfId="4576" priority="4724" stopIfTrue="1">
      <formula>IF(AE$8="判定対象外",TRUE,FALSE)</formula>
    </cfRule>
  </conditionalFormatting>
  <conditionalFormatting sqref="AD52 AD55 AD58 AD61 AD64 AD67 AD70">
    <cfRule type="expression" dxfId="4575" priority="4723" stopIfTrue="1">
      <formula>IF(AE$8="判定対象外",TRUE,FALSE)</formula>
    </cfRule>
  </conditionalFormatting>
  <conditionalFormatting sqref="AD11:AD20">
    <cfRule type="expression" dxfId="4574" priority="4722" stopIfTrue="1">
      <formula>IF(AE$8="判定対象外",TRUE,FALSE)</formula>
    </cfRule>
  </conditionalFormatting>
  <conditionalFormatting sqref="AD16:AD18">
    <cfRule type="expression" dxfId="4573" priority="4721" stopIfTrue="1">
      <formula>IF(AE$8="判定対象外",TRUE,FALSE)</formula>
    </cfRule>
  </conditionalFormatting>
  <conditionalFormatting sqref="AD20">
    <cfRule type="expression" dxfId="4572" priority="4720" stopIfTrue="1">
      <formula>IF(AE$8="判定対象外",TRUE,FALSE)</formula>
    </cfRule>
  </conditionalFormatting>
  <conditionalFormatting sqref="AD16:AD20">
    <cfRule type="expression" dxfId="4571" priority="4719" stopIfTrue="1">
      <formula>IF(AE$8="判定対象外",TRUE,FALSE)</formula>
    </cfRule>
  </conditionalFormatting>
  <conditionalFormatting sqref="AD11:AD20">
    <cfRule type="expression" dxfId="4570" priority="4718" stopIfTrue="1">
      <formula>IF(AE$8="判定対象外",TRUE,FALSE)</formula>
    </cfRule>
  </conditionalFormatting>
  <conditionalFormatting sqref="AD16:AD18">
    <cfRule type="expression" dxfId="4569" priority="4717" stopIfTrue="1">
      <formula>IF(AE$8="判定対象外",TRUE,FALSE)</formula>
    </cfRule>
  </conditionalFormatting>
  <conditionalFormatting sqref="AD20">
    <cfRule type="expression" dxfId="4568" priority="4716" stopIfTrue="1">
      <formula>IF(AE$8="判定対象外",TRUE,FALSE)</formula>
    </cfRule>
  </conditionalFormatting>
  <conditionalFormatting sqref="AD16:AD20">
    <cfRule type="expression" dxfId="4567" priority="4715" stopIfTrue="1">
      <formula>IF(AE$8="判定対象外",TRUE,FALSE)</formula>
    </cfRule>
  </conditionalFormatting>
  <conditionalFormatting sqref="AD11:AD20">
    <cfRule type="expression" dxfId="4566" priority="4714" stopIfTrue="1">
      <formula>IF(AE$8="判定対象外",TRUE,FALSE)</formula>
    </cfRule>
  </conditionalFormatting>
  <conditionalFormatting sqref="AD16:AD18">
    <cfRule type="expression" dxfId="4565" priority="4713" stopIfTrue="1">
      <formula>IF(AE$8="判定対象外",TRUE,FALSE)</formula>
    </cfRule>
  </conditionalFormatting>
  <conditionalFormatting sqref="AD20">
    <cfRule type="expression" dxfId="4564" priority="4712" stopIfTrue="1">
      <formula>IF(AE$8="判定対象外",TRUE,FALSE)</formula>
    </cfRule>
  </conditionalFormatting>
  <conditionalFormatting sqref="AD16:AD20">
    <cfRule type="expression" dxfId="4563" priority="4711" stopIfTrue="1">
      <formula>IF(AE$8="判定対象外",TRUE,FALSE)</formula>
    </cfRule>
  </conditionalFormatting>
  <conditionalFormatting sqref="AD11:AD13">
    <cfRule type="expression" dxfId="4562" priority="4710" stopIfTrue="1">
      <formula>IF(AE$8="判定対象外",TRUE,FALSE)</formula>
    </cfRule>
  </conditionalFormatting>
  <conditionalFormatting sqref="AD15">
    <cfRule type="expression" dxfId="4561" priority="4709" stopIfTrue="1">
      <formula>IF(AE$8="判定対象外",TRUE,FALSE)</formula>
    </cfRule>
  </conditionalFormatting>
  <conditionalFormatting sqref="AD19">
    <cfRule type="expression" dxfId="4560" priority="4708" stopIfTrue="1">
      <formula>IF(AE$8="判定対象外",TRUE,FALSE)</formula>
    </cfRule>
  </conditionalFormatting>
  <conditionalFormatting sqref="AD19">
    <cfRule type="expression" dxfId="4559" priority="4707" stopIfTrue="1">
      <formula>IF(AE$8="判定対象外",TRUE,FALSE)</formula>
    </cfRule>
  </conditionalFormatting>
  <conditionalFormatting sqref="AD20">
    <cfRule type="expression" dxfId="4558" priority="4706" stopIfTrue="1">
      <formula>IF(AE$8="判定対象外",TRUE,FALSE)</formula>
    </cfRule>
  </conditionalFormatting>
  <conditionalFormatting sqref="AD20">
    <cfRule type="expression" dxfId="4557" priority="4705" stopIfTrue="1">
      <formula>IF(AE$8="判定対象外",TRUE,FALSE)</formula>
    </cfRule>
  </conditionalFormatting>
  <conditionalFormatting sqref="AD20">
    <cfRule type="expression" dxfId="4556" priority="4704" stopIfTrue="1">
      <formula>IF(AE$8="判定対象外",TRUE,FALSE)</formula>
    </cfRule>
  </conditionalFormatting>
  <conditionalFormatting sqref="AD13">
    <cfRule type="expression" dxfId="4555" priority="4703" stopIfTrue="1">
      <formula>IF(AE$8="判定対象外",TRUE,FALSE)</formula>
    </cfRule>
  </conditionalFormatting>
  <conditionalFormatting sqref="AD47">
    <cfRule type="expression" dxfId="4554" priority="4702" stopIfTrue="1">
      <formula>IF(AE$8="判定対象外",TRUE,FALSE)</formula>
    </cfRule>
  </conditionalFormatting>
  <conditionalFormatting sqref="AD47">
    <cfRule type="expression" dxfId="4553" priority="4701" stopIfTrue="1">
      <formula>IF(AE$8="判定対象外",TRUE,FALSE)</formula>
    </cfRule>
  </conditionalFormatting>
  <conditionalFormatting sqref="AD49">
    <cfRule type="expression" dxfId="4552" priority="4700" stopIfTrue="1">
      <formula>IF(AE$8="判定対象外",TRUE,FALSE)</formula>
    </cfRule>
  </conditionalFormatting>
  <conditionalFormatting sqref="AD49">
    <cfRule type="expression" dxfId="4551" priority="4699" stopIfTrue="1">
      <formula>IF(AE$8="判定対象外",TRUE,FALSE)</formula>
    </cfRule>
  </conditionalFormatting>
  <conditionalFormatting sqref="AD50">
    <cfRule type="expression" dxfId="4550" priority="4698" stopIfTrue="1">
      <formula>IF(AE$8="判定対象外",TRUE,FALSE)</formula>
    </cfRule>
  </conditionalFormatting>
  <conditionalFormatting sqref="AD50">
    <cfRule type="expression" dxfId="4549" priority="4697" stopIfTrue="1">
      <formula>IF(AE$8="判定対象外",TRUE,FALSE)</formula>
    </cfRule>
  </conditionalFormatting>
  <conditionalFormatting sqref="AD53 AD56 AD59 AD62 AD65 AD68 AD71">
    <cfRule type="expression" dxfId="4548" priority="4696" stopIfTrue="1">
      <formula>IF(AE$8="判定対象外",TRUE,FALSE)</formula>
    </cfRule>
  </conditionalFormatting>
  <conditionalFormatting sqref="AD54 AD57 AD60 AD63 AD66 AD69">
    <cfRule type="expression" dxfId="4547" priority="4695" stopIfTrue="1">
      <formula>IF(AE$8="判定対象外",TRUE,FALSE)</formula>
    </cfRule>
  </conditionalFormatting>
  <conditionalFormatting sqref="AG57">
    <cfRule type="expression" dxfId="4546" priority="4693" stopIfTrue="1">
      <formula>IF(AG57="-",TRUE,FALSE)</formula>
    </cfRule>
    <cfRule type="expression" dxfId="4545" priority="4694" stopIfTrue="1">
      <formula>IF(OR(AG57="OK"),FALSE,TRUE)</formula>
    </cfRule>
  </conditionalFormatting>
  <conditionalFormatting sqref="AF57">
    <cfRule type="expression" dxfId="4544" priority="4692" stopIfTrue="1">
      <formula>IF(AE$8="判定対象外",TRUE,FALSE)</formula>
    </cfRule>
  </conditionalFormatting>
  <conditionalFormatting sqref="AE57">
    <cfRule type="expression" dxfId="4543" priority="4691" stopIfTrue="1">
      <formula>IF(AE$8="判定対象外",TRUE,FALSE)</formula>
    </cfRule>
  </conditionalFormatting>
  <conditionalFormatting sqref="AG58:AG64">
    <cfRule type="expression" dxfId="4542" priority="4689" stopIfTrue="1">
      <formula>IF(AG58="-",TRUE,FALSE)</formula>
    </cfRule>
    <cfRule type="expression" dxfId="4541" priority="4690" stopIfTrue="1">
      <formula>IF(OR(AG58="OK"),FALSE,TRUE)</formula>
    </cfRule>
  </conditionalFormatting>
  <conditionalFormatting sqref="AF58:AF64">
    <cfRule type="expression" dxfId="4540" priority="4688" stopIfTrue="1">
      <formula>IF(AE$8="判定対象外",TRUE,FALSE)</formula>
    </cfRule>
  </conditionalFormatting>
  <conditionalFormatting sqref="AE58:AE64">
    <cfRule type="expression" dxfId="4539" priority="4687" stopIfTrue="1">
      <formula>IF(AE$8="判定対象外",TRUE,FALSE)</formula>
    </cfRule>
  </conditionalFormatting>
  <conditionalFormatting sqref="AG65:AG70">
    <cfRule type="expression" dxfId="4538" priority="4685" stopIfTrue="1">
      <formula>IF(AG65="-",TRUE,FALSE)</formula>
    </cfRule>
    <cfRule type="expression" dxfId="4537" priority="4686" stopIfTrue="1">
      <formula>IF(OR(AG65="OK"),FALSE,TRUE)</formula>
    </cfRule>
  </conditionalFormatting>
  <conditionalFormatting sqref="AF65:AF70">
    <cfRule type="expression" dxfId="4536" priority="4684" stopIfTrue="1">
      <formula>IF(AE$8="判定対象外",TRUE,FALSE)</formula>
    </cfRule>
  </conditionalFormatting>
  <conditionalFormatting sqref="AE65:AE70">
    <cfRule type="expression" dxfId="4535" priority="4683" stopIfTrue="1">
      <formula>IF(AE$8="判定対象外",TRUE,FALSE)</formula>
    </cfRule>
  </conditionalFormatting>
  <conditionalFormatting sqref="AK8:AK10">
    <cfRule type="expression" dxfId="4534" priority="4681" stopIfTrue="1">
      <formula>IF(AK8="-",TRUE,FALSE)</formula>
    </cfRule>
    <cfRule type="expression" dxfId="4533" priority="4682" stopIfTrue="1">
      <formula>IF(OR(AK8="OK"),FALSE,TRUE)</formula>
    </cfRule>
  </conditionalFormatting>
  <conditionalFormatting sqref="AH8:AH10">
    <cfRule type="expression" dxfId="4532" priority="4680" stopIfTrue="1">
      <formula>IF(AI$8="判定対象外",TRUE,FALSE)</formula>
    </cfRule>
  </conditionalFormatting>
  <conditionalFormatting sqref="AI8:AI10">
    <cfRule type="expression" dxfId="4531" priority="4679" stopIfTrue="1">
      <formula>IF(AI$8="判定対象外",TRUE,FALSE)</formula>
    </cfRule>
  </conditionalFormatting>
  <conditionalFormatting sqref="AJ8:AJ10">
    <cfRule type="expression" dxfId="4530" priority="4678" stopIfTrue="1">
      <formula>IF(AI$8="判定対象外",TRUE,FALSE)</formula>
    </cfRule>
  </conditionalFormatting>
  <conditionalFormatting sqref="AK11:AK56 AK71:AK81">
    <cfRule type="expression" dxfId="4529" priority="4675" stopIfTrue="1">
      <formula>IF(AK11="-",TRUE,FALSE)</formula>
    </cfRule>
    <cfRule type="expression" dxfId="4528" priority="4676" stopIfTrue="1">
      <formula>IF(OR(AK11="OK"),FALSE,TRUE)</formula>
    </cfRule>
  </conditionalFormatting>
  <conditionalFormatting sqref="AJ11:AJ56 AJ71:AJ81">
    <cfRule type="expression" dxfId="4527" priority="4674" stopIfTrue="1">
      <formula>IF(AI$8="判定対象外",TRUE,FALSE)</formula>
    </cfRule>
  </conditionalFormatting>
  <conditionalFormatting sqref="AH72:AH81 AH21:AH46">
    <cfRule type="expression" dxfId="4526" priority="4673" stopIfTrue="1">
      <formula>IF(AI$8="判定対象外",TRUE,FALSE)</formula>
    </cfRule>
  </conditionalFormatting>
  <conditionalFormatting sqref="AH29:AH32">
    <cfRule type="expression" dxfId="4525" priority="4672" stopIfTrue="1">
      <formula>IF(AI$8="判定対象外",TRUE,FALSE)</formula>
    </cfRule>
  </conditionalFormatting>
  <conditionalFormatting sqref="AH42:AH44">
    <cfRule type="expression" dxfId="4524" priority="4671" stopIfTrue="1">
      <formula>IF(AI$8="判定対象外",TRUE,FALSE)</formula>
    </cfRule>
  </conditionalFormatting>
  <conditionalFormatting sqref="AH46">
    <cfRule type="expression" dxfId="4523" priority="4670" stopIfTrue="1">
      <formula>IF(AI$8="判定対象外",TRUE,FALSE)</formula>
    </cfRule>
  </conditionalFormatting>
  <conditionalFormatting sqref="AH42:AH44">
    <cfRule type="expression" dxfId="4522" priority="4669" stopIfTrue="1">
      <formula>IF(AI$8="判定対象外",TRUE,FALSE)</formula>
    </cfRule>
  </conditionalFormatting>
  <conditionalFormatting sqref="AH42:AH44">
    <cfRule type="expression" dxfId="4521" priority="4668" stopIfTrue="1">
      <formula>IF(AI$8="判定対象外",TRUE,FALSE)</formula>
    </cfRule>
  </conditionalFormatting>
  <conditionalFormatting sqref="AH42:AH44">
    <cfRule type="expression" dxfId="4520" priority="4667" stopIfTrue="1">
      <formula>IF(AI$8="判定対象外",TRUE,FALSE)</formula>
    </cfRule>
  </conditionalFormatting>
  <conditionalFormatting sqref="AH42:AH44">
    <cfRule type="expression" dxfId="4519" priority="4666" stopIfTrue="1">
      <formula>IF(AI$8="判定対象外",TRUE,FALSE)</formula>
    </cfRule>
  </conditionalFormatting>
  <conditionalFormatting sqref="AH42:AH44">
    <cfRule type="expression" dxfId="4518" priority="4665" stopIfTrue="1">
      <formula>IF(AI$8="判定対象外",TRUE,FALSE)</formula>
    </cfRule>
  </conditionalFormatting>
  <conditionalFormatting sqref="AH42:AH44">
    <cfRule type="expression" dxfId="4517" priority="4664" stopIfTrue="1">
      <formula>IF(AI$8="判定対象外",TRUE,FALSE)</formula>
    </cfRule>
  </conditionalFormatting>
  <conditionalFormatting sqref="AH42:AH44">
    <cfRule type="expression" dxfId="4516" priority="4663" stopIfTrue="1">
      <formula>IF(AI$8="判定対象外",TRUE,FALSE)</formula>
    </cfRule>
  </conditionalFormatting>
  <conditionalFormatting sqref="AH38">
    <cfRule type="expression" dxfId="4515" priority="4677" stopIfTrue="1">
      <formula>IF(#REF!="判定対象外",TRUE,FALSE)</formula>
    </cfRule>
  </conditionalFormatting>
  <conditionalFormatting sqref="AI11:AI56 AI71:AI81">
    <cfRule type="expression" dxfId="4514" priority="4662" stopIfTrue="1">
      <formula>IF(AI$8="判定対象外",TRUE,FALSE)</formula>
    </cfRule>
  </conditionalFormatting>
  <conditionalFormatting sqref="AH48">
    <cfRule type="expression" dxfId="4513" priority="4661" stopIfTrue="1">
      <formula>IF(AI$8="判定対象外",TRUE,FALSE)</formula>
    </cfRule>
  </conditionalFormatting>
  <conditionalFormatting sqref="AH51">
    <cfRule type="expression" dxfId="4512" priority="4660" stopIfTrue="1">
      <formula>IF(AI$8="判定対象外",TRUE,FALSE)</formula>
    </cfRule>
  </conditionalFormatting>
  <conditionalFormatting sqref="AH52 AH55 AH61 AH64 AH67 AH70">
    <cfRule type="expression" dxfId="4511" priority="4659" stopIfTrue="1">
      <formula>IF(AI$8="判定対象外",TRUE,FALSE)</formula>
    </cfRule>
  </conditionalFormatting>
  <conditionalFormatting sqref="AH11:AH20">
    <cfRule type="expression" dxfId="4510" priority="4658" stopIfTrue="1">
      <formula>IF(AI$8="判定対象外",TRUE,FALSE)</formula>
    </cfRule>
  </conditionalFormatting>
  <conditionalFormatting sqref="AH16:AH18">
    <cfRule type="expression" dxfId="4509" priority="4657" stopIfTrue="1">
      <formula>IF(AI$8="判定対象外",TRUE,FALSE)</formula>
    </cfRule>
  </conditionalFormatting>
  <conditionalFormatting sqref="AH20">
    <cfRule type="expression" dxfId="4508" priority="4656" stopIfTrue="1">
      <formula>IF(AI$8="判定対象外",TRUE,FALSE)</formula>
    </cfRule>
  </conditionalFormatting>
  <conditionalFormatting sqref="AH16:AH20">
    <cfRule type="expression" dxfId="4507" priority="4655" stopIfTrue="1">
      <formula>IF(AI$8="判定対象外",TRUE,FALSE)</formula>
    </cfRule>
  </conditionalFormatting>
  <conditionalFormatting sqref="AH11:AH20">
    <cfRule type="expression" dxfId="4506" priority="4654" stopIfTrue="1">
      <formula>IF(AI$8="判定対象外",TRUE,FALSE)</formula>
    </cfRule>
  </conditionalFormatting>
  <conditionalFormatting sqref="AH16:AH18">
    <cfRule type="expression" dxfId="4505" priority="4653" stopIfTrue="1">
      <formula>IF(AI$8="判定対象外",TRUE,FALSE)</formula>
    </cfRule>
  </conditionalFormatting>
  <conditionalFormatting sqref="AH20">
    <cfRule type="expression" dxfId="4504" priority="4652" stopIfTrue="1">
      <formula>IF(AI$8="判定対象外",TRUE,FALSE)</formula>
    </cfRule>
  </conditionalFormatting>
  <conditionalFormatting sqref="AH16:AH20">
    <cfRule type="expression" dxfId="4503" priority="4651" stopIfTrue="1">
      <formula>IF(AI$8="判定対象外",TRUE,FALSE)</formula>
    </cfRule>
  </conditionalFormatting>
  <conditionalFormatting sqref="AH11:AH20">
    <cfRule type="expression" dxfId="4502" priority="4650" stopIfTrue="1">
      <formula>IF(AI$8="判定対象外",TRUE,FALSE)</formula>
    </cfRule>
  </conditionalFormatting>
  <conditionalFormatting sqref="AH16:AH18">
    <cfRule type="expression" dxfId="4501" priority="4649" stopIfTrue="1">
      <formula>IF(AI$8="判定対象外",TRUE,FALSE)</formula>
    </cfRule>
  </conditionalFormatting>
  <conditionalFormatting sqref="AH20">
    <cfRule type="expression" dxfId="4500" priority="4648" stopIfTrue="1">
      <formula>IF(AI$8="判定対象外",TRUE,FALSE)</formula>
    </cfRule>
  </conditionalFormatting>
  <conditionalFormatting sqref="AH16:AH20">
    <cfRule type="expression" dxfId="4499" priority="4647" stopIfTrue="1">
      <formula>IF(AI$8="判定対象外",TRUE,FALSE)</formula>
    </cfRule>
  </conditionalFormatting>
  <conditionalFormatting sqref="AH11:AH13">
    <cfRule type="expression" dxfId="4498" priority="4646" stopIfTrue="1">
      <formula>IF(AI$8="判定対象外",TRUE,FALSE)</formula>
    </cfRule>
  </conditionalFormatting>
  <conditionalFormatting sqref="AH15">
    <cfRule type="expression" dxfId="4497" priority="4645" stopIfTrue="1">
      <formula>IF(AI$8="判定対象外",TRUE,FALSE)</formula>
    </cfRule>
  </conditionalFormatting>
  <conditionalFormatting sqref="AH19">
    <cfRule type="expression" dxfId="4496" priority="4644" stopIfTrue="1">
      <formula>IF(AI$8="判定対象外",TRUE,FALSE)</formula>
    </cfRule>
  </conditionalFormatting>
  <conditionalFormatting sqref="AH19">
    <cfRule type="expression" dxfId="4495" priority="4643" stopIfTrue="1">
      <formula>IF(AI$8="判定対象外",TRUE,FALSE)</formula>
    </cfRule>
  </conditionalFormatting>
  <conditionalFormatting sqref="AH20">
    <cfRule type="expression" dxfId="4494" priority="4642" stopIfTrue="1">
      <formula>IF(AI$8="判定対象外",TRUE,FALSE)</formula>
    </cfRule>
  </conditionalFormatting>
  <conditionalFormatting sqref="AH20">
    <cfRule type="expression" dxfId="4493" priority="4641" stopIfTrue="1">
      <formula>IF(AI$8="判定対象外",TRUE,FALSE)</formula>
    </cfRule>
  </conditionalFormatting>
  <conditionalFormatting sqref="AH20">
    <cfRule type="expression" dxfId="4492" priority="4640" stopIfTrue="1">
      <formula>IF(AI$8="判定対象外",TRUE,FALSE)</formula>
    </cfRule>
  </conditionalFormatting>
  <conditionalFormatting sqref="AH13">
    <cfRule type="expression" dxfId="4491" priority="4639" stopIfTrue="1">
      <formula>IF(AI$8="判定対象外",TRUE,FALSE)</formula>
    </cfRule>
  </conditionalFormatting>
  <conditionalFormatting sqref="AH47">
    <cfRule type="expression" dxfId="4490" priority="4638" stopIfTrue="1">
      <formula>IF(AI$8="判定対象外",TRUE,FALSE)</formula>
    </cfRule>
  </conditionalFormatting>
  <conditionalFormatting sqref="AH47">
    <cfRule type="expression" dxfId="4489" priority="4637" stopIfTrue="1">
      <formula>IF(AI$8="判定対象外",TRUE,FALSE)</formula>
    </cfRule>
  </conditionalFormatting>
  <conditionalFormatting sqref="AH49">
    <cfRule type="expression" dxfId="4488" priority="4636" stopIfTrue="1">
      <formula>IF(AI$8="判定対象外",TRUE,FALSE)</formula>
    </cfRule>
  </conditionalFormatting>
  <conditionalFormatting sqref="AH49">
    <cfRule type="expression" dxfId="4487" priority="4635" stopIfTrue="1">
      <formula>IF(AI$8="判定対象外",TRUE,FALSE)</formula>
    </cfRule>
  </conditionalFormatting>
  <conditionalFormatting sqref="AH50">
    <cfRule type="expression" dxfId="4486" priority="4634" stopIfTrue="1">
      <formula>IF(AI$8="判定対象外",TRUE,FALSE)</formula>
    </cfRule>
  </conditionalFormatting>
  <conditionalFormatting sqref="AH50">
    <cfRule type="expression" dxfId="4485" priority="4633" stopIfTrue="1">
      <formula>IF(AI$8="判定対象外",TRUE,FALSE)</formula>
    </cfRule>
  </conditionalFormatting>
  <conditionalFormatting sqref="AH53 AH56 AH62 AH65 AH68 AH71">
    <cfRule type="expression" dxfId="4484" priority="4632" stopIfTrue="1">
      <formula>IF(AI$8="判定対象外",TRUE,FALSE)</formula>
    </cfRule>
  </conditionalFormatting>
  <conditionalFormatting sqref="AH54 AH57 AH60 AH63 AH66 AH69">
    <cfRule type="expression" dxfId="4483" priority="4631" stopIfTrue="1">
      <formula>IF(AI$8="判定対象外",TRUE,FALSE)</formula>
    </cfRule>
  </conditionalFormatting>
  <conditionalFormatting sqref="AK57">
    <cfRule type="expression" dxfId="4482" priority="4629" stopIfTrue="1">
      <formula>IF(AK57="-",TRUE,FALSE)</formula>
    </cfRule>
    <cfRule type="expression" dxfId="4481" priority="4630" stopIfTrue="1">
      <formula>IF(OR(AK57="OK"),FALSE,TRUE)</formula>
    </cfRule>
  </conditionalFormatting>
  <conditionalFormatting sqref="AJ57">
    <cfRule type="expression" dxfId="4480" priority="4628" stopIfTrue="1">
      <formula>IF(AI$8="判定対象外",TRUE,FALSE)</formula>
    </cfRule>
  </conditionalFormatting>
  <conditionalFormatting sqref="AI57">
    <cfRule type="expression" dxfId="4479" priority="4627" stopIfTrue="1">
      <formula>IF(AI$8="判定対象外",TRUE,FALSE)</formula>
    </cfRule>
  </conditionalFormatting>
  <conditionalFormatting sqref="AK58:AK64">
    <cfRule type="expression" dxfId="4478" priority="4625" stopIfTrue="1">
      <formula>IF(AK58="-",TRUE,FALSE)</formula>
    </cfRule>
    <cfRule type="expression" dxfId="4477" priority="4626" stopIfTrue="1">
      <formula>IF(OR(AK58="OK"),FALSE,TRUE)</formula>
    </cfRule>
  </conditionalFormatting>
  <conditionalFormatting sqref="AJ58:AJ64">
    <cfRule type="expression" dxfId="4476" priority="4624" stopIfTrue="1">
      <formula>IF(AI$8="判定対象外",TRUE,FALSE)</formula>
    </cfRule>
  </conditionalFormatting>
  <conditionalFormatting sqref="AI58:AI64">
    <cfRule type="expression" dxfId="4475" priority="4623" stopIfTrue="1">
      <formula>IF(AI$8="判定対象外",TRUE,FALSE)</formula>
    </cfRule>
  </conditionalFormatting>
  <conditionalFormatting sqref="AK65:AK70">
    <cfRule type="expression" dxfId="4474" priority="4621" stopIfTrue="1">
      <formula>IF(AK65="-",TRUE,FALSE)</formula>
    </cfRule>
    <cfRule type="expression" dxfId="4473" priority="4622" stopIfTrue="1">
      <formula>IF(OR(AK65="OK"),FALSE,TRUE)</formula>
    </cfRule>
  </conditionalFormatting>
  <conditionalFormatting sqref="AJ65:AJ70">
    <cfRule type="expression" dxfId="4472" priority="4620" stopIfTrue="1">
      <formula>IF(AI$8="判定対象外",TRUE,FALSE)</formula>
    </cfRule>
  </conditionalFormatting>
  <conditionalFormatting sqref="AI65:AI70">
    <cfRule type="expression" dxfId="4471" priority="4619" stopIfTrue="1">
      <formula>IF(AI$8="判定対象外",TRUE,FALSE)</formula>
    </cfRule>
  </conditionalFormatting>
  <conditionalFormatting sqref="AH58">
    <cfRule type="expression" dxfId="4470" priority="4618" stopIfTrue="1">
      <formula>IF(AI$8="判定対象外",TRUE,FALSE)</formula>
    </cfRule>
  </conditionalFormatting>
  <conditionalFormatting sqref="AO8:AO10">
    <cfRule type="expression" dxfId="4469" priority="4615" stopIfTrue="1">
      <formula>IF(AO8="-",TRUE,FALSE)</formula>
    </cfRule>
    <cfRule type="expression" dxfId="4468" priority="4616" stopIfTrue="1">
      <formula>IF(OR(AO8="OK"),FALSE,TRUE)</formula>
    </cfRule>
  </conditionalFormatting>
  <conditionalFormatting sqref="AL8:AL10">
    <cfRule type="expression" dxfId="4467" priority="4614" stopIfTrue="1">
      <formula>IF(AM$8="判定対象外",TRUE,FALSE)</formula>
    </cfRule>
  </conditionalFormatting>
  <conditionalFormatting sqref="AM8:AM10">
    <cfRule type="expression" dxfId="4466" priority="4613" stopIfTrue="1">
      <formula>IF(AM$8="判定対象外",TRUE,FALSE)</formula>
    </cfRule>
  </conditionalFormatting>
  <conditionalFormatting sqref="AN8:AN10">
    <cfRule type="expression" dxfId="4465" priority="4612" stopIfTrue="1">
      <formula>IF(AM$8="判定対象外",TRUE,FALSE)</formula>
    </cfRule>
  </conditionalFormatting>
  <conditionalFormatting sqref="AO11:AO56 AO71:AO81">
    <cfRule type="expression" dxfId="4464" priority="4609" stopIfTrue="1">
      <formula>IF(AO11="-",TRUE,FALSE)</formula>
    </cfRule>
    <cfRule type="expression" dxfId="4463" priority="4610" stopIfTrue="1">
      <formula>IF(OR(AO11="OK"),FALSE,TRUE)</formula>
    </cfRule>
  </conditionalFormatting>
  <conditionalFormatting sqref="AN11:AN56 AN71:AN81">
    <cfRule type="expression" dxfId="4462" priority="4608" stopIfTrue="1">
      <formula>IF(AM$8="判定対象外",TRUE,FALSE)</formula>
    </cfRule>
  </conditionalFormatting>
  <conditionalFormatting sqref="AL72:AL81 AL21:AL46">
    <cfRule type="expression" dxfId="4461" priority="4607" stopIfTrue="1">
      <formula>IF(AM$8="判定対象外",TRUE,FALSE)</formula>
    </cfRule>
  </conditionalFormatting>
  <conditionalFormatting sqref="AL29:AL32">
    <cfRule type="expression" dxfId="4460" priority="4606" stopIfTrue="1">
      <formula>IF(AM$8="判定対象外",TRUE,FALSE)</formula>
    </cfRule>
  </conditionalFormatting>
  <conditionalFormatting sqref="AL42:AL44">
    <cfRule type="expression" dxfId="4459" priority="4605" stopIfTrue="1">
      <formula>IF(AM$8="判定対象外",TRUE,FALSE)</formula>
    </cfRule>
  </conditionalFormatting>
  <conditionalFormatting sqref="AL46">
    <cfRule type="expression" dxfId="4458" priority="4604" stopIfTrue="1">
      <formula>IF(AM$8="判定対象外",TRUE,FALSE)</formula>
    </cfRule>
  </conditionalFormatting>
  <conditionalFormatting sqref="AL42:AL44">
    <cfRule type="expression" dxfId="4457" priority="4603" stopIfTrue="1">
      <formula>IF(AM$8="判定対象外",TRUE,FALSE)</formula>
    </cfRule>
  </conditionalFormatting>
  <conditionalFormatting sqref="AL42:AL44">
    <cfRule type="expression" dxfId="4456" priority="4602" stopIfTrue="1">
      <formula>IF(AM$8="判定対象外",TRUE,FALSE)</formula>
    </cfRule>
  </conditionalFormatting>
  <conditionalFormatting sqref="AL42:AL44">
    <cfRule type="expression" dxfId="4455" priority="4601" stopIfTrue="1">
      <formula>IF(AM$8="判定対象外",TRUE,FALSE)</formula>
    </cfRule>
  </conditionalFormatting>
  <conditionalFormatting sqref="AL42:AL44">
    <cfRule type="expression" dxfId="4454" priority="4600" stopIfTrue="1">
      <formula>IF(AM$8="判定対象外",TRUE,FALSE)</formula>
    </cfRule>
  </conditionalFormatting>
  <conditionalFormatting sqref="AL42:AL44">
    <cfRule type="expression" dxfId="4453" priority="4599" stopIfTrue="1">
      <formula>IF(AM$8="判定対象外",TRUE,FALSE)</formula>
    </cfRule>
  </conditionalFormatting>
  <conditionalFormatting sqref="AL42:AL44">
    <cfRule type="expression" dxfId="4452" priority="4598" stopIfTrue="1">
      <formula>IF(AM$8="判定対象外",TRUE,FALSE)</formula>
    </cfRule>
  </conditionalFormatting>
  <conditionalFormatting sqref="AL42:AL44">
    <cfRule type="expression" dxfId="4451" priority="4597" stopIfTrue="1">
      <formula>IF(AM$8="判定対象外",TRUE,FALSE)</formula>
    </cfRule>
  </conditionalFormatting>
  <conditionalFormatting sqref="AL38">
    <cfRule type="expression" dxfId="4450" priority="4611" stopIfTrue="1">
      <formula>IF(#REF!="判定対象外",TRUE,FALSE)</formula>
    </cfRule>
  </conditionalFormatting>
  <conditionalFormatting sqref="AM11:AM56 AM71:AM81">
    <cfRule type="expression" dxfId="4449" priority="4596" stopIfTrue="1">
      <formula>IF(AM$8="判定対象外",TRUE,FALSE)</formula>
    </cfRule>
  </conditionalFormatting>
  <conditionalFormatting sqref="AL48">
    <cfRule type="expression" dxfId="4448" priority="4595" stopIfTrue="1">
      <formula>IF(AM$8="判定対象外",TRUE,FALSE)</formula>
    </cfRule>
  </conditionalFormatting>
  <conditionalFormatting sqref="AL51">
    <cfRule type="expression" dxfId="4447" priority="4594" stopIfTrue="1">
      <formula>IF(AM$8="判定対象外",TRUE,FALSE)</formula>
    </cfRule>
  </conditionalFormatting>
  <conditionalFormatting sqref="AL52 AL55 AL61 AL64 AL67 AL70">
    <cfRule type="expression" dxfId="4446" priority="4593" stopIfTrue="1">
      <formula>IF(AM$8="判定対象外",TRUE,FALSE)</formula>
    </cfRule>
  </conditionalFormatting>
  <conditionalFormatting sqref="AL11:AL20">
    <cfRule type="expression" dxfId="4445" priority="4592" stopIfTrue="1">
      <formula>IF(AM$8="判定対象外",TRUE,FALSE)</formula>
    </cfRule>
  </conditionalFormatting>
  <conditionalFormatting sqref="AL16:AL18">
    <cfRule type="expression" dxfId="4444" priority="4591" stopIfTrue="1">
      <formula>IF(AM$8="判定対象外",TRUE,FALSE)</formula>
    </cfRule>
  </conditionalFormatting>
  <conditionalFormatting sqref="AL20">
    <cfRule type="expression" dxfId="4443" priority="4590" stopIfTrue="1">
      <formula>IF(AM$8="判定対象外",TRUE,FALSE)</formula>
    </cfRule>
  </conditionalFormatting>
  <conditionalFormatting sqref="AL16:AL20">
    <cfRule type="expression" dxfId="4442" priority="4589" stopIfTrue="1">
      <formula>IF(AM$8="判定対象外",TRUE,FALSE)</formula>
    </cfRule>
  </conditionalFormatting>
  <conditionalFormatting sqref="AL11:AL20">
    <cfRule type="expression" dxfId="4441" priority="4588" stopIfTrue="1">
      <formula>IF(AM$8="判定対象外",TRUE,FALSE)</formula>
    </cfRule>
  </conditionalFormatting>
  <conditionalFormatting sqref="AL16:AL18">
    <cfRule type="expression" dxfId="4440" priority="4587" stopIfTrue="1">
      <formula>IF(AM$8="判定対象外",TRUE,FALSE)</formula>
    </cfRule>
  </conditionalFormatting>
  <conditionalFormatting sqref="AL20">
    <cfRule type="expression" dxfId="4439" priority="4586" stopIfTrue="1">
      <formula>IF(AM$8="判定対象外",TRUE,FALSE)</formula>
    </cfRule>
  </conditionalFormatting>
  <conditionalFormatting sqref="AL16:AL20">
    <cfRule type="expression" dxfId="4438" priority="4585" stopIfTrue="1">
      <formula>IF(AM$8="判定対象外",TRUE,FALSE)</formula>
    </cfRule>
  </conditionalFormatting>
  <conditionalFormatting sqref="AL11:AL20">
    <cfRule type="expression" dxfId="4437" priority="4584" stopIfTrue="1">
      <formula>IF(AM$8="判定対象外",TRUE,FALSE)</formula>
    </cfRule>
  </conditionalFormatting>
  <conditionalFormatting sqref="AL16:AL18">
    <cfRule type="expression" dxfId="4436" priority="4583" stopIfTrue="1">
      <formula>IF(AM$8="判定対象外",TRUE,FALSE)</formula>
    </cfRule>
  </conditionalFormatting>
  <conditionalFormatting sqref="AL20">
    <cfRule type="expression" dxfId="4435" priority="4582" stopIfTrue="1">
      <formula>IF(AM$8="判定対象外",TRUE,FALSE)</formula>
    </cfRule>
  </conditionalFormatting>
  <conditionalFormatting sqref="AL16:AL20">
    <cfRule type="expression" dxfId="4434" priority="4581" stopIfTrue="1">
      <formula>IF(AM$8="判定対象外",TRUE,FALSE)</formula>
    </cfRule>
  </conditionalFormatting>
  <conditionalFormatting sqref="AL11:AL13">
    <cfRule type="expression" dxfId="4433" priority="4580" stopIfTrue="1">
      <formula>IF(AM$8="判定対象外",TRUE,FALSE)</formula>
    </cfRule>
  </conditionalFormatting>
  <conditionalFormatting sqref="AL15">
    <cfRule type="expression" dxfId="4432" priority="4579" stopIfTrue="1">
      <formula>IF(AM$8="判定対象外",TRUE,FALSE)</formula>
    </cfRule>
  </conditionalFormatting>
  <conditionalFormatting sqref="AL19">
    <cfRule type="expression" dxfId="4431" priority="4578" stopIfTrue="1">
      <formula>IF(AM$8="判定対象外",TRUE,FALSE)</formula>
    </cfRule>
  </conditionalFormatting>
  <conditionalFormatting sqref="AL19">
    <cfRule type="expression" dxfId="4430" priority="4577" stopIfTrue="1">
      <formula>IF(AM$8="判定対象外",TRUE,FALSE)</formula>
    </cfRule>
  </conditionalFormatting>
  <conditionalFormatting sqref="AL20">
    <cfRule type="expression" dxfId="4429" priority="4576" stopIfTrue="1">
      <formula>IF(AM$8="判定対象外",TRUE,FALSE)</formula>
    </cfRule>
  </conditionalFormatting>
  <conditionalFormatting sqref="AL20">
    <cfRule type="expression" dxfId="4428" priority="4575" stopIfTrue="1">
      <formula>IF(AM$8="判定対象外",TRUE,FALSE)</formula>
    </cfRule>
  </conditionalFormatting>
  <conditionalFormatting sqref="AL20">
    <cfRule type="expression" dxfId="4427" priority="4574" stopIfTrue="1">
      <formula>IF(AM$8="判定対象外",TRUE,FALSE)</formula>
    </cfRule>
  </conditionalFormatting>
  <conditionalFormatting sqref="AL13">
    <cfRule type="expression" dxfId="4426" priority="4573" stopIfTrue="1">
      <formula>IF(AM$8="判定対象外",TRUE,FALSE)</formula>
    </cfRule>
  </conditionalFormatting>
  <conditionalFormatting sqref="AL47">
    <cfRule type="expression" dxfId="4425" priority="4572" stopIfTrue="1">
      <formula>IF(AM$8="判定対象外",TRUE,FALSE)</formula>
    </cfRule>
  </conditionalFormatting>
  <conditionalFormatting sqref="AL47">
    <cfRule type="expression" dxfId="4424" priority="4571" stopIfTrue="1">
      <formula>IF(AM$8="判定対象外",TRUE,FALSE)</formula>
    </cfRule>
  </conditionalFormatting>
  <conditionalFormatting sqref="AL49">
    <cfRule type="expression" dxfId="4423" priority="4570" stopIfTrue="1">
      <formula>IF(AM$8="判定対象外",TRUE,FALSE)</formula>
    </cfRule>
  </conditionalFormatting>
  <conditionalFormatting sqref="AL49">
    <cfRule type="expression" dxfId="4422" priority="4569" stopIfTrue="1">
      <formula>IF(AM$8="判定対象外",TRUE,FALSE)</formula>
    </cfRule>
  </conditionalFormatting>
  <conditionalFormatting sqref="AL50">
    <cfRule type="expression" dxfId="4421" priority="4568" stopIfTrue="1">
      <formula>IF(AM$8="判定対象外",TRUE,FALSE)</formula>
    </cfRule>
  </conditionalFormatting>
  <conditionalFormatting sqref="AL50">
    <cfRule type="expression" dxfId="4420" priority="4567" stopIfTrue="1">
      <formula>IF(AM$8="判定対象外",TRUE,FALSE)</formula>
    </cfRule>
  </conditionalFormatting>
  <conditionalFormatting sqref="AL53 AL56 AL62 AL65 AL68 AL71">
    <cfRule type="expression" dxfId="4419" priority="4566" stopIfTrue="1">
      <formula>IF(AM$8="判定対象外",TRUE,FALSE)</formula>
    </cfRule>
  </conditionalFormatting>
  <conditionalFormatting sqref="AL54 AL57 AL63 AL66 AL69">
    <cfRule type="expression" dxfId="4418" priority="4565" stopIfTrue="1">
      <formula>IF(AM$8="判定対象外",TRUE,FALSE)</formula>
    </cfRule>
  </conditionalFormatting>
  <conditionalFormatting sqref="AO57">
    <cfRule type="expression" dxfId="4417" priority="4563" stopIfTrue="1">
      <formula>IF(AO57="-",TRUE,FALSE)</formula>
    </cfRule>
    <cfRule type="expression" dxfId="4416" priority="4564" stopIfTrue="1">
      <formula>IF(OR(AO57="OK"),FALSE,TRUE)</formula>
    </cfRule>
  </conditionalFormatting>
  <conditionalFormatting sqref="AN57">
    <cfRule type="expression" dxfId="4415" priority="4562" stopIfTrue="1">
      <formula>IF(AM$8="判定対象外",TRUE,FALSE)</formula>
    </cfRule>
  </conditionalFormatting>
  <conditionalFormatting sqref="AM57">
    <cfRule type="expression" dxfId="4414" priority="4561" stopIfTrue="1">
      <formula>IF(AM$8="判定対象外",TRUE,FALSE)</formula>
    </cfRule>
  </conditionalFormatting>
  <conditionalFormatting sqref="AO58:AO64">
    <cfRule type="expression" dxfId="4413" priority="4559" stopIfTrue="1">
      <formula>IF(AO58="-",TRUE,FALSE)</formula>
    </cfRule>
    <cfRule type="expression" dxfId="4412" priority="4560" stopIfTrue="1">
      <formula>IF(OR(AO58="OK"),FALSE,TRUE)</formula>
    </cfRule>
  </conditionalFormatting>
  <conditionalFormatting sqref="AN58:AN64">
    <cfRule type="expression" dxfId="4411" priority="4558" stopIfTrue="1">
      <formula>IF(AM$8="判定対象外",TRUE,FALSE)</formula>
    </cfRule>
  </conditionalFormatting>
  <conditionalFormatting sqref="AM58:AM64">
    <cfRule type="expression" dxfId="4410" priority="4557" stopIfTrue="1">
      <formula>IF(AM$8="判定対象外",TRUE,FALSE)</formula>
    </cfRule>
  </conditionalFormatting>
  <conditionalFormatting sqref="AO65:AO70">
    <cfRule type="expression" dxfId="4409" priority="4555" stopIfTrue="1">
      <formula>IF(AO65="-",TRUE,FALSE)</formula>
    </cfRule>
    <cfRule type="expression" dxfId="4408" priority="4556" stopIfTrue="1">
      <formula>IF(OR(AO65="OK"),FALSE,TRUE)</formula>
    </cfRule>
  </conditionalFormatting>
  <conditionalFormatting sqref="AN65:AN70">
    <cfRule type="expression" dxfId="4407" priority="4554" stopIfTrue="1">
      <formula>IF(AM$8="判定対象外",TRUE,FALSE)</formula>
    </cfRule>
  </conditionalFormatting>
  <conditionalFormatting sqref="AM65:AM70">
    <cfRule type="expression" dxfId="4406" priority="4553" stopIfTrue="1">
      <formula>IF(AM$8="判定対象外",TRUE,FALSE)</formula>
    </cfRule>
  </conditionalFormatting>
  <conditionalFormatting sqref="AL59">
    <cfRule type="expression" dxfId="4405" priority="4549" stopIfTrue="1">
      <formula>IF(AM$8="判定対象外",TRUE,FALSE)</formula>
    </cfRule>
  </conditionalFormatting>
  <conditionalFormatting sqref="AH59">
    <cfRule type="expression" dxfId="4404" priority="4547" stopIfTrue="1">
      <formula>IF(AI$8="判定対象外",TRUE,FALSE)</formula>
    </cfRule>
  </conditionalFormatting>
  <conditionalFormatting sqref="AL60">
    <cfRule type="expression" dxfId="4403" priority="4546" stopIfTrue="1">
      <formula>IF(AM$8="判定対象外",TRUE,FALSE)</formula>
    </cfRule>
  </conditionalFormatting>
  <conditionalFormatting sqref="AL58">
    <cfRule type="expression" dxfId="4402" priority="4545" stopIfTrue="1">
      <formula>IF(AM$8="判定対象外",TRUE,FALSE)</formula>
    </cfRule>
  </conditionalFormatting>
  <conditionalFormatting sqref="AS8:AS10">
    <cfRule type="expression" dxfId="4401" priority="4543" stopIfTrue="1">
      <formula>IF(AS8="-",TRUE,FALSE)</formula>
    </cfRule>
    <cfRule type="expression" dxfId="4400" priority="4544" stopIfTrue="1">
      <formula>IF(OR(AS8="OK"),FALSE,TRUE)</formula>
    </cfRule>
  </conditionalFormatting>
  <conditionalFormatting sqref="AP8:AP10">
    <cfRule type="expression" dxfId="4399" priority="4542" stopIfTrue="1">
      <formula>IF(AQ$8="判定対象外",TRUE,FALSE)</formula>
    </cfRule>
  </conditionalFormatting>
  <conditionalFormatting sqref="AQ8:AQ10">
    <cfRule type="expression" dxfId="4398" priority="4541" stopIfTrue="1">
      <formula>IF(AQ$8="判定対象外",TRUE,FALSE)</formula>
    </cfRule>
  </conditionalFormatting>
  <conditionalFormatting sqref="AR8:AR10">
    <cfRule type="expression" dxfId="4397" priority="4540" stopIfTrue="1">
      <formula>IF(AQ$8="判定対象外",TRUE,FALSE)</formula>
    </cfRule>
  </conditionalFormatting>
  <conditionalFormatting sqref="AS11:AS56 AS71:AS81">
    <cfRule type="expression" dxfId="4396" priority="4537" stopIfTrue="1">
      <formula>IF(AS11="-",TRUE,FALSE)</formula>
    </cfRule>
    <cfRule type="expression" dxfId="4395" priority="4538" stopIfTrue="1">
      <formula>IF(OR(AS11="OK"),FALSE,TRUE)</formula>
    </cfRule>
  </conditionalFormatting>
  <conditionalFormatting sqref="AR11:AR56 AR71:AR81">
    <cfRule type="expression" dxfId="4394" priority="4536" stopIfTrue="1">
      <formula>IF(AQ$8="判定対象外",TRUE,FALSE)</formula>
    </cfRule>
  </conditionalFormatting>
  <conditionalFormatting sqref="AP72:AP81 AP21:AP46">
    <cfRule type="expression" dxfId="4393" priority="4535" stopIfTrue="1">
      <formula>IF(AQ$8="判定対象外",TRUE,FALSE)</formula>
    </cfRule>
  </conditionalFormatting>
  <conditionalFormatting sqref="AP29:AP32">
    <cfRule type="expression" dxfId="4392" priority="4534" stopIfTrue="1">
      <formula>IF(AQ$8="判定対象外",TRUE,FALSE)</formula>
    </cfRule>
  </conditionalFormatting>
  <conditionalFormatting sqref="AP42:AP44">
    <cfRule type="expression" dxfId="4391" priority="4533" stopIfTrue="1">
      <formula>IF(AQ$8="判定対象外",TRUE,FALSE)</formula>
    </cfRule>
  </conditionalFormatting>
  <conditionalFormatting sqref="AP46">
    <cfRule type="expression" dxfId="4390" priority="4532" stopIfTrue="1">
      <formula>IF(AQ$8="判定対象外",TRUE,FALSE)</formula>
    </cfRule>
  </conditionalFormatting>
  <conditionalFormatting sqref="AP42:AP44">
    <cfRule type="expression" dxfId="4389" priority="4531" stopIfTrue="1">
      <formula>IF(AQ$8="判定対象外",TRUE,FALSE)</formula>
    </cfRule>
  </conditionalFormatting>
  <conditionalFormatting sqref="AP42:AP44">
    <cfRule type="expression" dxfId="4388" priority="4530" stopIfTrue="1">
      <formula>IF(AQ$8="判定対象外",TRUE,FALSE)</formula>
    </cfRule>
  </conditionalFormatting>
  <conditionalFormatting sqref="AP42:AP44">
    <cfRule type="expression" dxfId="4387" priority="4529" stopIfTrue="1">
      <formula>IF(AQ$8="判定対象外",TRUE,FALSE)</formula>
    </cfRule>
  </conditionalFormatting>
  <conditionalFormatting sqref="AP42:AP44">
    <cfRule type="expression" dxfId="4386" priority="4528" stopIfTrue="1">
      <formula>IF(AQ$8="判定対象外",TRUE,FALSE)</formula>
    </cfRule>
  </conditionalFormatting>
  <conditionalFormatting sqref="AP42:AP44">
    <cfRule type="expression" dxfId="4385" priority="4527" stopIfTrue="1">
      <formula>IF(AQ$8="判定対象外",TRUE,FALSE)</formula>
    </cfRule>
  </conditionalFormatting>
  <conditionalFormatting sqref="AP42:AP44">
    <cfRule type="expression" dxfId="4384" priority="4526" stopIfTrue="1">
      <formula>IF(AQ$8="判定対象外",TRUE,FALSE)</formula>
    </cfRule>
  </conditionalFormatting>
  <conditionalFormatting sqref="AP42:AP44">
    <cfRule type="expression" dxfId="4383" priority="4525" stopIfTrue="1">
      <formula>IF(AQ$8="判定対象外",TRUE,FALSE)</formula>
    </cfRule>
  </conditionalFormatting>
  <conditionalFormatting sqref="AP38">
    <cfRule type="expression" dxfId="4382" priority="4539" stopIfTrue="1">
      <formula>IF(#REF!="判定対象外",TRUE,FALSE)</formula>
    </cfRule>
  </conditionalFormatting>
  <conditionalFormatting sqref="AQ11:AQ56 AQ71:AQ81">
    <cfRule type="expression" dxfId="4381" priority="4524" stopIfTrue="1">
      <formula>IF(AQ$8="判定対象外",TRUE,FALSE)</formula>
    </cfRule>
  </conditionalFormatting>
  <conditionalFormatting sqref="AP48">
    <cfRule type="expression" dxfId="4380" priority="4523" stopIfTrue="1">
      <formula>IF(AQ$8="判定対象外",TRUE,FALSE)</formula>
    </cfRule>
  </conditionalFormatting>
  <conditionalFormatting sqref="AP51">
    <cfRule type="expression" dxfId="4379" priority="4522" stopIfTrue="1">
      <formula>IF(AQ$8="判定対象外",TRUE,FALSE)</formula>
    </cfRule>
  </conditionalFormatting>
  <conditionalFormatting sqref="AP52 AP55 AP61 AP64 AP67 AP70">
    <cfRule type="expression" dxfId="4378" priority="4521" stopIfTrue="1">
      <formula>IF(AQ$8="判定対象外",TRUE,FALSE)</formula>
    </cfRule>
  </conditionalFormatting>
  <conditionalFormatting sqref="AP11:AP20">
    <cfRule type="expression" dxfId="4377" priority="4520" stopIfTrue="1">
      <formula>IF(AQ$8="判定対象外",TRUE,FALSE)</formula>
    </cfRule>
  </conditionalFormatting>
  <conditionalFormatting sqref="AP16:AP18">
    <cfRule type="expression" dxfId="4376" priority="4519" stopIfTrue="1">
      <formula>IF(AQ$8="判定対象外",TRUE,FALSE)</formula>
    </cfRule>
  </conditionalFormatting>
  <conditionalFormatting sqref="AP20">
    <cfRule type="expression" dxfId="4375" priority="4518" stopIfTrue="1">
      <formula>IF(AQ$8="判定対象外",TRUE,FALSE)</formula>
    </cfRule>
  </conditionalFormatting>
  <conditionalFormatting sqref="AP16:AP20">
    <cfRule type="expression" dxfId="4374" priority="4517" stopIfTrue="1">
      <formula>IF(AQ$8="判定対象外",TRUE,FALSE)</formula>
    </cfRule>
  </conditionalFormatting>
  <conditionalFormatting sqref="AP11:AP20">
    <cfRule type="expression" dxfId="4373" priority="4516" stopIfTrue="1">
      <formula>IF(AQ$8="判定対象外",TRUE,FALSE)</formula>
    </cfRule>
  </conditionalFormatting>
  <conditionalFormatting sqref="AP16:AP18">
    <cfRule type="expression" dxfId="4372" priority="4515" stopIfTrue="1">
      <formula>IF(AQ$8="判定対象外",TRUE,FALSE)</formula>
    </cfRule>
  </conditionalFormatting>
  <conditionalFormatting sqref="AP20">
    <cfRule type="expression" dxfId="4371" priority="4514" stopIfTrue="1">
      <formula>IF(AQ$8="判定対象外",TRUE,FALSE)</formula>
    </cfRule>
  </conditionalFormatting>
  <conditionalFormatting sqref="AP16:AP20">
    <cfRule type="expression" dxfId="4370" priority="4513" stopIfTrue="1">
      <formula>IF(AQ$8="判定対象外",TRUE,FALSE)</formula>
    </cfRule>
  </conditionalFormatting>
  <conditionalFormatting sqref="AP11:AP20">
    <cfRule type="expression" dxfId="4369" priority="4512" stopIfTrue="1">
      <formula>IF(AQ$8="判定対象外",TRUE,FALSE)</formula>
    </cfRule>
  </conditionalFormatting>
  <conditionalFormatting sqref="AP16:AP18">
    <cfRule type="expression" dxfId="4368" priority="4511" stopIfTrue="1">
      <formula>IF(AQ$8="判定対象外",TRUE,FALSE)</formula>
    </cfRule>
  </conditionalFormatting>
  <conditionalFormatting sqref="AP20">
    <cfRule type="expression" dxfId="4367" priority="4510" stopIfTrue="1">
      <formula>IF(AQ$8="判定対象外",TRUE,FALSE)</formula>
    </cfRule>
  </conditionalFormatting>
  <conditionalFormatting sqref="AP16:AP20">
    <cfRule type="expression" dxfId="4366" priority="4509" stopIfTrue="1">
      <formula>IF(AQ$8="判定対象外",TRUE,FALSE)</formula>
    </cfRule>
  </conditionalFormatting>
  <conditionalFormatting sqref="AP11:AP13">
    <cfRule type="expression" dxfId="4365" priority="4508" stopIfTrue="1">
      <formula>IF(AQ$8="判定対象外",TRUE,FALSE)</formula>
    </cfRule>
  </conditionalFormatting>
  <conditionalFormatting sqref="AP15">
    <cfRule type="expression" dxfId="4364" priority="4507" stopIfTrue="1">
      <formula>IF(AQ$8="判定対象外",TRUE,FALSE)</formula>
    </cfRule>
  </conditionalFormatting>
  <conditionalFormatting sqref="AP19">
    <cfRule type="expression" dxfId="4363" priority="4506" stopIfTrue="1">
      <formula>IF(AQ$8="判定対象外",TRUE,FALSE)</formula>
    </cfRule>
  </conditionalFormatting>
  <conditionalFormatting sqref="AP19">
    <cfRule type="expression" dxfId="4362" priority="4505" stopIfTrue="1">
      <formula>IF(AQ$8="判定対象外",TRUE,FALSE)</formula>
    </cfRule>
  </conditionalFormatting>
  <conditionalFormatting sqref="AP20">
    <cfRule type="expression" dxfId="4361" priority="4504" stopIfTrue="1">
      <formula>IF(AQ$8="判定対象外",TRUE,FALSE)</formula>
    </cfRule>
  </conditionalFormatting>
  <conditionalFormatting sqref="AP20">
    <cfRule type="expression" dxfId="4360" priority="4503" stopIfTrue="1">
      <formula>IF(AQ$8="判定対象外",TRUE,FALSE)</formula>
    </cfRule>
  </conditionalFormatting>
  <conditionalFormatting sqref="AP20">
    <cfRule type="expression" dxfId="4359" priority="4502" stopIfTrue="1">
      <formula>IF(AQ$8="判定対象外",TRUE,FALSE)</formula>
    </cfRule>
  </conditionalFormatting>
  <conditionalFormatting sqref="AP13">
    <cfRule type="expression" dxfId="4358" priority="4501" stopIfTrue="1">
      <formula>IF(AQ$8="判定対象外",TRUE,FALSE)</formula>
    </cfRule>
  </conditionalFormatting>
  <conditionalFormatting sqref="AP47">
    <cfRule type="expression" dxfId="4357" priority="4500" stopIfTrue="1">
      <formula>IF(AQ$8="判定対象外",TRUE,FALSE)</formula>
    </cfRule>
  </conditionalFormatting>
  <conditionalFormatting sqref="AP47">
    <cfRule type="expression" dxfId="4356" priority="4499" stopIfTrue="1">
      <formula>IF(AQ$8="判定対象外",TRUE,FALSE)</formula>
    </cfRule>
  </conditionalFormatting>
  <conditionalFormatting sqref="AP49">
    <cfRule type="expression" dxfId="4355" priority="4498" stopIfTrue="1">
      <formula>IF(AQ$8="判定対象外",TRUE,FALSE)</formula>
    </cfRule>
  </conditionalFormatting>
  <conditionalFormatting sqref="AP49">
    <cfRule type="expression" dxfId="4354" priority="4497" stopIfTrue="1">
      <formula>IF(AQ$8="判定対象外",TRUE,FALSE)</formula>
    </cfRule>
  </conditionalFormatting>
  <conditionalFormatting sqref="AP50">
    <cfRule type="expression" dxfId="4353" priority="4496" stopIfTrue="1">
      <formula>IF(AQ$8="判定対象外",TRUE,FALSE)</formula>
    </cfRule>
  </conditionalFormatting>
  <conditionalFormatting sqref="AP50">
    <cfRule type="expression" dxfId="4352" priority="4495" stopIfTrue="1">
      <formula>IF(AQ$8="判定対象外",TRUE,FALSE)</formula>
    </cfRule>
  </conditionalFormatting>
  <conditionalFormatting sqref="AP53 AP56 AP62 AP65 AP68 AP71">
    <cfRule type="expression" dxfId="4351" priority="4494" stopIfTrue="1">
      <formula>IF(AQ$8="判定対象外",TRUE,FALSE)</formula>
    </cfRule>
  </conditionalFormatting>
  <conditionalFormatting sqref="AP54 AP57 AP60 AP63 AP66 AP69">
    <cfRule type="expression" dxfId="4350" priority="4493" stopIfTrue="1">
      <formula>IF(AQ$8="判定対象外",TRUE,FALSE)</formula>
    </cfRule>
  </conditionalFormatting>
  <conditionalFormatting sqref="AS57">
    <cfRule type="expression" dxfId="4349" priority="4491" stopIfTrue="1">
      <formula>IF(AS57="-",TRUE,FALSE)</formula>
    </cfRule>
    <cfRule type="expression" dxfId="4348" priority="4492" stopIfTrue="1">
      <formula>IF(OR(AS57="OK"),FALSE,TRUE)</formula>
    </cfRule>
  </conditionalFormatting>
  <conditionalFormatting sqref="AR57">
    <cfRule type="expression" dxfId="4347" priority="4490" stopIfTrue="1">
      <formula>IF(AQ$8="判定対象外",TRUE,FALSE)</formula>
    </cfRule>
  </conditionalFormatting>
  <conditionalFormatting sqref="AQ57">
    <cfRule type="expression" dxfId="4346" priority="4489" stopIfTrue="1">
      <formula>IF(AQ$8="判定対象外",TRUE,FALSE)</formula>
    </cfRule>
  </conditionalFormatting>
  <conditionalFormatting sqref="AS60:AS64">
    <cfRule type="expression" dxfId="4345" priority="4487" stopIfTrue="1">
      <formula>IF(AS60="-",TRUE,FALSE)</formula>
    </cfRule>
    <cfRule type="expression" dxfId="4344" priority="4488" stopIfTrue="1">
      <formula>IF(OR(AS60="OK"),FALSE,TRUE)</formula>
    </cfRule>
  </conditionalFormatting>
  <conditionalFormatting sqref="AR60:AR64">
    <cfRule type="expression" dxfId="4343" priority="4486" stopIfTrue="1">
      <formula>IF(AQ$8="判定対象外",TRUE,FALSE)</formula>
    </cfRule>
  </conditionalFormatting>
  <conditionalFormatting sqref="AQ60:AQ64">
    <cfRule type="expression" dxfId="4342" priority="4485" stopIfTrue="1">
      <formula>IF(AQ$8="判定対象外",TRUE,FALSE)</formula>
    </cfRule>
  </conditionalFormatting>
  <conditionalFormatting sqref="AS65:AS70">
    <cfRule type="expression" dxfId="4341" priority="4483" stopIfTrue="1">
      <formula>IF(AS65="-",TRUE,FALSE)</formula>
    </cfRule>
    <cfRule type="expression" dxfId="4340" priority="4484" stopIfTrue="1">
      <formula>IF(OR(AS65="OK"),FALSE,TRUE)</formula>
    </cfRule>
  </conditionalFormatting>
  <conditionalFormatting sqref="AR65:AR70">
    <cfRule type="expression" dxfId="4339" priority="4482" stopIfTrue="1">
      <formula>IF(AQ$8="判定対象外",TRUE,FALSE)</formula>
    </cfRule>
  </conditionalFormatting>
  <conditionalFormatting sqref="AQ65:AQ70">
    <cfRule type="expression" dxfId="4338" priority="4481" stopIfTrue="1">
      <formula>IF(AQ$8="判定対象外",TRUE,FALSE)</formula>
    </cfRule>
  </conditionalFormatting>
  <conditionalFormatting sqref="AW8:AW10">
    <cfRule type="expression" dxfId="4337" priority="4479" stopIfTrue="1">
      <formula>IF(AW8="-",TRUE,FALSE)</formula>
    </cfRule>
    <cfRule type="expression" dxfId="4336" priority="4480" stopIfTrue="1">
      <formula>IF(OR(AW8="OK"),FALSE,TRUE)</formula>
    </cfRule>
  </conditionalFormatting>
  <conditionalFormatting sqref="AT8:AT10">
    <cfRule type="expression" dxfId="4335" priority="4478" stopIfTrue="1">
      <formula>IF(AU$8="判定対象外",TRUE,FALSE)</formula>
    </cfRule>
  </conditionalFormatting>
  <conditionalFormatting sqref="AU8:AU10">
    <cfRule type="expression" dxfId="4334" priority="4477" stopIfTrue="1">
      <formula>IF(AU$8="判定対象外",TRUE,FALSE)</formula>
    </cfRule>
  </conditionalFormatting>
  <conditionalFormatting sqref="AV8:AV10">
    <cfRule type="expression" dxfId="4333" priority="4476" stopIfTrue="1">
      <formula>IF(AU$8="判定対象外",TRUE,FALSE)</formula>
    </cfRule>
  </conditionalFormatting>
  <conditionalFormatting sqref="AW11:AW56 AW71:AW81">
    <cfRule type="expression" dxfId="4332" priority="4473" stopIfTrue="1">
      <formula>IF(AW11="-",TRUE,FALSE)</formula>
    </cfRule>
    <cfRule type="expression" dxfId="4331" priority="4474" stopIfTrue="1">
      <formula>IF(OR(AW11="OK"),FALSE,TRUE)</formula>
    </cfRule>
  </conditionalFormatting>
  <conditionalFormatting sqref="AV11:AV56 AV71:AV81">
    <cfRule type="expression" dxfId="4330" priority="4472" stopIfTrue="1">
      <formula>IF(AU$8="判定対象外",TRUE,FALSE)</formula>
    </cfRule>
  </conditionalFormatting>
  <conditionalFormatting sqref="AT72:AT81 AT21:AT46">
    <cfRule type="expression" dxfId="4329" priority="4471" stopIfTrue="1">
      <formula>IF(AU$8="判定対象外",TRUE,FALSE)</formula>
    </cfRule>
  </conditionalFormatting>
  <conditionalFormatting sqref="AT29:AT32">
    <cfRule type="expression" dxfId="4328" priority="4470" stopIfTrue="1">
      <formula>IF(AU$8="判定対象外",TRUE,FALSE)</formula>
    </cfRule>
  </conditionalFormatting>
  <conditionalFormatting sqref="AT42:AT44">
    <cfRule type="expression" dxfId="4327" priority="4469" stopIfTrue="1">
      <formula>IF(AU$8="判定対象外",TRUE,FALSE)</formula>
    </cfRule>
  </conditionalFormatting>
  <conditionalFormatting sqref="AT46">
    <cfRule type="expression" dxfId="4326" priority="4468" stopIfTrue="1">
      <formula>IF(AU$8="判定対象外",TRUE,FALSE)</formula>
    </cfRule>
  </conditionalFormatting>
  <conditionalFormatting sqref="AT42:AT44">
    <cfRule type="expression" dxfId="4325" priority="4467" stopIfTrue="1">
      <formula>IF(AU$8="判定対象外",TRUE,FALSE)</formula>
    </cfRule>
  </conditionalFormatting>
  <conditionalFormatting sqref="AT42:AT44">
    <cfRule type="expression" dxfId="4324" priority="4466" stopIfTrue="1">
      <formula>IF(AU$8="判定対象外",TRUE,FALSE)</formula>
    </cfRule>
  </conditionalFormatting>
  <conditionalFormatting sqref="AT42:AT44">
    <cfRule type="expression" dxfId="4323" priority="4465" stopIfTrue="1">
      <formula>IF(AU$8="判定対象外",TRUE,FALSE)</formula>
    </cfRule>
  </conditionalFormatting>
  <conditionalFormatting sqref="AT42:AT44">
    <cfRule type="expression" dxfId="4322" priority="4464" stopIfTrue="1">
      <formula>IF(AU$8="判定対象外",TRUE,FALSE)</formula>
    </cfRule>
  </conditionalFormatting>
  <conditionalFormatting sqref="AT42:AT44">
    <cfRule type="expression" dxfId="4321" priority="4463" stopIfTrue="1">
      <formula>IF(AU$8="判定対象外",TRUE,FALSE)</formula>
    </cfRule>
  </conditionalFormatting>
  <conditionalFormatting sqref="AT42:AT44">
    <cfRule type="expression" dxfId="4320" priority="4462" stopIfTrue="1">
      <formula>IF(AU$8="判定対象外",TRUE,FALSE)</formula>
    </cfRule>
  </conditionalFormatting>
  <conditionalFormatting sqref="AT42:AT44">
    <cfRule type="expression" dxfId="4319" priority="4461" stopIfTrue="1">
      <formula>IF(AU$8="判定対象外",TRUE,FALSE)</formula>
    </cfRule>
  </conditionalFormatting>
  <conditionalFormatting sqref="AT38">
    <cfRule type="expression" dxfId="4318" priority="4475" stopIfTrue="1">
      <formula>IF(#REF!="判定対象外",TRUE,FALSE)</formula>
    </cfRule>
  </conditionalFormatting>
  <conditionalFormatting sqref="AU11:AU56 AU71:AU81">
    <cfRule type="expression" dxfId="4317" priority="4460" stopIfTrue="1">
      <formula>IF(AU$8="判定対象外",TRUE,FALSE)</formula>
    </cfRule>
  </conditionalFormatting>
  <conditionalFormatting sqref="AT48">
    <cfRule type="expression" dxfId="4316" priority="4459" stopIfTrue="1">
      <formula>IF(AU$8="判定対象外",TRUE,FALSE)</formula>
    </cfRule>
  </conditionalFormatting>
  <conditionalFormatting sqref="AT51">
    <cfRule type="expression" dxfId="4315" priority="4458" stopIfTrue="1">
      <formula>IF(AU$8="判定対象外",TRUE,FALSE)</formula>
    </cfRule>
  </conditionalFormatting>
  <conditionalFormatting sqref="AT52 AT55 AT61 AT64 AT67 AT70">
    <cfRule type="expression" dxfId="4314" priority="4457" stopIfTrue="1">
      <formula>IF(AU$8="判定対象外",TRUE,FALSE)</formula>
    </cfRule>
  </conditionalFormatting>
  <conditionalFormatting sqref="AT11:AT20">
    <cfRule type="expression" dxfId="4313" priority="4456" stopIfTrue="1">
      <formula>IF(AU$8="判定対象外",TRUE,FALSE)</formula>
    </cfRule>
  </conditionalFormatting>
  <conditionalFormatting sqref="AT16:AT18">
    <cfRule type="expression" dxfId="4312" priority="4455" stopIfTrue="1">
      <formula>IF(AU$8="判定対象外",TRUE,FALSE)</formula>
    </cfRule>
  </conditionalFormatting>
  <conditionalFormatting sqref="AT20">
    <cfRule type="expression" dxfId="4311" priority="4454" stopIfTrue="1">
      <formula>IF(AU$8="判定対象外",TRUE,FALSE)</formula>
    </cfRule>
  </conditionalFormatting>
  <conditionalFormatting sqref="AT16:AT20">
    <cfRule type="expression" dxfId="4310" priority="4453" stopIfTrue="1">
      <formula>IF(AU$8="判定対象外",TRUE,FALSE)</formula>
    </cfRule>
  </conditionalFormatting>
  <conditionalFormatting sqref="AT11:AT20">
    <cfRule type="expression" dxfId="4309" priority="4452" stopIfTrue="1">
      <formula>IF(AU$8="判定対象外",TRUE,FALSE)</formula>
    </cfRule>
  </conditionalFormatting>
  <conditionalFormatting sqref="AT16:AT18">
    <cfRule type="expression" dxfId="4308" priority="4451" stopIfTrue="1">
      <formula>IF(AU$8="判定対象外",TRUE,FALSE)</formula>
    </cfRule>
  </conditionalFormatting>
  <conditionalFormatting sqref="AT20">
    <cfRule type="expression" dxfId="4307" priority="4450" stopIfTrue="1">
      <formula>IF(AU$8="判定対象外",TRUE,FALSE)</formula>
    </cfRule>
  </conditionalFormatting>
  <conditionalFormatting sqref="AT16:AT20">
    <cfRule type="expression" dxfId="4306" priority="4449" stopIfTrue="1">
      <formula>IF(AU$8="判定対象外",TRUE,FALSE)</formula>
    </cfRule>
  </conditionalFormatting>
  <conditionalFormatting sqref="AT11:AT20">
    <cfRule type="expression" dxfId="4305" priority="4448" stopIfTrue="1">
      <formula>IF(AU$8="判定対象外",TRUE,FALSE)</formula>
    </cfRule>
  </conditionalFormatting>
  <conditionalFormatting sqref="AT16:AT18">
    <cfRule type="expression" dxfId="4304" priority="4447" stopIfTrue="1">
      <formula>IF(AU$8="判定対象外",TRUE,FALSE)</formula>
    </cfRule>
  </conditionalFormatting>
  <conditionalFormatting sqref="AT20">
    <cfRule type="expression" dxfId="4303" priority="4446" stopIfTrue="1">
      <formula>IF(AU$8="判定対象外",TRUE,FALSE)</formula>
    </cfRule>
  </conditionalFormatting>
  <conditionalFormatting sqref="AT16:AT20">
    <cfRule type="expression" dxfId="4302" priority="4445" stopIfTrue="1">
      <formula>IF(AU$8="判定対象外",TRUE,FALSE)</formula>
    </cfRule>
  </conditionalFormatting>
  <conditionalFormatting sqref="AT11:AT13">
    <cfRule type="expression" dxfId="4301" priority="4444" stopIfTrue="1">
      <formula>IF(AU$8="判定対象外",TRUE,FALSE)</formula>
    </cfRule>
  </conditionalFormatting>
  <conditionalFormatting sqref="AT15">
    <cfRule type="expression" dxfId="4300" priority="4443" stopIfTrue="1">
      <formula>IF(AU$8="判定対象外",TRUE,FALSE)</formula>
    </cfRule>
  </conditionalFormatting>
  <conditionalFormatting sqref="AT19">
    <cfRule type="expression" dxfId="4299" priority="4442" stopIfTrue="1">
      <formula>IF(AU$8="判定対象外",TRUE,FALSE)</formula>
    </cfRule>
  </conditionalFormatting>
  <conditionalFormatting sqref="AT19">
    <cfRule type="expression" dxfId="4298" priority="4441" stopIfTrue="1">
      <formula>IF(AU$8="判定対象外",TRUE,FALSE)</formula>
    </cfRule>
  </conditionalFormatting>
  <conditionalFormatting sqref="AT20">
    <cfRule type="expression" dxfId="4297" priority="4440" stopIfTrue="1">
      <formula>IF(AU$8="判定対象外",TRUE,FALSE)</formula>
    </cfRule>
  </conditionalFormatting>
  <conditionalFormatting sqref="AT20">
    <cfRule type="expression" dxfId="4296" priority="4439" stopIfTrue="1">
      <formula>IF(AU$8="判定対象外",TRUE,FALSE)</formula>
    </cfRule>
  </conditionalFormatting>
  <conditionalFormatting sqref="AT20">
    <cfRule type="expression" dxfId="4295" priority="4438" stopIfTrue="1">
      <formula>IF(AU$8="判定対象外",TRUE,FALSE)</formula>
    </cfRule>
  </conditionalFormatting>
  <conditionalFormatting sqref="AT13">
    <cfRule type="expression" dxfId="4294" priority="4437" stopIfTrue="1">
      <formula>IF(AU$8="判定対象外",TRUE,FALSE)</formula>
    </cfRule>
  </conditionalFormatting>
  <conditionalFormatting sqref="AT47">
    <cfRule type="expression" dxfId="4293" priority="4436" stopIfTrue="1">
      <formula>IF(AU$8="判定対象外",TRUE,FALSE)</formula>
    </cfRule>
  </conditionalFormatting>
  <conditionalFormatting sqref="AT47">
    <cfRule type="expression" dxfId="4292" priority="4435" stopIfTrue="1">
      <formula>IF(AU$8="判定対象外",TRUE,FALSE)</formula>
    </cfRule>
  </conditionalFormatting>
  <conditionalFormatting sqref="AT49">
    <cfRule type="expression" dxfId="4291" priority="4434" stopIfTrue="1">
      <formula>IF(AU$8="判定対象外",TRUE,FALSE)</formula>
    </cfRule>
  </conditionalFormatting>
  <conditionalFormatting sqref="AT49">
    <cfRule type="expression" dxfId="4290" priority="4433" stopIfTrue="1">
      <formula>IF(AU$8="判定対象外",TRUE,FALSE)</formula>
    </cfRule>
  </conditionalFormatting>
  <conditionalFormatting sqref="AT50">
    <cfRule type="expression" dxfId="4289" priority="4432" stopIfTrue="1">
      <formula>IF(AU$8="判定対象外",TRUE,FALSE)</formula>
    </cfRule>
  </conditionalFormatting>
  <conditionalFormatting sqref="AT50">
    <cfRule type="expression" dxfId="4288" priority="4431" stopIfTrue="1">
      <formula>IF(AU$8="判定対象外",TRUE,FALSE)</formula>
    </cfRule>
  </conditionalFormatting>
  <conditionalFormatting sqref="AT53 AT56 AT62 AT65 AT68 AT71">
    <cfRule type="expression" dxfId="4287" priority="4430" stopIfTrue="1">
      <formula>IF(AU$8="判定対象外",TRUE,FALSE)</formula>
    </cfRule>
  </conditionalFormatting>
  <conditionalFormatting sqref="AT54 AT57 AT60 AT63 AT66 AT69">
    <cfRule type="expression" dxfId="4286" priority="4429" stopIfTrue="1">
      <formula>IF(AU$8="判定対象外",TRUE,FALSE)</formula>
    </cfRule>
  </conditionalFormatting>
  <conditionalFormatting sqref="AW57">
    <cfRule type="expression" dxfId="4285" priority="4427" stopIfTrue="1">
      <formula>IF(AW57="-",TRUE,FALSE)</formula>
    </cfRule>
    <cfRule type="expression" dxfId="4284" priority="4428" stopIfTrue="1">
      <formula>IF(OR(AW57="OK"),FALSE,TRUE)</formula>
    </cfRule>
  </conditionalFormatting>
  <conditionalFormatting sqref="AV57">
    <cfRule type="expression" dxfId="4283" priority="4426" stopIfTrue="1">
      <formula>IF(AU$8="判定対象外",TRUE,FALSE)</formula>
    </cfRule>
  </conditionalFormatting>
  <conditionalFormatting sqref="AU57">
    <cfRule type="expression" dxfId="4282" priority="4425" stopIfTrue="1">
      <formula>IF(AU$8="判定対象外",TRUE,FALSE)</formula>
    </cfRule>
  </conditionalFormatting>
  <conditionalFormatting sqref="AW60:AW64">
    <cfRule type="expression" dxfId="4281" priority="4423" stopIfTrue="1">
      <formula>IF(AW60="-",TRUE,FALSE)</formula>
    </cfRule>
    <cfRule type="expression" dxfId="4280" priority="4424" stopIfTrue="1">
      <formula>IF(OR(AW60="OK"),FALSE,TRUE)</formula>
    </cfRule>
  </conditionalFormatting>
  <conditionalFormatting sqref="AV60:AV64">
    <cfRule type="expression" dxfId="4279" priority="4422" stopIfTrue="1">
      <formula>IF(AU$8="判定対象外",TRUE,FALSE)</formula>
    </cfRule>
  </conditionalFormatting>
  <conditionalFormatting sqref="AU60:AU64">
    <cfRule type="expression" dxfId="4278" priority="4421" stopIfTrue="1">
      <formula>IF(AU$8="判定対象外",TRUE,FALSE)</formula>
    </cfRule>
  </conditionalFormatting>
  <conditionalFormatting sqref="AW65:AW70">
    <cfRule type="expression" dxfId="4277" priority="4419" stopIfTrue="1">
      <formula>IF(AW65="-",TRUE,FALSE)</formula>
    </cfRule>
    <cfRule type="expression" dxfId="4276" priority="4420" stopIfTrue="1">
      <formula>IF(OR(AW65="OK"),FALSE,TRUE)</formula>
    </cfRule>
  </conditionalFormatting>
  <conditionalFormatting sqref="AV65:AV70">
    <cfRule type="expression" dxfId="4275" priority="4418" stopIfTrue="1">
      <formula>IF(AU$8="判定対象外",TRUE,FALSE)</formula>
    </cfRule>
  </conditionalFormatting>
  <conditionalFormatting sqref="AU65:AU70">
    <cfRule type="expression" dxfId="4274" priority="4417" stopIfTrue="1">
      <formula>IF(AU$8="判定対象外",TRUE,FALSE)</formula>
    </cfRule>
  </conditionalFormatting>
  <conditionalFormatting sqref="AX29:AX32">
    <cfRule type="expression" dxfId="4273" priority="4405" stopIfTrue="1">
      <formula>IF(AY$8="判定対象外",TRUE,FALSE)</formula>
    </cfRule>
  </conditionalFormatting>
  <conditionalFormatting sqref="BA8:BA10">
    <cfRule type="expression" dxfId="4272" priority="4414" stopIfTrue="1">
      <formula>IF(BA8="-",TRUE,FALSE)</formula>
    </cfRule>
    <cfRule type="expression" dxfId="4271" priority="4415" stopIfTrue="1">
      <formula>IF(OR(BA8="OK"),FALSE,TRUE)</formula>
    </cfRule>
  </conditionalFormatting>
  <conditionalFormatting sqref="AX8:AX10">
    <cfRule type="expression" dxfId="4270" priority="4413" stopIfTrue="1">
      <formula>IF(AY$8="判定対象外",TRUE,FALSE)</formula>
    </cfRule>
  </conditionalFormatting>
  <conditionalFormatting sqref="AY8:AY10">
    <cfRule type="expression" dxfId="4269" priority="4412" stopIfTrue="1">
      <formula>IF(AY$8="判定対象外",TRUE,FALSE)</formula>
    </cfRule>
  </conditionalFormatting>
  <conditionalFormatting sqref="AZ8:AZ10">
    <cfRule type="expression" dxfId="4268" priority="4411" stopIfTrue="1">
      <formula>IF(AY$8="判定対象外",TRUE,FALSE)</formula>
    </cfRule>
  </conditionalFormatting>
  <conditionalFormatting sqref="BA11:BA56 BA71:BA81">
    <cfRule type="expression" dxfId="4267" priority="4408" stopIfTrue="1">
      <formula>IF(BA11="-",TRUE,FALSE)</formula>
    </cfRule>
    <cfRule type="expression" dxfId="4266" priority="4409" stopIfTrue="1">
      <formula>IF(OR(BA11="OK"),FALSE,TRUE)</formula>
    </cfRule>
  </conditionalFormatting>
  <conditionalFormatting sqref="AZ11:AZ56 AZ71:AZ81">
    <cfRule type="expression" dxfId="4265" priority="4407" stopIfTrue="1">
      <formula>IF(AY$8="判定対象外",TRUE,FALSE)</formula>
    </cfRule>
  </conditionalFormatting>
  <conditionalFormatting sqref="AX72:AX81 AX21:AX46">
    <cfRule type="expression" dxfId="4264" priority="4406" stopIfTrue="1">
      <formula>IF(AY$8="判定対象外",TRUE,FALSE)</formula>
    </cfRule>
  </conditionalFormatting>
  <conditionalFormatting sqref="BJ16:BJ18">
    <cfRule type="expression" dxfId="4263" priority="4168" stopIfTrue="1">
      <formula>IF(BK$8="判定対象外",TRUE,FALSE)</formula>
    </cfRule>
  </conditionalFormatting>
  <conditionalFormatting sqref="AX42:AX44">
    <cfRule type="expression" dxfId="4262" priority="4404" stopIfTrue="1">
      <formula>IF(AY$8="判定対象外",TRUE,FALSE)</formula>
    </cfRule>
  </conditionalFormatting>
  <conditionalFormatting sqref="AX46">
    <cfRule type="expression" dxfId="4261" priority="4403" stopIfTrue="1">
      <formula>IF(AY$8="判定対象外",TRUE,FALSE)</formula>
    </cfRule>
  </conditionalFormatting>
  <conditionalFormatting sqref="AX42:AX44">
    <cfRule type="expression" dxfId="4260" priority="4402" stopIfTrue="1">
      <formula>IF(AY$8="判定対象外",TRUE,FALSE)</formula>
    </cfRule>
  </conditionalFormatting>
  <conditionalFormatting sqref="AX42:AX44">
    <cfRule type="expression" dxfId="4259" priority="4401" stopIfTrue="1">
      <formula>IF(AY$8="判定対象外",TRUE,FALSE)</formula>
    </cfRule>
  </conditionalFormatting>
  <conditionalFormatting sqref="AX42:AX44">
    <cfRule type="expression" dxfId="4258" priority="4400" stopIfTrue="1">
      <formula>IF(AY$8="判定対象外",TRUE,FALSE)</formula>
    </cfRule>
  </conditionalFormatting>
  <conditionalFormatting sqref="AX42:AX44">
    <cfRule type="expression" dxfId="4257" priority="4399" stopIfTrue="1">
      <formula>IF(AY$8="判定対象外",TRUE,FALSE)</formula>
    </cfRule>
  </conditionalFormatting>
  <conditionalFormatting sqref="AX42:AX44">
    <cfRule type="expression" dxfId="4256" priority="4398" stopIfTrue="1">
      <formula>IF(AY$8="判定対象外",TRUE,FALSE)</formula>
    </cfRule>
  </conditionalFormatting>
  <conditionalFormatting sqref="AX42:AX44">
    <cfRule type="expression" dxfId="4255" priority="4397" stopIfTrue="1">
      <formula>IF(AY$8="判定対象外",TRUE,FALSE)</formula>
    </cfRule>
  </conditionalFormatting>
  <conditionalFormatting sqref="AX42:AX44">
    <cfRule type="expression" dxfId="4254" priority="4396" stopIfTrue="1">
      <formula>IF(AY$8="判定対象外",TRUE,FALSE)</formula>
    </cfRule>
  </conditionalFormatting>
  <conditionalFormatting sqref="AX38">
    <cfRule type="expression" dxfId="4253" priority="4410" stopIfTrue="1">
      <formula>IF(#REF!="判定対象外",TRUE,FALSE)</formula>
    </cfRule>
  </conditionalFormatting>
  <conditionalFormatting sqref="AY11:AY56 AY71:AY81">
    <cfRule type="expression" dxfId="4252" priority="4395" stopIfTrue="1">
      <formula>IF(AY$8="判定対象外",TRUE,FALSE)</formula>
    </cfRule>
  </conditionalFormatting>
  <conditionalFormatting sqref="AX48">
    <cfRule type="expression" dxfId="4251" priority="4394" stopIfTrue="1">
      <formula>IF(AY$8="判定対象外",TRUE,FALSE)</formula>
    </cfRule>
  </conditionalFormatting>
  <conditionalFormatting sqref="AX51">
    <cfRule type="expression" dxfId="4250" priority="4393" stopIfTrue="1">
      <formula>IF(AY$8="判定対象外",TRUE,FALSE)</formula>
    </cfRule>
  </conditionalFormatting>
  <conditionalFormatting sqref="AX52 AX55 AX61 AX64 AX67 AX70">
    <cfRule type="expression" dxfId="4249" priority="4392" stopIfTrue="1">
      <formula>IF(AY$8="判定対象外",TRUE,FALSE)</formula>
    </cfRule>
  </conditionalFormatting>
  <conditionalFormatting sqref="AX11:AX20">
    <cfRule type="expression" dxfId="4248" priority="4391" stopIfTrue="1">
      <formula>IF(AY$8="判定対象外",TRUE,FALSE)</formula>
    </cfRule>
  </conditionalFormatting>
  <conditionalFormatting sqref="AX16:AX18">
    <cfRule type="expression" dxfId="4247" priority="4390" stopIfTrue="1">
      <formula>IF(AY$8="判定対象外",TRUE,FALSE)</formula>
    </cfRule>
  </conditionalFormatting>
  <conditionalFormatting sqref="AX20">
    <cfRule type="expression" dxfId="4246" priority="4389" stopIfTrue="1">
      <formula>IF(AY$8="判定対象外",TRUE,FALSE)</formula>
    </cfRule>
  </conditionalFormatting>
  <conditionalFormatting sqref="AX16:AX20">
    <cfRule type="expression" dxfId="4245" priority="4388" stopIfTrue="1">
      <formula>IF(AY$8="判定対象外",TRUE,FALSE)</formula>
    </cfRule>
  </conditionalFormatting>
  <conditionalFormatting sqref="AX11:AX20">
    <cfRule type="expression" dxfId="4244" priority="4387" stopIfTrue="1">
      <formula>IF(AY$8="判定対象外",TRUE,FALSE)</formula>
    </cfRule>
  </conditionalFormatting>
  <conditionalFormatting sqref="AX16:AX18">
    <cfRule type="expression" dxfId="4243" priority="4386" stopIfTrue="1">
      <formula>IF(AY$8="判定対象外",TRUE,FALSE)</formula>
    </cfRule>
  </conditionalFormatting>
  <conditionalFormatting sqref="AX20">
    <cfRule type="expression" dxfId="4242" priority="4385" stopIfTrue="1">
      <formula>IF(AY$8="判定対象外",TRUE,FALSE)</formula>
    </cfRule>
  </conditionalFormatting>
  <conditionalFormatting sqref="AX16:AX20">
    <cfRule type="expression" dxfId="4241" priority="4384" stopIfTrue="1">
      <formula>IF(AY$8="判定対象外",TRUE,FALSE)</formula>
    </cfRule>
  </conditionalFormatting>
  <conditionalFormatting sqref="AX11:AX20">
    <cfRule type="expression" dxfId="4240" priority="4383" stopIfTrue="1">
      <formula>IF(AY$8="判定対象外",TRUE,FALSE)</formula>
    </cfRule>
  </conditionalFormatting>
  <conditionalFormatting sqref="AX16:AX18">
    <cfRule type="expression" dxfId="4239" priority="4382" stopIfTrue="1">
      <formula>IF(AY$8="判定対象外",TRUE,FALSE)</formula>
    </cfRule>
  </conditionalFormatting>
  <conditionalFormatting sqref="AX20">
    <cfRule type="expression" dxfId="4238" priority="4381" stopIfTrue="1">
      <formula>IF(AY$8="判定対象外",TRUE,FALSE)</formula>
    </cfRule>
  </conditionalFormatting>
  <conditionalFormatting sqref="AX16:AX20">
    <cfRule type="expression" dxfId="4237" priority="4380" stopIfTrue="1">
      <formula>IF(AY$8="判定対象外",TRUE,FALSE)</formula>
    </cfRule>
  </conditionalFormatting>
  <conditionalFormatting sqref="AX11:AX13">
    <cfRule type="expression" dxfId="4236" priority="4379" stopIfTrue="1">
      <formula>IF(AY$8="判定対象外",TRUE,FALSE)</formula>
    </cfRule>
  </conditionalFormatting>
  <conditionalFormatting sqref="AX15">
    <cfRule type="expression" dxfId="4235" priority="4378" stopIfTrue="1">
      <formula>IF(AY$8="判定対象外",TRUE,FALSE)</formula>
    </cfRule>
  </conditionalFormatting>
  <conditionalFormatting sqref="AX19">
    <cfRule type="expression" dxfId="4234" priority="4377" stopIfTrue="1">
      <formula>IF(AY$8="判定対象外",TRUE,FALSE)</formula>
    </cfRule>
  </conditionalFormatting>
  <conditionalFormatting sqref="AX19">
    <cfRule type="expression" dxfId="4233" priority="4376" stopIfTrue="1">
      <formula>IF(AY$8="判定対象外",TRUE,FALSE)</formula>
    </cfRule>
  </conditionalFormatting>
  <conditionalFormatting sqref="AX20">
    <cfRule type="expression" dxfId="4232" priority="4375" stopIfTrue="1">
      <formula>IF(AY$8="判定対象外",TRUE,FALSE)</formula>
    </cfRule>
  </conditionalFormatting>
  <conditionalFormatting sqref="AX20">
    <cfRule type="expression" dxfId="4231" priority="4374" stopIfTrue="1">
      <formula>IF(AY$8="判定対象外",TRUE,FALSE)</formula>
    </cfRule>
  </conditionalFormatting>
  <conditionalFormatting sqref="AX20">
    <cfRule type="expression" dxfId="4230" priority="4373" stopIfTrue="1">
      <formula>IF(AY$8="判定対象外",TRUE,FALSE)</formula>
    </cfRule>
  </conditionalFormatting>
  <conditionalFormatting sqref="AX13">
    <cfRule type="expression" dxfId="4229" priority="4372" stopIfTrue="1">
      <formula>IF(AY$8="判定対象外",TRUE,FALSE)</formula>
    </cfRule>
  </conditionalFormatting>
  <conditionalFormatting sqref="AX47">
    <cfRule type="expression" dxfId="4228" priority="4371" stopIfTrue="1">
      <formula>IF(AY$8="判定対象外",TRUE,FALSE)</formula>
    </cfRule>
  </conditionalFormatting>
  <conditionalFormatting sqref="AX47">
    <cfRule type="expression" dxfId="4227" priority="4370" stopIfTrue="1">
      <formula>IF(AY$8="判定対象外",TRUE,FALSE)</formula>
    </cfRule>
  </conditionalFormatting>
  <conditionalFormatting sqref="AX49">
    <cfRule type="expression" dxfId="4226" priority="4369" stopIfTrue="1">
      <formula>IF(AY$8="判定対象外",TRUE,FALSE)</formula>
    </cfRule>
  </conditionalFormatting>
  <conditionalFormatting sqref="AX49">
    <cfRule type="expression" dxfId="4225" priority="4368" stopIfTrue="1">
      <formula>IF(AY$8="判定対象外",TRUE,FALSE)</formula>
    </cfRule>
  </conditionalFormatting>
  <conditionalFormatting sqref="AX50">
    <cfRule type="expression" dxfId="4224" priority="4367" stopIfTrue="1">
      <formula>IF(AY$8="判定対象外",TRUE,FALSE)</formula>
    </cfRule>
  </conditionalFormatting>
  <conditionalFormatting sqref="AX50">
    <cfRule type="expression" dxfId="4223" priority="4366" stopIfTrue="1">
      <formula>IF(AY$8="判定対象外",TRUE,FALSE)</formula>
    </cfRule>
  </conditionalFormatting>
  <conditionalFormatting sqref="AX53 AX56 AX62 AX65 AX68 AX71">
    <cfRule type="expression" dxfId="4222" priority="4365" stopIfTrue="1">
      <formula>IF(AY$8="判定対象外",TRUE,FALSE)</formula>
    </cfRule>
  </conditionalFormatting>
  <conditionalFormatting sqref="AX54 AX57 AX63 AX66 AX69">
    <cfRule type="expression" dxfId="4221" priority="4364" stopIfTrue="1">
      <formula>IF(AY$8="判定対象外",TRUE,FALSE)</formula>
    </cfRule>
  </conditionalFormatting>
  <conditionalFormatting sqref="BA57">
    <cfRule type="expression" dxfId="4220" priority="4362" stopIfTrue="1">
      <formula>IF(BA57="-",TRUE,FALSE)</formula>
    </cfRule>
    <cfRule type="expression" dxfId="4219" priority="4363" stopIfTrue="1">
      <formula>IF(OR(BA57="OK"),FALSE,TRUE)</formula>
    </cfRule>
  </conditionalFormatting>
  <conditionalFormatting sqref="AZ57">
    <cfRule type="expression" dxfId="4218" priority="4361" stopIfTrue="1">
      <formula>IF(AY$8="判定対象外",TRUE,FALSE)</formula>
    </cfRule>
  </conditionalFormatting>
  <conditionalFormatting sqref="AY57">
    <cfRule type="expression" dxfId="4217" priority="4360" stopIfTrue="1">
      <formula>IF(AY$8="判定対象外",TRUE,FALSE)</formula>
    </cfRule>
  </conditionalFormatting>
  <conditionalFormatting sqref="BA58:BA64">
    <cfRule type="expression" dxfId="4216" priority="4358" stopIfTrue="1">
      <formula>IF(BA58="-",TRUE,FALSE)</formula>
    </cfRule>
    <cfRule type="expression" dxfId="4215" priority="4359" stopIfTrue="1">
      <formula>IF(OR(BA58="OK"),FALSE,TRUE)</formula>
    </cfRule>
  </conditionalFormatting>
  <conditionalFormatting sqref="AZ58:AZ64">
    <cfRule type="expression" dxfId="4214" priority="4357" stopIfTrue="1">
      <formula>IF(AY$8="判定対象外",TRUE,FALSE)</formula>
    </cfRule>
  </conditionalFormatting>
  <conditionalFormatting sqref="AY58:AY64">
    <cfRule type="expression" dxfId="4213" priority="4356" stopIfTrue="1">
      <formula>IF(AY$8="判定対象外",TRUE,FALSE)</formula>
    </cfRule>
  </conditionalFormatting>
  <conditionalFormatting sqref="BA65:BA70">
    <cfRule type="expression" dxfId="4212" priority="4354" stopIfTrue="1">
      <formula>IF(BA65="-",TRUE,FALSE)</formula>
    </cfRule>
    <cfRule type="expression" dxfId="4211" priority="4355" stopIfTrue="1">
      <formula>IF(OR(BA65="OK"),FALSE,TRUE)</formula>
    </cfRule>
  </conditionalFormatting>
  <conditionalFormatting sqref="AZ65:AZ70">
    <cfRule type="expression" dxfId="4210" priority="4353" stopIfTrue="1">
      <formula>IF(AY$8="判定対象外",TRUE,FALSE)</formula>
    </cfRule>
  </conditionalFormatting>
  <conditionalFormatting sqref="AY65:AY70">
    <cfRule type="expression" dxfId="4209" priority="4352" stopIfTrue="1">
      <formula>IF(AY$8="判定対象外",TRUE,FALSE)</formula>
    </cfRule>
  </conditionalFormatting>
  <conditionalFormatting sqref="AX60">
    <cfRule type="expression" dxfId="4208" priority="4349" stopIfTrue="1">
      <formula>IF(AY$8="判定対象外",TRUE,FALSE)</formula>
    </cfRule>
  </conditionalFormatting>
  <conditionalFormatting sqref="AX59">
    <cfRule type="expression" dxfId="4207" priority="4337" stopIfTrue="1">
      <formula>IF(AY$8="判定対象外",TRUE,FALSE)</formula>
    </cfRule>
  </conditionalFormatting>
  <conditionalFormatting sqref="AP59">
    <cfRule type="expression" dxfId="4206" priority="4347" stopIfTrue="1">
      <formula>IF(AQ$8="判定対象外",TRUE,FALSE)</formula>
    </cfRule>
  </conditionalFormatting>
  <conditionalFormatting sqref="AS59">
    <cfRule type="expression" dxfId="4205" priority="4345" stopIfTrue="1">
      <formula>IF(AS59="-",TRUE,FALSE)</formula>
    </cfRule>
    <cfRule type="expression" dxfId="4204" priority="4346" stopIfTrue="1">
      <formula>IF(OR(AS59="OK"),FALSE,TRUE)</formula>
    </cfRule>
  </conditionalFormatting>
  <conditionalFormatting sqref="AR59">
    <cfRule type="expression" dxfId="4203" priority="4344" stopIfTrue="1">
      <formula>IF(AQ$8="判定対象外",TRUE,FALSE)</formula>
    </cfRule>
  </conditionalFormatting>
  <conditionalFormatting sqref="AQ59">
    <cfRule type="expression" dxfId="4202" priority="4343" stopIfTrue="1">
      <formula>IF(AQ$8="判定対象外",TRUE,FALSE)</formula>
    </cfRule>
  </conditionalFormatting>
  <conditionalFormatting sqref="AW59">
    <cfRule type="expression" dxfId="4201" priority="4341" stopIfTrue="1">
      <formula>IF(AW59="-",TRUE,FALSE)</formula>
    </cfRule>
    <cfRule type="expression" dxfId="4200" priority="4342" stopIfTrue="1">
      <formula>IF(OR(AW59="OK"),FALSE,TRUE)</formula>
    </cfRule>
  </conditionalFormatting>
  <conditionalFormatting sqref="AV59">
    <cfRule type="expression" dxfId="4199" priority="4340" stopIfTrue="1">
      <formula>IF(AU$8="判定対象外",TRUE,FALSE)</formula>
    </cfRule>
  </conditionalFormatting>
  <conditionalFormatting sqref="AU59">
    <cfRule type="expression" dxfId="4198" priority="4339" stopIfTrue="1">
      <formula>IF(AU$8="判定対象外",TRUE,FALSE)</formula>
    </cfRule>
  </conditionalFormatting>
  <conditionalFormatting sqref="BJ60">
    <cfRule type="expression" dxfId="4197" priority="4100" stopIfTrue="1">
      <formula>IF(BK$8="判定対象外",TRUE,FALSE)</formula>
    </cfRule>
  </conditionalFormatting>
  <conditionalFormatting sqref="AP58">
    <cfRule type="expression" dxfId="4196" priority="4336" stopIfTrue="1">
      <formula>IF(AQ$8="判定対象外",TRUE,FALSE)</formula>
    </cfRule>
  </conditionalFormatting>
  <conditionalFormatting sqref="AS58">
    <cfRule type="expression" dxfId="4195" priority="4334" stopIfTrue="1">
      <formula>IF(AS58="-",TRUE,FALSE)</formula>
    </cfRule>
    <cfRule type="expression" dxfId="4194" priority="4335" stopIfTrue="1">
      <formula>IF(OR(AS58="OK"),FALSE,TRUE)</formula>
    </cfRule>
  </conditionalFormatting>
  <conditionalFormatting sqref="AR58">
    <cfRule type="expression" dxfId="4193" priority="4333" stopIfTrue="1">
      <formula>IF(AQ$8="判定対象外",TRUE,FALSE)</formula>
    </cfRule>
  </conditionalFormatting>
  <conditionalFormatting sqref="AQ58">
    <cfRule type="expression" dxfId="4192" priority="4332" stopIfTrue="1">
      <formula>IF(AQ$8="判定対象外",TRUE,FALSE)</formula>
    </cfRule>
  </conditionalFormatting>
  <conditionalFormatting sqref="AT58">
    <cfRule type="expression" dxfId="4191" priority="4331" stopIfTrue="1">
      <formula>IF(AU$8="判定対象外",TRUE,FALSE)</formula>
    </cfRule>
  </conditionalFormatting>
  <conditionalFormatting sqref="AW58">
    <cfRule type="expression" dxfId="4190" priority="4329" stopIfTrue="1">
      <formula>IF(AW58="-",TRUE,FALSE)</formula>
    </cfRule>
    <cfRule type="expression" dxfId="4189" priority="4330" stopIfTrue="1">
      <formula>IF(OR(AW58="OK"),FALSE,TRUE)</formula>
    </cfRule>
  </conditionalFormatting>
  <conditionalFormatting sqref="AV58">
    <cfRule type="expression" dxfId="4188" priority="4328" stopIfTrue="1">
      <formula>IF(AU$8="判定対象外",TRUE,FALSE)</formula>
    </cfRule>
  </conditionalFormatting>
  <conditionalFormatting sqref="AU58">
    <cfRule type="expression" dxfId="4187" priority="4327" stopIfTrue="1">
      <formula>IF(AU$8="判定対象外",TRUE,FALSE)</formula>
    </cfRule>
  </conditionalFormatting>
  <conditionalFormatting sqref="AX58">
    <cfRule type="expression" dxfId="4186" priority="4326" stopIfTrue="1">
      <formula>IF(AY$8="判定対象外",TRUE,FALSE)</formula>
    </cfRule>
  </conditionalFormatting>
  <conditionalFormatting sqref="BE8:BE10">
    <cfRule type="expression" dxfId="4185" priority="4324" stopIfTrue="1">
      <formula>IF(BE8="-",TRUE,FALSE)</formula>
    </cfRule>
    <cfRule type="expression" dxfId="4184" priority="4325" stopIfTrue="1">
      <formula>IF(OR(BE8="OK"),FALSE,TRUE)</formula>
    </cfRule>
  </conditionalFormatting>
  <conditionalFormatting sqref="BB8:BB10">
    <cfRule type="expression" dxfId="4183" priority="4323" stopIfTrue="1">
      <formula>IF(BC$8="判定対象外",TRUE,FALSE)</formula>
    </cfRule>
  </conditionalFormatting>
  <conditionalFormatting sqref="BC8:BC10">
    <cfRule type="expression" dxfId="4182" priority="4322" stopIfTrue="1">
      <formula>IF(BC$8="判定対象外",TRUE,FALSE)</formula>
    </cfRule>
  </conditionalFormatting>
  <conditionalFormatting sqref="BD8:BD10">
    <cfRule type="expression" dxfId="4181" priority="4321" stopIfTrue="1">
      <formula>IF(BC$8="判定対象外",TRUE,FALSE)</formula>
    </cfRule>
  </conditionalFormatting>
  <conditionalFormatting sqref="BE11:BE56 BE71:BE81">
    <cfRule type="expression" dxfId="4180" priority="4318" stopIfTrue="1">
      <formula>IF(BE11="-",TRUE,FALSE)</formula>
    </cfRule>
    <cfRule type="expression" dxfId="4179" priority="4319" stopIfTrue="1">
      <formula>IF(OR(BE11="OK"),FALSE,TRUE)</formula>
    </cfRule>
  </conditionalFormatting>
  <conditionalFormatting sqref="BD11:BD56 BD71:BD81">
    <cfRule type="expression" dxfId="4178" priority="4317" stopIfTrue="1">
      <formula>IF(BC$8="判定対象外",TRUE,FALSE)</formula>
    </cfRule>
  </conditionalFormatting>
  <conditionalFormatting sqref="BB72:BB81 BB21:BB46">
    <cfRule type="expression" dxfId="4177" priority="4316" stopIfTrue="1">
      <formula>IF(BC$8="判定対象外",TRUE,FALSE)</formula>
    </cfRule>
  </conditionalFormatting>
  <conditionalFormatting sqref="BB29:BB32">
    <cfRule type="expression" dxfId="4176" priority="4315" stopIfTrue="1">
      <formula>IF(BC$8="判定対象外",TRUE,FALSE)</formula>
    </cfRule>
  </conditionalFormatting>
  <conditionalFormatting sqref="BB42:BB44">
    <cfRule type="expression" dxfId="4175" priority="4314" stopIfTrue="1">
      <formula>IF(BC$8="判定対象外",TRUE,FALSE)</formula>
    </cfRule>
  </conditionalFormatting>
  <conditionalFormatting sqref="BB46">
    <cfRule type="expression" dxfId="4174" priority="4313" stopIfTrue="1">
      <formula>IF(BC$8="判定対象外",TRUE,FALSE)</formula>
    </cfRule>
  </conditionalFormatting>
  <conditionalFormatting sqref="BB42:BB44">
    <cfRule type="expression" dxfId="4173" priority="4312" stopIfTrue="1">
      <formula>IF(BC$8="判定対象外",TRUE,FALSE)</formula>
    </cfRule>
  </conditionalFormatting>
  <conditionalFormatting sqref="BB42:BB44">
    <cfRule type="expression" dxfId="4172" priority="4311" stopIfTrue="1">
      <formula>IF(BC$8="判定対象外",TRUE,FALSE)</formula>
    </cfRule>
  </conditionalFormatting>
  <conditionalFormatting sqref="BB42:BB44">
    <cfRule type="expression" dxfId="4171" priority="4310" stopIfTrue="1">
      <formula>IF(BC$8="判定対象外",TRUE,FALSE)</formula>
    </cfRule>
  </conditionalFormatting>
  <conditionalFormatting sqref="BB42:BB44">
    <cfRule type="expression" dxfId="4170" priority="4309" stopIfTrue="1">
      <formula>IF(BC$8="判定対象外",TRUE,FALSE)</formula>
    </cfRule>
  </conditionalFormatting>
  <conditionalFormatting sqref="BB42:BB44">
    <cfRule type="expression" dxfId="4169" priority="4308" stopIfTrue="1">
      <formula>IF(BC$8="判定対象外",TRUE,FALSE)</formula>
    </cfRule>
  </conditionalFormatting>
  <conditionalFormatting sqref="BB42:BB44">
    <cfRule type="expression" dxfId="4168" priority="4307" stopIfTrue="1">
      <formula>IF(BC$8="判定対象外",TRUE,FALSE)</formula>
    </cfRule>
  </conditionalFormatting>
  <conditionalFormatting sqref="BB42:BB44">
    <cfRule type="expression" dxfId="4167" priority="4306" stopIfTrue="1">
      <formula>IF(BC$8="判定対象外",TRUE,FALSE)</formula>
    </cfRule>
  </conditionalFormatting>
  <conditionalFormatting sqref="BB38">
    <cfRule type="expression" dxfId="4166" priority="4320" stopIfTrue="1">
      <formula>IF(#REF!="判定対象外",TRUE,FALSE)</formula>
    </cfRule>
  </conditionalFormatting>
  <conditionalFormatting sqref="BC11:BC56 BC71:BC81">
    <cfRule type="expression" dxfId="4165" priority="4305" stopIfTrue="1">
      <formula>IF(BC$8="判定対象外",TRUE,FALSE)</formula>
    </cfRule>
  </conditionalFormatting>
  <conditionalFormatting sqref="BB48">
    <cfRule type="expression" dxfId="4164" priority="4304" stopIfTrue="1">
      <formula>IF(BC$8="判定対象外",TRUE,FALSE)</formula>
    </cfRule>
  </conditionalFormatting>
  <conditionalFormatting sqref="BB51">
    <cfRule type="expression" dxfId="4163" priority="4303" stopIfTrue="1">
      <formula>IF(BC$8="判定対象外",TRUE,FALSE)</formula>
    </cfRule>
  </conditionalFormatting>
  <conditionalFormatting sqref="BB52 BB55 BB61 BB64 BB67 BB70">
    <cfRule type="expression" dxfId="4162" priority="4302" stopIfTrue="1">
      <formula>IF(BC$8="判定対象外",TRUE,FALSE)</formula>
    </cfRule>
  </conditionalFormatting>
  <conditionalFormatting sqref="BB11:BB20">
    <cfRule type="expression" dxfId="4161" priority="4301" stopIfTrue="1">
      <formula>IF(BC$8="判定対象外",TRUE,FALSE)</formula>
    </cfRule>
  </conditionalFormatting>
  <conditionalFormatting sqref="BB16:BB18">
    <cfRule type="expression" dxfId="4160" priority="4300" stopIfTrue="1">
      <formula>IF(BC$8="判定対象外",TRUE,FALSE)</formula>
    </cfRule>
  </conditionalFormatting>
  <conditionalFormatting sqref="BB20">
    <cfRule type="expression" dxfId="4159" priority="4299" stopIfTrue="1">
      <formula>IF(BC$8="判定対象外",TRUE,FALSE)</formula>
    </cfRule>
  </conditionalFormatting>
  <conditionalFormatting sqref="BB16:BB20">
    <cfRule type="expression" dxfId="4158" priority="4298" stopIfTrue="1">
      <formula>IF(BC$8="判定対象外",TRUE,FALSE)</formula>
    </cfRule>
  </conditionalFormatting>
  <conditionalFormatting sqref="BB11:BB20">
    <cfRule type="expression" dxfId="4157" priority="4297" stopIfTrue="1">
      <formula>IF(BC$8="判定対象外",TRUE,FALSE)</formula>
    </cfRule>
  </conditionalFormatting>
  <conditionalFormatting sqref="BB16:BB18">
    <cfRule type="expression" dxfId="4156" priority="4296" stopIfTrue="1">
      <formula>IF(BC$8="判定対象外",TRUE,FALSE)</formula>
    </cfRule>
  </conditionalFormatting>
  <conditionalFormatting sqref="BB20">
    <cfRule type="expression" dxfId="4155" priority="4295" stopIfTrue="1">
      <formula>IF(BC$8="判定対象外",TRUE,FALSE)</formula>
    </cfRule>
  </conditionalFormatting>
  <conditionalFormatting sqref="BB16:BB20">
    <cfRule type="expression" dxfId="4154" priority="4294" stopIfTrue="1">
      <formula>IF(BC$8="判定対象外",TRUE,FALSE)</formula>
    </cfRule>
  </conditionalFormatting>
  <conditionalFormatting sqref="BB11:BB20">
    <cfRule type="expression" dxfId="4153" priority="4293" stopIfTrue="1">
      <formula>IF(BC$8="判定対象外",TRUE,FALSE)</formula>
    </cfRule>
  </conditionalFormatting>
  <conditionalFormatting sqref="BB16:BB18">
    <cfRule type="expression" dxfId="4152" priority="4292" stopIfTrue="1">
      <formula>IF(BC$8="判定対象外",TRUE,FALSE)</formula>
    </cfRule>
  </conditionalFormatting>
  <conditionalFormatting sqref="BB20">
    <cfRule type="expression" dxfId="4151" priority="4291" stopIfTrue="1">
      <formula>IF(BC$8="判定対象外",TRUE,FALSE)</formula>
    </cfRule>
  </conditionalFormatting>
  <conditionalFormatting sqref="BB16:BB20">
    <cfRule type="expression" dxfId="4150" priority="4290" stopIfTrue="1">
      <formula>IF(BC$8="判定対象外",TRUE,FALSE)</formula>
    </cfRule>
  </conditionalFormatting>
  <conditionalFormatting sqref="BB11:BB13">
    <cfRule type="expression" dxfId="4149" priority="4289" stopIfTrue="1">
      <formula>IF(BC$8="判定対象外",TRUE,FALSE)</formula>
    </cfRule>
  </conditionalFormatting>
  <conditionalFormatting sqref="BB15">
    <cfRule type="expression" dxfId="4148" priority="4288" stopIfTrue="1">
      <formula>IF(BC$8="判定対象外",TRUE,FALSE)</formula>
    </cfRule>
  </conditionalFormatting>
  <conditionalFormatting sqref="BB19">
    <cfRule type="expression" dxfId="4147" priority="4287" stopIfTrue="1">
      <formula>IF(BC$8="判定対象外",TRUE,FALSE)</formula>
    </cfRule>
  </conditionalFormatting>
  <conditionalFormatting sqref="BB19">
    <cfRule type="expression" dxfId="4146" priority="4286" stopIfTrue="1">
      <formula>IF(BC$8="判定対象外",TRUE,FALSE)</formula>
    </cfRule>
  </conditionalFormatting>
  <conditionalFormatting sqref="BB20">
    <cfRule type="expression" dxfId="4145" priority="4285" stopIfTrue="1">
      <formula>IF(BC$8="判定対象外",TRUE,FALSE)</formula>
    </cfRule>
  </conditionalFormatting>
  <conditionalFormatting sqref="BB20">
    <cfRule type="expression" dxfId="4144" priority="4284" stopIfTrue="1">
      <formula>IF(BC$8="判定対象外",TRUE,FALSE)</formula>
    </cfRule>
  </conditionalFormatting>
  <conditionalFormatting sqref="BB20">
    <cfRule type="expression" dxfId="4143" priority="4283" stopIfTrue="1">
      <formula>IF(BC$8="判定対象外",TRUE,FALSE)</formula>
    </cfRule>
  </conditionalFormatting>
  <conditionalFormatting sqref="BB13">
    <cfRule type="expression" dxfId="4142" priority="4282" stopIfTrue="1">
      <formula>IF(BC$8="判定対象外",TRUE,FALSE)</formula>
    </cfRule>
  </conditionalFormatting>
  <conditionalFormatting sqref="BB47">
    <cfRule type="expression" dxfId="4141" priority="4281" stopIfTrue="1">
      <formula>IF(BC$8="判定対象外",TRUE,FALSE)</formula>
    </cfRule>
  </conditionalFormatting>
  <conditionalFormatting sqref="BB47">
    <cfRule type="expression" dxfId="4140" priority="4280" stopIfTrue="1">
      <formula>IF(BC$8="判定対象外",TRUE,FALSE)</formula>
    </cfRule>
  </conditionalFormatting>
  <conditionalFormatting sqref="BB49">
    <cfRule type="expression" dxfId="4139" priority="4279" stopIfTrue="1">
      <formula>IF(BC$8="判定対象外",TRUE,FALSE)</formula>
    </cfRule>
  </conditionalFormatting>
  <conditionalFormatting sqref="BB49">
    <cfRule type="expression" dxfId="4138" priority="4278" stopIfTrue="1">
      <formula>IF(BC$8="判定対象外",TRUE,FALSE)</formula>
    </cfRule>
  </conditionalFormatting>
  <conditionalFormatting sqref="BB50">
    <cfRule type="expression" dxfId="4137" priority="4277" stopIfTrue="1">
      <formula>IF(BC$8="判定対象外",TRUE,FALSE)</formula>
    </cfRule>
  </conditionalFormatting>
  <conditionalFormatting sqref="BB50">
    <cfRule type="expression" dxfId="4136" priority="4276" stopIfTrue="1">
      <formula>IF(BC$8="判定対象外",TRUE,FALSE)</formula>
    </cfRule>
  </conditionalFormatting>
  <conditionalFormatting sqref="BB53 BB56 BB62 BB65 BB68 BB71">
    <cfRule type="expression" dxfId="4135" priority="4275" stopIfTrue="1">
      <formula>IF(BC$8="判定対象外",TRUE,FALSE)</formula>
    </cfRule>
  </conditionalFormatting>
  <conditionalFormatting sqref="BB54 BB57 BB63 BB66 BB69">
    <cfRule type="expression" dxfId="4134" priority="4274" stopIfTrue="1">
      <formula>IF(BC$8="判定対象外",TRUE,FALSE)</formula>
    </cfRule>
  </conditionalFormatting>
  <conditionalFormatting sqref="BE57">
    <cfRule type="expression" dxfId="4133" priority="4272" stopIfTrue="1">
      <formula>IF(BE57="-",TRUE,FALSE)</formula>
    </cfRule>
    <cfRule type="expression" dxfId="4132" priority="4273" stopIfTrue="1">
      <formula>IF(OR(BE57="OK"),FALSE,TRUE)</formula>
    </cfRule>
  </conditionalFormatting>
  <conditionalFormatting sqref="BD57">
    <cfRule type="expression" dxfId="4131" priority="4271" stopIfTrue="1">
      <formula>IF(BC$8="判定対象外",TRUE,FALSE)</formula>
    </cfRule>
  </conditionalFormatting>
  <conditionalFormatting sqref="BC57">
    <cfRule type="expression" dxfId="4130" priority="4270" stopIfTrue="1">
      <formula>IF(BC$8="判定対象外",TRUE,FALSE)</formula>
    </cfRule>
  </conditionalFormatting>
  <conditionalFormatting sqref="BE61:BE64">
    <cfRule type="expression" dxfId="4129" priority="4268" stopIfTrue="1">
      <formula>IF(BE61="-",TRUE,FALSE)</formula>
    </cfRule>
    <cfRule type="expression" dxfId="4128" priority="4269" stopIfTrue="1">
      <formula>IF(OR(BE61="OK"),FALSE,TRUE)</formula>
    </cfRule>
  </conditionalFormatting>
  <conditionalFormatting sqref="BD61:BD64">
    <cfRule type="expression" dxfId="4127" priority="4267" stopIfTrue="1">
      <formula>IF(BC$8="判定対象外",TRUE,FALSE)</formula>
    </cfRule>
  </conditionalFormatting>
  <conditionalFormatting sqref="BC61:BC64">
    <cfRule type="expression" dxfId="4126" priority="4266" stopIfTrue="1">
      <formula>IF(BC$8="判定対象外",TRUE,FALSE)</formula>
    </cfRule>
  </conditionalFormatting>
  <conditionalFormatting sqref="BE65:BE70">
    <cfRule type="expression" dxfId="4125" priority="4264" stopIfTrue="1">
      <formula>IF(BE65="-",TRUE,FALSE)</formula>
    </cfRule>
    <cfRule type="expression" dxfId="4124" priority="4265" stopIfTrue="1">
      <formula>IF(OR(BE65="OK"),FALSE,TRUE)</formula>
    </cfRule>
  </conditionalFormatting>
  <conditionalFormatting sqref="BD65:BD70">
    <cfRule type="expression" dxfId="4123" priority="4263" stopIfTrue="1">
      <formula>IF(BC$8="判定対象外",TRUE,FALSE)</formula>
    </cfRule>
  </conditionalFormatting>
  <conditionalFormatting sqref="BC65:BC70">
    <cfRule type="expression" dxfId="4122" priority="4262" stopIfTrue="1">
      <formula>IF(BC$8="判定対象外",TRUE,FALSE)</formula>
    </cfRule>
  </conditionalFormatting>
  <conditionalFormatting sqref="BI8:BI10">
    <cfRule type="expression" dxfId="4121" priority="4260" stopIfTrue="1">
      <formula>IF(BI8="-",TRUE,FALSE)</formula>
    </cfRule>
    <cfRule type="expression" dxfId="4120" priority="4261" stopIfTrue="1">
      <formula>IF(OR(BI8="OK"),FALSE,TRUE)</formula>
    </cfRule>
  </conditionalFormatting>
  <conditionalFormatting sqref="BF8:BF10">
    <cfRule type="expression" dxfId="4119" priority="4259" stopIfTrue="1">
      <formula>IF(BG$8="判定対象外",TRUE,FALSE)</formula>
    </cfRule>
  </conditionalFormatting>
  <conditionalFormatting sqref="BG8:BG10">
    <cfRule type="expression" dxfId="4118" priority="4258" stopIfTrue="1">
      <formula>IF(BG$8="判定対象外",TRUE,FALSE)</formula>
    </cfRule>
  </conditionalFormatting>
  <conditionalFormatting sqref="BH8:BH10">
    <cfRule type="expression" dxfId="4117" priority="4257" stopIfTrue="1">
      <formula>IF(BG$8="判定対象外",TRUE,FALSE)</formula>
    </cfRule>
  </conditionalFormatting>
  <conditionalFormatting sqref="BI11:BI56 BI71:BI81">
    <cfRule type="expression" dxfId="4116" priority="4254" stopIfTrue="1">
      <formula>IF(BI11="-",TRUE,FALSE)</formula>
    </cfRule>
    <cfRule type="expression" dxfId="4115" priority="4255" stopIfTrue="1">
      <formula>IF(OR(BI11="OK"),FALSE,TRUE)</formula>
    </cfRule>
  </conditionalFormatting>
  <conditionalFormatting sqref="BH11:BH56 BH71:BH81">
    <cfRule type="expression" dxfId="4114" priority="4253" stopIfTrue="1">
      <formula>IF(BG$8="判定対象外",TRUE,FALSE)</formula>
    </cfRule>
  </conditionalFormatting>
  <conditionalFormatting sqref="BF72:BF81 BF21:BF46">
    <cfRule type="expression" dxfId="4113" priority="4252" stopIfTrue="1">
      <formula>IF(BG$8="判定対象外",TRUE,FALSE)</formula>
    </cfRule>
  </conditionalFormatting>
  <conditionalFormatting sqref="BF29:BF32">
    <cfRule type="expression" dxfId="4112" priority="4251" stopIfTrue="1">
      <formula>IF(BG$8="判定対象外",TRUE,FALSE)</formula>
    </cfRule>
  </conditionalFormatting>
  <conditionalFormatting sqref="BF42:BF44">
    <cfRule type="expression" dxfId="4111" priority="4250" stopIfTrue="1">
      <formula>IF(BG$8="判定対象外",TRUE,FALSE)</formula>
    </cfRule>
  </conditionalFormatting>
  <conditionalFormatting sqref="BF46">
    <cfRule type="expression" dxfId="4110" priority="4249" stopIfTrue="1">
      <formula>IF(BG$8="判定対象外",TRUE,FALSE)</formula>
    </cfRule>
  </conditionalFormatting>
  <conditionalFormatting sqref="BF42:BF44">
    <cfRule type="expression" dxfId="4109" priority="4248" stopIfTrue="1">
      <formula>IF(BG$8="判定対象外",TRUE,FALSE)</formula>
    </cfRule>
  </conditionalFormatting>
  <conditionalFormatting sqref="BF42:BF44">
    <cfRule type="expression" dxfId="4108" priority="4247" stopIfTrue="1">
      <formula>IF(BG$8="判定対象外",TRUE,FALSE)</formula>
    </cfRule>
  </conditionalFormatting>
  <conditionalFormatting sqref="BF42:BF44">
    <cfRule type="expression" dxfId="4107" priority="4246" stopIfTrue="1">
      <formula>IF(BG$8="判定対象外",TRUE,FALSE)</formula>
    </cfRule>
  </conditionalFormatting>
  <conditionalFormatting sqref="BF42:BF44">
    <cfRule type="expression" dxfId="4106" priority="4245" stopIfTrue="1">
      <formula>IF(BG$8="判定対象外",TRUE,FALSE)</formula>
    </cfRule>
  </conditionalFormatting>
  <conditionalFormatting sqref="BF42:BF44">
    <cfRule type="expression" dxfId="4105" priority="4244" stopIfTrue="1">
      <formula>IF(BG$8="判定対象外",TRUE,FALSE)</formula>
    </cfRule>
  </conditionalFormatting>
  <conditionalFormatting sqref="BF42:BF44">
    <cfRule type="expression" dxfId="4104" priority="4243" stopIfTrue="1">
      <formula>IF(BG$8="判定対象外",TRUE,FALSE)</formula>
    </cfRule>
  </conditionalFormatting>
  <conditionalFormatting sqref="BF42:BF44">
    <cfRule type="expression" dxfId="4103" priority="4242" stopIfTrue="1">
      <formula>IF(BG$8="判定対象外",TRUE,FALSE)</formula>
    </cfRule>
  </conditionalFormatting>
  <conditionalFormatting sqref="BF38">
    <cfRule type="expression" dxfId="4102" priority="4256" stopIfTrue="1">
      <formula>IF(#REF!="判定対象外",TRUE,FALSE)</formula>
    </cfRule>
  </conditionalFormatting>
  <conditionalFormatting sqref="BG11:BG56 BG71:BG81">
    <cfRule type="expression" dxfId="4101" priority="4241" stopIfTrue="1">
      <formula>IF(BG$8="判定対象外",TRUE,FALSE)</formula>
    </cfRule>
  </conditionalFormatting>
  <conditionalFormatting sqref="BF48">
    <cfRule type="expression" dxfId="4100" priority="4240" stopIfTrue="1">
      <formula>IF(BG$8="判定対象外",TRUE,FALSE)</formula>
    </cfRule>
  </conditionalFormatting>
  <conditionalFormatting sqref="BF51">
    <cfRule type="expression" dxfId="4099" priority="4239" stopIfTrue="1">
      <formula>IF(BG$8="判定対象外",TRUE,FALSE)</formula>
    </cfRule>
  </conditionalFormatting>
  <conditionalFormatting sqref="BF52 BF55 BF61 BF64 BF67 BF70">
    <cfRule type="expression" dxfId="4098" priority="4238" stopIfTrue="1">
      <formula>IF(BG$8="判定対象外",TRUE,FALSE)</formula>
    </cfRule>
  </conditionalFormatting>
  <conditionalFormatting sqref="BF11:BF20">
    <cfRule type="expression" dxfId="4097" priority="4237" stopIfTrue="1">
      <formula>IF(BG$8="判定対象外",TRUE,FALSE)</formula>
    </cfRule>
  </conditionalFormatting>
  <conditionalFormatting sqref="BF16:BF18">
    <cfRule type="expression" dxfId="4096" priority="4236" stopIfTrue="1">
      <formula>IF(BG$8="判定対象外",TRUE,FALSE)</formula>
    </cfRule>
  </conditionalFormatting>
  <conditionalFormatting sqref="BF20">
    <cfRule type="expression" dxfId="4095" priority="4235" stopIfTrue="1">
      <formula>IF(BG$8="判定対象外",TRUE,FALSE)</formula>
    </cfRule>
  </conditionalFormatting>
  <conditionalFormatting sqref="BF16:BF20">
    <cfRule type="expression" dxfId="4094" priority="4234" stopIfTrue="1">
      <formula>IF(BG$8="判定対象外",TRUE,FALSE)</formula>
    </cfRule>
  </conditionalFormatting>
  <conditionalFormatting sqref="BF11:BF20">
    <cfRule type="expression" dxfId="4093" priority="4233" stopIfTrue="1">
      <formula>IF(BG$8="判定対象外",TRUE,FALSE)</formula>
    </cfRule>
  </conditionalFormatting>
  <conditionalFormatting sqref="BF16:BF18">
    <cfRule type="expression" dxfId="4092" priority="4232" stopIfTrue="1">
      <formula>IF(BG$8="判定対象外",TRUE,FALSE)</formula>
    </cfRule>
  </conditionalFormatting>
  <conditionalFormatting sqref="BF20">
    <cfRule type="expression" dxfId="4091" priority="4231" stopIfTrue="1">
      <formula>IF(BG$8="判定対象外",TRUE,FALSE)</formula>
    </cfRule>
  </conditionalFormatting>
  <conditionalFormatting sqref="BF16:BF20">
    <cfRule type="expression" dxfId="4090" priority="4230" stopIfTrue="1">
      <formula>IF(BG$8="判定対象外",TRUE,FALSE)</formula>
    </cfRule>
  </conditionalFormatting>
  <conditionalFormatting sqref="BF11:BF20">
    <cfRule type="expression" dxfId="4089" priority="4229" stopIfTrue="1">
      <formula>IF(BG$8="判定対象外",TRUE,FALSE)</formula>
    </cfRule>
  </conditionalFormatting>
  <conditionalFormatting sqref="BF16:BF18">
    <cfRule type="expression" dxfId="4088" priority="4228" stopIfTrue="1">
      <formula>IF(BG$8="判定対象外",TRUE,FALSE)</formula>
    </cfRule>
  </conditionalFormatting>
  <conditionalFormatting sqref="BF20">
    <cfRule type="expression" dxfId="4087" priority="4227" stopIfTrue="1">
      <formula>IF(BG$8="判定対象外",TRUE,FALSE)</formula>
    </cfRule>
  </conditionalFormatting>
  <conditionalFormatting sqref="BF16:BF20">
    <cfRule type="expression" dxfId="4086" priority="4226" stopIfTrue="1">
      <formula>IF(BG$8="判定対象外",TRUE,FALSE)</formula>
    </cfRule>
  </conditionalFormatting>
  <conditionalFormatting sqref="BF11:BF13">
    <cfRule type="expression" dxfId="4085" priority="4225" stopIfTrue="1">
      <formula>IF(BG$8="判定対象外",TRUE,FALSE)</formula>
    </cfRule>
  </conditionalFormatting>
  <conditionalFormatting sqref="BF15">
    <cfRule type="expression" dxfId="4084" priority="4224" stopIfTrue="1">
      <formula>IF(BG$8="判定対象外",TRUE,FALSE)</formula>
    </cfRule>
  </conditionalFormatting>
  <conditionalFormatting sqref="BF19">
    <cfRule type="expression" dxfId="4083" priority="4223" stopIfTrue="1">
      <formula>IF(BG$8="判定対象外",TRUE,FALSE)</formula>
    </cfRule>
  </conditionalFormatting>
  <conditionalFormatting sqref="BF19">
    <cfRule type="expression" dxfId="4082" priority="4222" stopIfTrue="1">
      <formula>IF(BG$8="判定対象外",TRUE,FALSE)</formula>
    </cfRule>
  </conditionalFormatting>
  <conditionalFormatting sqref="BF20">
    <cfRule type="expression" dxfId="4081" priority="4221" stopIfTrue="1">
      <formula>IF(BG$8="判定対象外",TRUE,FALSE)</formula>
    </cfRule>
  </conditionalFormatting>
  <conditionalFormatting sqref="BF20">
    <cfRule type="expression" dxfId="4080" priority="4220" stopIfTrue="1">
      <formula>IF(BG$8="判定対象外",TRUE,FALSE)</formula>
    </cfRule>
  </conditionalFormatting>
  <conditionalFormatting sqref="BF20">
    <cfRule type="expression" dxfId="4079" priority="4219" stopIfTrue="1">
      <formula>IF(BG$8="判定対象外",TRUE,FALSE)</formula>
    </cfRule>
  </conditionalFormatting>
  <conditionalFormatting sqref="BF13">
    <cfRule type="expression" dxfId="4078" priority="4218" stopIfTrue="1">
      <formula>IF(BG$8="判定対象外",TRUE,FALSE)</formula>
    </cfRule>
  </conditionalFormatting>
  <conditionalFormatting sqref="BF47">
    <cfRule type="expression" dxfId="4077" priority="4217" stopIfTrue="1">
      <formula>IF(BG$8="判定対象外",TRUE,FALSE)</formula>
    </cfRule>
  </conditionalFormatting>
  <conditionalFormatting sqref="BF47">
    <cfRule type="expression" dxfId="4076" priority="4216" stopIfTrue="1">
      <formula>IF(BG$8="判定対象外",TRUE,FALSE)</formula>
    </cfRule>
  </conditionalFormatting>
  <conditionalFormatting sqref="BF49">
    <cfRule type="expression" dxfId="4075" priority="4215" stopIfTrue="1">
      <formula>IF(BG$8="判定対象外",TRUE,FALSE)</formula>
    </cfRule>
  </conditionalFormatting>
  <conditionalFormatting sqref="BF49">
    <cfRule type="expression" dxfId="4074" priority="4214" stopIfTrue="1">
      <formula>IF(BG$8="判定対象外",TRUE,FALSE)</formula>
    </cfRule>
  </conditionalFormatting>
  <conditionalFormatting sqref="BF50">
    <cfRule type="expression" dxfId="4073" priority="4213" stopIfTrue="1">
      <formula>IF(BG$8="判定対象外",TRUE,FALSE)</formula>
    </cfRule>
  </conditionalFormatting>
  <conditionalFormatting sqref="BF50">
    <cfRule type="expression" dxfId="4072" priority="4212" stopIfTrue="1">
      <formula>IF(BG$8="判定対象外",TRUE,FALSE)</formula>
    </cfRule>
  </conditionalFormatting>
  <conditionalFormatting sqref="BF53 BF56 BF62 BF65 BF68 BF71">
    <cfRule type="expression" dxfId="4071" priority="4211" stopIfTrue="1">
      <formula>IF(BG$8="判定対象外",TRUE,FALSE)</formula>
    </cfRule>
  </conditionalFormatting>
  <conditionalFormatting sqref="BF54 BF57 BF63 BF66 BF69">
    <cfRule type="expression" dxfId="4070" priority="4210" stopIfTrue="1">
      <formula>IF(BG$8="判定対象外",TRUE,FALSE)</formula>
    </cfRule>
  </conditionalFormatting>
  <conditionalFormatting sqref="BI57">
    <cfRule type="expression" dxfId="4069" priority="4208" stopIfTrue="1">
      <formula>IF(BI57="-",TRUE,FALSE)</formula>
    </cfRule>
    <cfRule type="expression" dxfId="4068" priority="4209" stopIfTrue="1">
      <formula>IF(OR(BI57="OK"),FALSE,TRUE)</formula>
    </cfRule>
  </conditionalFormatting>
  <conditionalFormatting sqref="BH57">
    <cfRule type="expression" dxfId="4067" priority="4207" stopIfTrue="1">
      <formula>IF(BG$8="判定対象外",TRUE,FALSE)</formula>
    </cfRule>
  </conditionalFormatting>
  <conditionalFormatting sqref="BG57">
    <cfRule type="expression" dxfId="4066" priority="4206" stopIfTrue="1">
      <formula>IF(BG$8="判定対象外",TRUE,FALSE)</formula>
    </cfRule>
  </conditionalFormatting>
  <conditionalFormatting sqref="BI61:BI64">
    <cfRule type="expression" dxfId="4065" priority="4204" stopIfTrue="1">
      <formula>IF(BI61="-",TRUE,FALSE)</formula>
    </cfRule>
    <cfRule type="expression" dxfId="4064" priority="4205" stopIfTrue="1">
      <formula>IF(OR(BI61="OK"),FALSE,TRUE)</formula>
    </cfRule>
  </conditionalFormatting>
  <conditionalFormatting sqref="BH61:BH64">
    <cfRule type="expression" dxfId="4063" priority="4203" stopIfTrue="1">
      <formula>IF(BG$8="判定対象外",TRUE,FALSE)</formula>
    </cfRule>
  </conditionalFormatting>
  <conditionalFormatting sqref="BG61:BG64">
    <cfRule type="expression" dxfId="4062" priority="4202" stopIfTrue="1">
      <formula>IF(BG$8="判定対象外",TRUE,FALSE)</formula>
    </cfRule>
  </conditionalFormatting>
  <conditionalFormatting sqref="BI65:BI70">
    <cfRule type="expression" dxfId="4061" priority="4200" stopIfTrue="1">
      <formula>IF(BI65="-",TRUE,FALSE)</formula>
    </cfRule>
    <cfRule type="expression" dxfId="4060" priority="4201" stopIfTrue="1">
      <formula>IF(OR(BI65="OK"),FALSE,TRUE)</formula>
    </cfRule>
  </conditionalFormatting>
  <conditionalFormatting sqref="BH65:BH70">
    <cfRule type="expression" dxfId="4059" priority="4199" stopIfTrue="1">
      <formula>IF(BG$8="判定対象外",TRUE,FALSE)</formula>
    </cfRule>
  </conditionalFormatting>
  <conditionalFormatting sqref="BG65:BG70">
    <cfRule type="expression" dxfId="4058" priority="4198" stopIfTrue="1">
      <formula>IF(BG$8="判定対象外",TRUE,FALSE)</formula>
    </cfRule>
  </conditionalFormatting>
  <conditionalFormatting sqref="BJ29:BJ32">
    <cfRule type="expression" dxfId="4057" priority="4187" stopIfTrue="1">
      <formula>IF(BK$8="判定対象外",TRUE,FALSE)</formula>
    </cfRule>
  </conditionalFormatting>
  <conditionalFormatting sqref="BM8:BM10">
    <cfRule type="expression" dxfId="4056" priority="4196" stopIfTrue="1">
      <formula>IF(BM8="-",TRUE,FALSE)</formula>
    </cfRule>
    <cfRule type="expression" dxfId="4055" priority="4197" stopIfTrue="1">
      <formula>IF(OR(BM8="OK"),FALSE,TRUE)</formula>
    </cfRule>
  </conditionalFormatting>
  <conditionalFormatting sqref="BJ8:BJ10">
    <cfRule type="expression" dxfId="4054" priority="4195" stopIfTrue="1">
      <formula>IF(BK$8="判定対象外",TRUE,FALSE)</formula>
    </cfRule>
  </conditionalFormatting>
  <conditionalFormatting sqref="BK8:BK10">
    <cfRule type="expression" dxfId="4053" priority="4194" stopIfTrue="1">
      <formula>IF(BK$8="判定対象外",TRUE,FALSE)</formula>
    </cfRule>
  </conditionalFormatting>
  <conditionalFormatting sqref="BL8:BL10">
    <cfRule type="expression" dxfId="4052" priority="4193" stopIfTrue="1">
      <formula>IF(BK$8="判定対象外",TRUE,FALSE)</formula>
    </cfRule>
  </conditionalFormatting>
  <conditionalFormatting sqref="BM11:BM56 BM71:BM81">
    <cfRule type="expression" dxfId="4051" priority="4190" stopIfTrue="1">
      <formula>IF(BM11="-",TRUE,FALSE)</formula>
    </cfRule>
    <cfRule type="expression" dxfId="4050" priority="4191" stopIfTrue="1">
      <formula>IF(OR(BM11="OK"),FALSE,TRUE)</formula>
    </cfRule>
  </conditionalFormatting>
  <conditionalFormatting sqref="BL11:BL56 BL71:BL81">
    <cfRule type="expression" dxfId="4049" priority="4189" stopIfTrue="1">
      <formula>IF(BK$8="判定対象外",TRUE,FALSE)</formula>
    </cfRule>
  </conditionalFormatting>
  <conditionalFormatting sqref="BJ72:BJ81 BJ21:BJ46">
    <cfRule type="expression" dxfId="4048" priority="4188" stopIfTrue="1">
      <formula>IF(BK$8="判定対象外",TRUE,FALSE)</formula>
    </cfRule>
  </conditionalFormatting>
  <conditionalFormatting sqref="BJ42:BJ44">
    <cfRule type="expression" dxfId="4047" priority="4186" stopIfTrue="1">
      <formula>IF(BK$8="判定対象外",TRUE,FALSE)</formula>
    </cfRule>
  </conditionalFormatting>
  <conditionalFormatting sqref="BJ46">
    <cfRule type="expression" dxfId="4046" priority="4185" stopIfTrue="1">
      <formula>IF(BK$8="判定対象外",TRUE,FALSE)</formula>
    </cfRule>
  </conditionalFormatting>
  <conditionalFormatting sqref="BJ42:BJ44">
    <cfRule type="expression" dxfId="4045" priority="4184" stopIfTrue="1">
      <formula>IF(BK$8="判定対象外",TRUE,FALSE)</formula>
    </cfRule>
  </conditionalFormatting>
  <conditionalFormatting sqref="BJ42:BJ44">
    <cfRule type="expression" dxfId="4044" priority="4183" stopIfTrue="1">
      <formula>IF(BK$8="判定対象外",TRUE,FALSE)</formula>
    </cfRule>
  </conditionalFormatting>
  <conditionalFormatting sqref="BJ42:BJ44">
    <cfRule type="expression" dxfId="4043" priority="4182" stopIfTrue="1">
      <formula>IF(BK$8="判定対象外",TRUE,FALSE)</formula>
    </cfRule>
  </conditionalFormatting>
  <conditionalFormatting sqref="BJ42:BJ44">
    <cfRule type="expression" dxfId="4042" priority="4181" stopIfTrue="1">
      <formula>IF(BK$8="判定対象外",TRUE,FALSE)</formula>
    </cfRule>
  </conditionalFormatting>
  <conditionalFormatting sqref="BJ42:BJ44">
    <cfRule type="expression" dxfId="4041" priority="4180" stopIfTrue="1">
      <formula>IF(BK$8="判定対象外",TRUE,FALSE)</formula>
    </cfRule>
  </conditionalFormatting>
  <conditionalFormatting sqref="BJ42:BJ44">
    <cfRule type="expression" dxfId="4040" priority="4179" stopIfTrue="1">
      <formula>IF(BK$8="判定対象外",TRUE,FALSE)</formula>
    </cfRule>
  </conditionalFormatting>
  <conditionalFormatting sqref="BJ42:BJ44">
    <cfRule type="expression" dxfId="4039" priority="4178" stopIfTrue="1">
      <formula>IF(BK$8="判定対象外",TRUE,FALSE)</formula>
    </cfRule>
  </conditionalFormatting>
  <conditionalFormatting sqref="BJ38">
    <cfRule type="expression" dxfId="4038" priority="4192" stopIfTrue="1">
      <formula>IF(#REF!="判定対象外",TRUE,FALSE)</formula>
    </cfRule>
  </conditionalFormatting>
  <conditionalFormatting sqref="BK11:BK56 BK71:BK81">
    <cfRule type="expression" dxfId="4037" priority="4177" stopIfTrue="1">
      <formula>IF(BK$8="判定対象外",TRUE,FALSE)</formula>
    </cfRule>
  </conditionalFormatting>
  <conditionalFormatting sqref="BJ48">
    <cfRule type="expression" dxfId="4036" priority="4176" stopIfTrue="1">
      <formula>IF(BK$8="判定対象外",TRUE,FALSE)</formula>
    </cfRule>
  </conditionalFormatting>
  <conditionalFormatting sqref="BJ51">
    <cfRule type="expression" dxfId="4035" priority="4175" stopIfTrue="1">
      <formula>IF(BK$8="判定対象外",TRUE,FALSE)</formula>
    </cfRule>
  </conditionalFormatting>
  <conditionalFormatting sqref="BJ52 BJ55 BJ61 BJ64 BJ67 BJ70">
    <cfRule type="expression" dxfId="4034" priority="4174" stopIfTrue="1">
      <formula>IF(BK$8="判定対象外",TRUE,FALSE)</formula>
    </cfRule>
  </conditionalFormatting>
  <conditionalFormatting sqref="BJ11:BJ20">
    <cfRule type="expression" dxfId="4033" priority="4173" stopIfTrue="1">
      <formula>IF(BK$8="判定対象外",TRUE,FALSE)</formula>
    </cfRule>
  </conditionalFormatting>
  <conditionalFormatting sqref="BJ16:BJ18">
    <cfRule type="expression" dxfId="4032" priority="4172" stopIfTrue="1">
      <formula>IF(BK$8="判定対象外",TRUE,FALSE)</formula>
    </cfRule>
  </conditionalFormatting>
  <conditionalFormatting sqref="BJ20">
    <cfRule type="expression" dxfId="4031" priority="4171" stopIfTrue="1">
      <formula>IF(BK$8="判定対象外",TRUE,FALSE)</formula>
    </cfRule>
  </conditionalFormatting>
  <conditionalFormatting sqref="BJ16:BJ20">
    <cfRule type="expression" dxfId="4030" priority="4170" stopIfTrue="1">
      <formula>IF(BK$8="判定対象外",TRUE,FALSE)</formula>
    </cfRule>
  </conditionalFormatting>
  <conditionalFormatting sqref="BJ11:BJ20">
    <cfRule type="expression" dxfId="4029" priority="4169" stopIfTrue="1">
      <formula>IF(BK$8="判定対象外",TRUE,FALSE)</formula>
    </cfRule>
  </conditionalFormatting>
  <conditionalFormatting sqref="BV19">
    <cfRule type="expression" dxfId="4028" priority="3921" stopIfTrue="1">
      <formula>IF(BW$8="判定対象外",TRUE,FALSE)</formula>
    </cfRule>
  </conditionalFormatting>
  <conditionalFormatting sqref="BJ20">
    <cfRule type="expression" dxfId="4027" priority="4167" stopIfTrue="1">
      <formula>IF(BK$8="判定対象外",TRUE,FALSE)</formula>
    </cfRule>
  </conditionalFormatting>
  <conditionalFormatting sqref="BJ16:BJ20">
    <cfRule type="expression" dxfId="4026" priority="4166" stopIfTrue="1">
      <formula>IF(BK$8="判定対象外",TRUE,FALSE)</formula>
    </cfRule>
  </conditionalFormatting>
  <conditionalFormatting sqref="BJ11:BJ20">
    <cfRule type="expression" dxfId="4025" priority="4165" stopIfTrue="1">
      <formula>IF(BK$8="判定対象外",TRUE,FALSE)</formula>
    </cfRule>
  </conditionalFormatting>
  <conditionalFormatting sqref="BJ16:BJ18">
    <cfRule type="expression" dxfId="4024" priority="4164" stopIfTrue="1">
      <formula>IF(BK$8="判定対象外",TRUE,FALSE)</formula>
    </cfRule>
  </conditionalFormatting>
  <conditionalFormatting sqref="BJ20">
    <cfRule type="expression" dxfId="4023" priority="4163" stopIfTrue="1">
      <formula>IF(BK$8="判定対象外",TRUE,FALSE)</formula>
    </cfRule>
  </conditionalFormatting>
  <conditionalFormatting sqref="BJ16:BJ20">
    <cfRule type="expression" dxfId="4022" priority="4162" stopIfTrue="1">
      <formula>IF(BK$8="判定対象外",TRUE,FALSE)</formula>
    </cfRule>
  </conditionalFormatting>
  <conditionalFormatting sqref="BJ11:BJ13">
    <cfRule type="expression" dxfId="4021" priority="4161" stopIfTrue="1">
      <formula>IF(BK$8="判定対象外",TRUE,FALSE)</formula>
    </cfRule>
  </conditionalFormatting>
  <conditionalFormatting sqref="BJ15">
    <cfRule type="expression" dxfId="4020" priority="4160" stopIfTrue="1">
      <formula>IF(BK$8="判定対象外",TRUE,FALSE)</formula>
    </cfRule>
  </conditionalFormatting>
  <conditionalFormatting sqref="BJ19">
    <cfRule type="expression" dxfId="4019" priority="4159" stopIfTrue="1">
      <formula>IF(BK$8="判定対象外",TRUE,FALSE)</formula>
    </cfRule>
  </conditionalFormatting>
  <conditionalFormatting sqref="BJ19">
    <cfRule type="expression" dxfId="4018" priority="4158" stopIfTrue="1">
      <formula>IF(BK$8="判定対象外",TRUE,FALSE)</formula>
    </cfRule>
  </conditionalFormatting>
  <conditionalFormatting sqref="BJ20">
    <cfRule type="expression" dxfId="4017" priority="4157" stopIfTrue="1">
      <formula>IF(BK$8="判定対象外",TRUE,FALSE)</formula>
    </cfRule>
  </conditionalFormatting>
  <conditionalFormatting sqref="BJ20">
    <cfRule type="expression" dxfId="4016" priority="4156" stopIfTrue="1">
      <formula>IF(BK$8="判定対象外",TRUE,FALSE)</formula>
    </cfRule>
  </conditionalFormatting>
  <conditionalFormatting sqref="BJ20">
    <cfRule type="expression" dxfId="4015" priority="4155" stopIfTrue="1">
      <formula>IF(BK$8="判定対象外",TRUE,FALSE)</formula>
    </cfRule>
  </conditionalFormatting>
  <conditionalFormatting sqref="BJ13">
    <cfRule type="expression" dxfId="4014" priority="4154" stopIfTrue="1">
      <formula>IF(BK$8="判定対象外",TRUE,FALSE)</formula>
    </cfRule>
  </conditionalFormatting>
  <conditionalFormatting sqref="BJ47">
    <cfRule type="expression" dxfId="4013" priority="4153" stopIfTrue="1">
      <formula>IF(BK$8="判定対象外",TRUE,FALSE)</formula>
    </cfRule>
  </conditionalFormatting>
  <conditionalFormatting sqref="BJ47">
    <cfRule type="expression" dxfId="4012" priority="4152" stopIfTrue="1">
      <formula>IF(BK$8="判定対象外",TRUE,FALSE)</formula>
    </cfRule>
  </conditionalFormatting>
  <conditionalFormatting sqref="BJ49">
    <cfRule type="expression" dxfId="4011" priority="4151" stopIfTrue="1">
      <formula>IF(BK$8="判定対象外",TRUE,FALSE)</formula>
    </cfRule>
  </conditionalFormatting>
  <conditionalFormatting sqref="BJ49">
    <cfRule type="expression" dxfId="4010" priority="4150" stopIfTrue="1">
      <formula>IF(BK$8="判定対象外",TRUE,FALSE)</formula>
    </cfRule>
  </conditionalFormatting>
  <conditionalFormatting sqref="BJ50">
    <cfRule type="expression" dxfId="4009" priority="4149" stopIfTrue="1">
      <formula>IF(BK$8="判定対象外",TRUE,FALSE)</formula>
    </cfRule>
  </conditionalFormatting>
  <conditionalFormatting sqref="BJ50">
    <cfRule type="expression" dxfId="4008" priority="4148" stopIfTrue="1">
      <formula>IF(BK$8="判定対象外",TRUE,FALSE)</formula>
    </cfRule>
  </conditionalFormatting>
  <conditionalFormatting sqref="BJ53 BJ56 BJ62 BJ65 BJ68 BJ71">
    <cfRule type="expression" dxfId="4007" priority="4147" stopIfTrue="1">
      <formula>IF(BK$8="判定対象外",TRUE,FALSE)</formula>
    </cfRule>
  </conditionalFormatting>
  <conditionalFormatting sqref="BJ54 BJ57 BJ63 BJ66 BJ69">
    <cfRule type="expression" dxfId="4006" priority="4146" stopIfTrue="1">
      <formula>IF(BK$8="判定対象外",TRUE,FALSE)</formula>
    </cfRule>
  </conditionalFormatting>
  <conditionalFormatting sqref="BM57">
    <cfRule type="expression" dxfId="4005" priority="4144" stopIfTrue="1">
      <formula>IF(BM57="-",TRUE,FALSE)</formula>
    </cfRule>
    <cfRule type="expression" dxfId="4004" priority="4145" stopIfTrue="1">
      <formula>IF(OR(BM57="OK"),FALSE,TRUE)</formula>
    </cfRule>
  </conditionalFormatting>
  <conditionalFormatting sqref="BL57">
    <cfRule type="expression" dxfId="4003" priority="4143" stopIfTrue="1">
      <formula>IF(BK$8="判定対象外",TRUE,FALSE)</formula>
    </cfRule>
  </conditionalFormatting>
  <conditionalFormatting sqref="BK57">
    <cfRule type="expression" dxfId="4002" priority="4142" stopIfTrue="1">
      <formula>IF(BK$8="判定対象外",TRUE,FALSE)</formula>
    </cfRule>
  </conditionalFormatting>
  <conditionalFormatting sqref="BM58:BM64">
    <cfRule type="expression" dxfId="4001" priority="4140" stopIfTrue="1">
      <formula>IF(BM58="-",TRUE,FALSE)</formula>
    </cfRule>
    <cfRule type="expression" dxfId="4000" priority="4141" stopIfTrue="1">
      <formula>IF(OR(BM58="OK"),FALSE,TRUE)</formula>
    </cfRule>
  </conditionalFormatting>
  <conditionalFormatting sqref="BL58:BL64">
    <cfRule type="expression" dxfId="3999" priority="4139" stopIfTrue="1">
      <formula>IF(BK$8="判定対象外",TRUE,FALSE)</formula>
    </cfRule>
  </conditionalFormatting>
  <conditionalFormatting sqref="BK58:BK64">
    <cfRule type="expression" dxfId="3998" priority="4138" stopIfTrue="1">
      <formula>IF(BK$8="判定対象外",TRUE,FALSE)</formula>
    </cfRule>
  </conditionalFormatting>
  <conditionalFormatting sqref="BM65:BM70">
    <cfRule type="expression" dxfId="3997" priority="4136" stopIfTrue="1">
      <formula>IF(BM65="-",TRUE,FALSE)</formula>
    </cfRule>
    <cfRule type="expression" dxfId="3996" priority="4137" stopIfTrue="1">
      <formula>IF(OR(BM65="OK"),FALSE,TRUE)</formula>
    </cfRule>
  </conditionalFormatting>
  <conditionalFormatting sqref="BL65:BL70">
    <cfRule type="expression" dxfId="3995" priority="4135" stopIfTrue="1">
      <formula>IF(BK$8="判定対象外",TRUE,FALSE)</formula>
    </cfRule>
  </conditionalFormatting>
  <conditionalFormatting sqref="BK65:BK70">
    <cfRule type="expression" dxfId="3994" priority="4134" stopIfTrue="1">
      <formula>IF(BK$8="判定対象外",TRUE,FALSE)</formula>
    </cfRule>
  </conditionalFormatting>
  <conditionalFormatting sqref="BJ58">
    <cfRule type="expression" dxfId="3993" priority="4111" stopIfTrue="1">
      <formula>IF(BK$8="判定対象外",TRUE,FALSE)</formula>
    </cfRule>
  </conditionalFormatting>
  <conditionalFormatting sqref="BV59">
    <cfRule type="expression" dxfId="3992" priority="3864" stopIfTrue="1">
      <formula>IF(BW$8="判定対象外",TRUE,FALSE)</formula>
    </cfRule>
  </conditionalFormatting>
  <conditionalFormatting sqref="BB58">
    <cfRule type="expression" dxfId="3991" priority="4121" stopIfTrue="1">
      <formula>IF(BC$8="判定対象外",TRUE,FALSE)</formula>
    </cfRule>
  </conditionalFormatting>
  <conditionalFormatting sqref="BE58">
    <cfRule type="expression" dxfId="3990" priority="4119" stopIfTrue="1">
      <formula>IF(BE58="-",TRUE,FALSE)</formula>
    </cfRule>
    <cfRule type="expression" dxfId="3989" priority="4120" stopIfTrue="1">
      <formula>IF(OR(BE58="OK"),FALSE,TRUE)</formula>
    </cfRule>
  </conditionalFormatting>
  <conditionalFormatting sqref="BD58">
    <cfRule type="expression" dxfId="3988" priority="4118" stopIfTrue="1">
      <formula>IF(BC$8="判定対象外",TRUE,FALSE)</formula>
    </cfRule>
  </conditionalFormatting>
  <conditionalFormatting sqref="BC58">
    <cfRule type="expression" dxfId="3987" priority="4117" stopIfTrue="1">
      <formula>IF(BC$8="判定対象外",TRUE,FALSE)</formula>
    </cfRule>
  </conditionalFormatting>
  <conditionalFormatting sqref="FM68">
    <cfRule type="expression" dxfId="3986" priority="1511" stopIfTrue="1">
      <formula>IF(FM68="-",TRUE,FALSE)</formula>
    </cfRule>
    <cfRule type="expression" dxfId="3985" priority="1512" stopIfTrue="1">
      <formula>IF(OR(FM68="OK"),FALSE,TRUE)</formula>
    </cfRule>
  </conditionalFormatting>
  <conditionalFormatting sqref="FL68">
    <cfRule type="expression" dxfId="3984" priority="1510" stopIfTrue="1">
      <formula>IF(FK$8="判定対象外",TRUE,FALSE)</formula>
    </cfRule>
  </conditionalFormatting>
  <conditionalFormatting sqref="FK68">
    <cfRule type="expression" dxfId="3983" priority="1509" stopIfTrue="1">
      <formula>IF(FK$8="判定対象外",TRUE,FALSE)</formula>
    </cfRule>
  </conditionalFormatting>
  <conditionalFormatting sqref="FJ68">
    <cfRule type="expression" dxfId="3982" priority="1508" stopIfTrue="1">
      <formula>IF(FK$8="判定対象外",TRUE,FALSE)</formula>
    </cfRule>
  </conditionalFormatting>
  <conditionalFormatting sqref="BN59">
    <cfRule type="expression" dxfId="3981" priority="3874" stopIfTrue="1">
      <formula>IF(BO$8="判定対象外",TRUE,FALSE)</formula>
    </cfRule>
  </conditionalFormatting>
  <conditionalFormatting sqref="BQ59">
    <cfRule type="expression" dxfId="3980" priority="3872" stopIfTrue="1">
      <formula>IF(BQ59="-",TRUE,FALSE)</formula>
    </cfRule>
    <cfRule type="expression" dxfId="3979" priority="3873" stopIfTrue="1">
      <formula>IF(OR(BQ59="OK"),FALSE,TRUE)</formula>
    </cfRule>
  </conditionalFormatting>
  <conditionalFormatting sqref="BP59">
    <cfRule type="expression" dxfId="3978" priority="3871" stopIfTrue="1">
      <formula>IF(BO$8="判定対象外",TRUE,FALSE)</formula>
    </cfRule>
  </conditionalFormatting>
  <conditionalFormatting sqref="BO59">
    <cfRule type="expression" dxfId="3977" priority="3870" stopIfTrue="1">
      <formula>IF(BO$8="判定対象外",TRUE,FALSE)</formula>
    </cfRule>
  </conditionalFormatting>
  <conditionalFormatting sqref="BF58">
    <cfRule type="expression" dxfId="3976" priority="4116" stopIfTrue="1">
      <formula>IF(BG$8="判定対象外",TRUE,FALSE)</formula>
    </cfRule>
  </conditionalFormatting>
  <conditionalFormatting sqref="BI58">
    <cfRule type="expression" dxfId="3975" priority="4114" stopIfTrue="1">
      <formula>IF(BI58="-",TRUE,FALSE)</formula>
    </cfRule>
    <cfRule type="expression" dxfId="3974" priority="4115" stopIfTrue="1">
      <formula>IF(OR(BI58="OK"),FALSE,TRUE)</formula>
    </cfRule>
  </conditionalFormatting>
  <conditionalFormatting sqref="BH58">
    <cfRule type="expression" dxfId="3973" priority="4113" stopIfTrue="1">
      <formula>IF(BG$8="判定対象外",TRUE,FALSE)</formula>
    </cfRule>
  </conditionalFormatting>
  <conditionalFormatting sqref="BG58">
    <cfRule type="expression" dxfId="3972" priority="4112" stopIfTrue="1">
      <formula>IF(BG$8="判定対象外",TRUE,FALSE)</formula>
    </cfRule>
  </conditionalFormatting>
  <conditionalFormatting sqref="CH60">
    <cfRule type="expression" dxfId="3971" priority="3606" stopIfTrue="1">
      <formula>IF(CI$8="判定対象外",TRUE,FALSE)</formula>
    </cfRule>
  </conditionalFormatting>
  <conditionalFormatting sqref="BV61">
    <cfRule type="expression" dxfId="3970" priority="3853" stopIfTrue="1">
      <formula>IF(BW$8="判定対象外",TRUE,FALSE)</formula>
    </cfRule>
  </conditionalFormatting>
  <conditionalFormatting sqref="BB60">
    <cfRule type="expression" dxfId="3969" priority="4110" stopIfTrue="1">
      <formula>IF(BC$8="判定対象外",TRUE,FALSE)</formula>
    </cfRule>
  </conditionalFormatting>
  <conditionalFormatting sqref="BE60">
    <cfRule type="expression" dxfId="3968" priority="4108" stopIfTrue="1">
      <formula>IF(BE60="-",TRUE,FALSE)</formula>
    </cfRule>
    <cfRule type="expression" dxfId="3967" priority="4109" stopIfTrue="1">
      <formula>IF(OR(BE60="OK"),FALSE,TRUE)</formula>
    </cfRule>
  </conditionalFormatting>
  <conditionalFormatting sqref="BD60">
    <cfRule type="expression" dxfId="3966" priority="4107" stopIfTrue="1">
      <formula>IF(BC$8="判定対象外",TRUE,FALSE)</formula>
    </cfRule>
  </conditionalFormatting>
  <conditionalFormatting sqref="BC60">
    <cfRule type="expression" dxfId="3965" priority="4106" stopIfTrue="1">
      <formula>IF(BC$8="判定対象外",TRUE,FALSE)</formula>
    </cfRule>
  </conditionalFormatting>
  <conditionalFormatting sqref="BI60">
    <cfRule type="expression" dxfId="3964" priority="4104" stopIfTrue="1">
      <formula>IF(BI60="-",TRUE,FALSE)</formula>
    </cfRule>
    <cfRule type="expression" dxfId="3963" priority="4105" stopIfTrue="1">
      <formula>IF(OR(BI60="OK"),FALSE,TRUE)</formula>
    </cfRule>
  </conditionalFormatting>
  <conditionalFormatting sqref="BH60">
    <cfRule type="expression" dxfId="3962" priority="4103" stopIfTrue="1">
      <formula>IF(BG$8="判定対象外",TRUE,FALSE)</formula>
    </cfRule>
  </conditionalFormatting>
  <conditionalFormatting sqref="BG60">
    <cfRule type="expression" dxfId="3961" priority="4102" stopIfTrue="1">
      <formula>IF(BG$8="判定対象外",TRUE,FALSE)</formula>
    </cfRule>
  </conditionalFormatting>
  <conditionalFormatting sqref="BB59">
    <cfRule type="expression" dxfId="3960" priority="4099" stopIfTrue="1">
      <formula>IF(BC$8="判定対象外",TRUE,FALSE)</formula>
    </cfRule>
  </conditionalFormatting>
  <conditionalFormatting sqref="BE59">
    <cfRule type="expression" dxfId="3959" priority="4097" stopIfTrue="1">
      <formula>IF(BE59="-",TRUE,FALSE)</formula>
    </cfRule>
    <cfRule type="expression" dxfId="3958" priority="4098" stopIfTrue="1">
      <formula>IF(OR(BE59="OK"),FALSE,TRUE)</formula>
    </cfRule>
  </conditionalFormatting>
  <conditionalFormatting sqref="BD59">
    <cfRule type="expression" dxfId="3957" priority="4096" stopIfTrue="1">
      <formula>IF(BC$8="判定対象外",TRUE,FALSE)</formula>
    </cfRule>
  </conditionalFormatting>
  <conditionalFormatting sqref="BC59">
    <cfRule type="expression" dxfId="3956" priority="4095" stopIfTrue="1">
      <formula>IF(BC$8="判定対象外",TRUE,FALSE)</formula>
    </cfRule>
  </conditionalFormatting>
  <conditionalFormatting sqref="BF59">
    <cfRule type="expression" dxfId="3955" priority="4094" stopIfTrue="1">
      <formula>IF(BG$8="判定対象外",TRUE,FALSE)</formula>
    </cfRule>
  </conditionalFormatting>
  <conditionalFormatting sqref="BI59">
    <cfRule type="expression" dxfId="3954" priority="4092" stopIfTrue="1">
      <formula>IF(BI59="-",TRUE,FALSE)</formula>
    </cfRule>
    <cfRule type="expression" dxfId="3953" priority="4093" stopIfTrue="1">
      <formula>IF(OR(BI59="OK"),FALSE,TRUE)</formula>
    </cfRule>
  </conditionalFormatting>
  <conditionalFormatting sqref="BH59">
    <cfRule type="expression" dxfId="3952" priority="4091" stopIfTrue="1">
      <formula>IF(BG$8="判定対象外",TRUE,FALSE)</formula>
    </cfRule>
  </conditionalFormatting>
  <conditionalFormatting sqref="BG59">
    <cfRule type="expression" dxfId="3951" priority="4090" stopIfTrue="1">
      <formula>IF(BG$8="判定対象外",TRUE,FALSE)</formula>
    </cfRule>
  </conditionalFormatting>
  <conditionalFormatting sqref="BJ59">
    <cfRule type="expression" dxfId="3950" priority="4089" stopIfTrue="1">
      <formula>IF(BK$8="判定対象外",TRUE,FALSE)</formula>
    </cfRule>
  </conditionalFormatting>
  <conditionalFormatting sqref="BV16:BV18">
    <cfRule type="expression" dxfId="3949" priority="3931" stopIfTrue="1">
      <formula>IF(BW$8="判定対象外",TRUE,FALSE)</formula>
    </cfRule>
  </conditionalFormatting>
  <conditionalFormatting sqref="CT61">
    <cfRule type="expression" dxfId="3948" priority="3337" stopIfTrue="1">
      <formula>IF(CU$8="判定対象外",TRUE,FALSE)</formula>
    </cfRule>
  </conditionalFormatting>
  <conditionalFormatting sqref="BQ8:BQ10">
    <cfRule type="expression" dxfId="3947" priority="4087" stopIfTrue="1">
      <formula>IF(BQ8="-",TRUE,FALSE)</formula>
    </cfRule>
    <cfRule type="expression" dxfId="3946" priority="4088" stopIfTrue="1">
      <formula>IF(OR(BQ8="OK"),FALSE,TRUE)</formula>
    </cfRule>
  </conditionalFormatting>
  <conditionalFormatting sqref="BN8:BN10">
    <cfRule type="expression" dxfId="3945" priority="4086" stopIfTrue="1">
      <formula>IF(BO$8="判定対象外",TRUE,FALSE)</formula>
    </cfRule>
  </conditionalFormatting>
  <conditionalFormatting sqref="BO8:BO10">
    <cfRule type="expression" dxfId="3944" priority="4085" stopIfTrue="1">
      <formula>IF(BO$8="判定対象外",TRUE,FALSE)</formula>
    </cfRule>
  </conditionalFormatting>
  <conditionalFormatting sqref="BP8:BP10">
    <cfRule type="expression" dxfId="3943" priority="4084" stopIfTrue="1">
      <formula>IF(BO$8="判定対象外",TRUE,FALSE)</formula>
    </cfRule>
  </conditionalFormatting>
  <conditionalFormatting sqref="BQ11:BQ34 BQ71:BQ81 BQ36:BQ56">
    <cfRule type="expression" dxfId="3942" priority="4081" stopIfTrue="1">
      <formula>IF(BQ11="-",TRUE,FALSE)</formula>
    </cfRule>
    <cfRule type="expression" dxfId="3941" priority="4082" stopIfTrue="1">
      <formula>IF(OR(BQ11="OK"),FALSE,TRUE)</formula>
    </cfRule>
  </conditionalFormatting>
  <conditionalFormatting sqref="BP11:BP34 BP71:BP81 BP36:BP56">
    <cfRule type="expression" dxfId="3940" priority="4080" stopIfTrue="1">
      <formula>IF(BO$8="判定対象外",TRUE,FALSE)</formula>
    </cfRule>
  </conditionalFormatting>
  <conditionalFormatting sqref="BN72:BN81 BN21:BN34 BN36:BN46">
    <cfRule type="expression" dxfId="3939" priority="4079" stopIfTrue="1">
      <formula>IF(BO$8="判定対象外",TRUE,FALSE)</formula>
    </cfRule>
  </conditionalFormatting>
  <conditionalFormatting sqref="BN29:BN32">
    <cfRule type="expression" dxfId="3938" priority="4078" stopIfTrue="1">
      <formula>IF(BO$8="判定対象外",TRUE,FALSE)</formula>
    </cfRule>
  </conditionalFormatting>
  <conditionalFormatting sqref="BN42:BN44">
    <cfRule type="expression" dxfId="3937" priority="4077" stopIfTrue="1">
      <formula>IF(BO$8="判定対象外",TRUE,FALSE)</formula>
    </cfRule>
  </conditionalFormatting>
  <conditionalFormatting sqref="BN46">
    <cfRule type="expression" dxfId="3936" priority="4076" stopIfTrue="1">
      <formula>IF(BO$8="判定対象外",TRUE,FALSE)</formula>
    </cfRule>
  </conditionalFormatting>
  <conditionalFormatting sqref="BN42:BN44">
    <cfRule type="expression" dxfId="3935" priority="4075" stopIfTrue="1">
      <formula>IF(BO$8="判定対象外",TRUE,FALSE)</formula>
    </cfRule>
  </conditionalFormatting>
  <conditionalFormatting sqref="BN42:BN44">
    <cfRule type="expression" dxfId="3934" priority="4074" stopIfTrue="1">
      <formula>IF(BO$8="判定対象外",TRUE,FALSE)</formula>
    </cfRule>
  </conditionalFormatting>
  <conditionalFormatting sqref="BN42:BN44">
    <cfRule type="expression" dxfId="3933" priority="4073" stopIfTrue="1">
      <formula>IF(BO$8="判定対象外",TRUE,FALSE)</formula>
    </cfRule>
  </conditionalFormatting>
  <conditionalFormatting sqref="BN42:BN44">
    <cfRule type="expression" dxfId="3932" priority="4072" stopIfTrue="1">
      <formula>IF(BO$8="判定対象外",TRUE,FALSE)</formula>
    </cfRule>
  </conditionalFormatting>
  <conditionalFormatting sqref="BN42:BN44">
    <cfRule type="expression" dxfId="3931" priority="4071" stopIfTrue="1">
      <formula>IF(BO$8="判定対象外",TRUE,FALSE)</formula>
    </cfRule>
  </conditionalFormatting>
  <conditionalFormatting sqref="BN42:BN44">
    <cfRule type="expression" dxfId="3930" priority="4070" stopIfTrue="1">
      <formula>IF(BO$8="判定対象外",TRUE,FALSE)</formula>
    </cfRule>
  </conditionalFormatting>
  <conditionalFormatting sqref="BN42:BN44">
    <cfRule type="expression" dxfId="3929" priority="4069" stopIfTrue="1">
      <formula>IF(BO$8="判定対象外",TRUE,FALSE)</formula>
    </cfRule>
  </conditionalFormatting>
  <conditionalFormatting sqref="BN38">
    <cfRule type="expression" dxfId="3928" priority="4083" stopIfTrue="1">
      <formula>IF(#REF!="判定対象外",TRUE,FALSE)</formula>
    </cfRule>
  </conditionalFormatting>
  <conditionalFormatting sqref="BO11:BO34 BO71:BO81 BO36:BO56">
    <cfRule type="expression" dxfId="3927" priority="4068" stopIfTrue="1">
      <formula>IF(BO$8="判定対象外",TRUE,FALSE)</formula>
    </cfRule>
  </conditionalFormatting>
  <conditionalFormatting sqref="BN48">
    <cfRule type="expression" dxfId="3926" priority="4067" stopIfTrue="1">
      <formula>IF(BO$8="判定対象外",TRUE,FALSE)</formula>
    </cfRule>
  </conditionalFormatting>
  <conditionalFormatting sqref="BN51">
    <cfRule type="expression" dxfId="3925" priority="4066" stopIfTrue="1">
      <formula>IF(BO$8="判定対象外",TRUE,FALSE)</formula>
    </cfRule>
  </conditionalFormatting>
  <conditionalFormatting sqref="BN52 BN55 BN64 BN67 BN70">
    <cfRule type="expression" dxfId="3924" priority="4065" stopIfTrue="1">
      <formula>IF(BO$8="判定対象外",TRUE,FALSE)</formula>
    </cfRule>
  </conditionalFormatting>
  <conditionalFormatting sqref="BN11:BN20">
    <cfRule type="expression" dxfId="3923" priority="4064" stopIfTrue="1">
      <formula>IF(BO$8="判定対象外",TRUE,FALSE)</formula>
    </cfRule>
  </conditionalFormatting>
  <conditionalFormatting sqref="BN16:BN18">
    <cfRule type="expression" dxfId="3922" priority="4063" stopIfTrue="1">
      <formula>IF(BO$8="判定対象外",TRUE,FALSE)</formula>
    </cfRule>
  </conditionalFormatting>
  <conditionalFormatting sqref="BN20">
    <cfRule type="expression" dxfId="3921" priority="4062" stopIfTrue="1">
      <formula>IF(BO$8="判定対象外",TRUE,FALSE)</formula>
    </cfRule>
  </conditionalFormatting>
  <conditionalFormatting sqref="BN16:BN20">
    <cfRule type="expression" dxfId="3920" priority="4061" stopIfTrue="1">
      <formula>IF(BO$8="判定対象外",TRUE,FALSE)</formula>
    </cfRule>
  </conditionalFormatting>
  <conditionalFormatting sqref="BN11:BN20">
    <cfRule type="expression" dxfId="3919" priority="4060" stopIfTrue="1">
      <formula>IF(BO$8="判定対象外",TRUE,FALSE)</formula>
    </cfRule>
  </conditionalFormatting>
  <conditionalFormatting sqref="BN16:BN18">
    <cfRule type="expression" dxfId="3918" priority="4059" stopIfTrue="1">
      <formula>IF(BO$8="判定対象外",TRUE,FALSE)</formula>
    </cfRule>
  </conditionalFormatting>
  <conditionalFormatting sqref="BN20">
    <cfRule type="expression" dxfId="3917" priority="4058" stopIfTrue="1">
      <formula>IF(BO$8="判定対象外",TRUE,FALSE)</formula>
    </cfRule>
  </conditionalFormatting>
  <conditionalFormatting sqref="BN16:BN20">
    <cfRule type="expression" dxfId="3916" priority="4057" stopIfTrue="1">
      <formula>IF(BO$8="判定対象外",TRUE,FALSE)</formula>
    </cfRule>
  </conditionalFormatting>
  <conditionalFormatting sqref="BN11:BN20">
    <cfRule type="expression" dxfId="3915" priority="4056" stopIfTrue="1">
      <formula>IF(BO$8="判定対象外",TRUE,FALSE)</formula>
    </cfRule>
  </conditionalFormatting>
  <conditionalFormatting sqref="BN16:BN18">
    <cfRule type="expression" dxfId="3914" priority="4055" stopIfTrue="1">
      <formula>IF(BO$8="判定対象外",TRUE,FALSE)</formula>
    </cfRule>
  </conditionalFormatting>
  <conditionalFormatting sqref="BN20">
    <cfRule type="expression" dxfId="3913" priority="4054" stopIfTrue="1">
      <formula>IF(BO$8="判定対象外",TRUE,FALSE)</formula>
    </cfRule>
  </conditionalFormatting>
  <conditionalFormatting sqref="BN16:BN20">
    <cfRule type="expression" dxfId="3912" priority="4053" stopIfTrue="1">
      <formula>IF(BO$8="判定対象外",TRUE,FALSE)</formula>
    </cfRule>
  </conditionalFormatting>
  <conditionalFormatting sqref="BN11:BN13">
    <cfRule type="expression" dxfId="3911" priority="4052" stopIfTrue="1">
      <formula>IF(BO$8="判定対象外",TRUE,FALSE)</formula>
    </cfRule>
  </conditionalFormatting>
  <conditionalFormatting sqref="BN15">
    <cfRule type="expression" dxfId="3910" priority="4051" stopIfTrue="1">
      <formula>IF(BO$8="判定対象外",TRUE,FALSE)</formula>
    </cfRule>
  </conditionalFormatting>
  <conditionalFormatting sqref="BN19">
    <cfRule type="expression" dxfId="3909" priority="4050" stopIfTrue="1">
      <formula>IF(BO$8="判定対象外",TRUE,FALSE)</formula>
    </cfRule>
  </conditionalFormatting>
  <conditionalFormatting sqref="BN19">
    <cfRule type="expression" dxfId="3908" priority="4049" stopIfTrue="1">
      <formula>IF(BO$8="判定対象外",TRUE,FALSE)</formula>
    </cfRule>
  </conditionalFormatting>
  <conditionalFormatting sqref="BN20">
    <cfRule type="expression" dxfId="3907" priority="4048" stopIfTrue="1">
      <formula>IF(BO$8="判定対象外",TRUE,FALSE)</formula>
    </cfRule>
  </conditionalFormatting>
  <conditionalFormatting sqref="BN20">
    <cfRule type="expression" dxfId="3906" priority="4047" stopIfTrue="1">
      <formula>IF(BO$8="判定対象外",TRUE,FALSE)</formula>
    </cfRule>
  </conditionalFormatting>
  <conditionalFormatting sqref="BN20">
    <cfRule type="expression" dxfId="3905" priority="4046" stopIfTrue="1">
      <formula>IF(BO$8="判定対象外",TRUE,FALSE)</formula>
    </cfRule>
  </conditionalFormatting>
  <conditionalFormatting sqref="BN13">
    <cfRule type="expression" dxfId="3904" priority="4045" stopIfTrue="1">
      <formula>IF(BO$8="判定対象外",TRUE,FALSE)</formula>
    </cfRule>
  </conditionalFormatting>
  <conditionalFormatting sqref="BN47">
    <cfRule type="expression" dxfId="3903" priority="4044" stopIfTrue="1">
      <formula>IF(BO$8="判定対象外",TRUE,FALSE)</formula>
    </cfRule>
  </conditionalFormatting>
  <conditionalFormatting sqref="BN47">
    <cfRule type="expression" dxfId="3902" priority="4043" stopIfTrue="1">
      <formula>IF(BO$8="判定対象外",TRUE,FALSE)</formula>
    </cfRule>
  </conditionalFormatting>
  <conditionalFormatting sqref="BN49">
    <cfRule type="expression" dxfId="3901" priority="4042" stopIfTrue="1">
      <formula>IF(BO$8="判定対象外",TRUE,FALSE)</formula>
    </cfRule>
  </conditionalFormatting>
  <conditionalFormatting sqref="BN49">
    <cfRule type="expression" dxfId="3900" priority="4041" stopIfTrue="1">
      <formula>IF(BO$8="判定対象外",TRUE,FALSE)</formula>
    </cfRule>
  </conditionalFormatting>
  <conditionalFormatting sqref="BN50">
    <cfRule type="expression" dxfId="3899" priority="4040" stopIfTrue="1">
      <formula>IF(BO$8="判定対象外",TRUE,FALSE)</formula>
    </cfRule>
  </conditionalFormatting>
  <conditionalFormatting sqref="BN50">
    <cfRule type="expression" dxfId="3898" priority="4039" stopIfTrue="1">
      <formula>IF(BO$8="判定対象外",TRUE,FALSE)</formula>
    </cfRule>
  </conditionalFormatting>
  <conditionalFormatting sqref="BN53 BN56 BN62 BN65 BN68 BN71">
    <cfRule type="expression" dxfId="3897" priority="4038" stopIfTrue="1">
      <formula>IF(BO$8="判定対象外",TRUE,FALSE)</formula>
    </cfRule>
  </conditionalFormatting>
  <conditionalFormatting sqref="BN54 BN57 BN63 BN66 BN69">
    <cfRule type="expression" dxfId="3896" priority="4037" stopIfTrue="1">
      <formula>IF(BO$8="判定対象外",TRUE,FALSE)</formula>
    </cfRule>
  </conditionalFormatting>
  <conditionalFormatting sqref="BQ57">
    <cfRule type="expression" dxfId="3895" priority="4035" stopIfTrue="1">
      <formula>IF(BQ57="-",TRUE,FALSE)</formula>
    </cfRule>
    <cfRule type="expression" dxfId="3894" priority="4036" stopIfTrue="1">
      <formula>IF(OR(BQ57="OK"),FALSE,TRUE)</formula>
    </cfRule>
  </conditionalFormatting>
  <conditionalFormatting sqref="BP57">
    <cfRule type="expression" dxfId="3893" priority="4034" stopIfTrue="1">
      <formula>IF(BO$8="判定対象外",TRUE,FALSE)</formula>
    </cfRule>
  </conditionalFormatting>
  <conditionalFormatting sqref="BO57">
    <cfRule type="expression" dxfId="3892" priority="4033" stopIfTrue="1">
      <formula>IF(BO$8="判定対象外",TRUE,FALSE)</formula>
    </cfRule>
  </conditionalFormatting>
  <conditionalFormatting sqref="BQ62:BQ64">
    <cfRule type="expression" dxfId="3891" priority="4031" stopIfTrue="1">
      <formula>IF(BQ62="-",TRUE,FALSE)</formula>
    </cfRule>
    <cfRule type="expression" dxfId="3890" priority="4032" stopIfTrue="1">
      <formula>IF(OR(BQ62="OK"),FALSE,TRUE)</formula>
    </cfRule>
  </conditionalFormatting>
  <conditionalFormatting sqref="BP62:BP64">
    <cfRule type="expression" dxfId="3889" priority="4030" stopIfTrue="1">
      <formula>IF(BO$8="判定対象外",TRUE,FALSE)</formula>
    </cfRule>
  </conditionalFormatting>
  <conditionalFormatting sqref="BO62:BO64">
    <cfRule type="expression" dxfId="3888" priority="4029" stopIfTrue="1">
      <formula>IF(BO$8="判定対象外",TRUE,FALSE)</formula>
    </cfRule>
  </conditionalFormatting>
  <conditionalFormatting sqref="BQ65:BQ70">
    <cfRule type="expression" dxfId="3887" priority="4027" stopIfTrue="1">
      <formula>IF(BQ65="-",TRUE,FALSE)</formula>
    </cfRule>
    <cfRule type="expression" dxfId="3886" priority="4028" stopIfTrue="1">
      <formula>IF(OR(BQ65="OK"),FALSE,TRUE)</formula>
    </cfRule>
  </conditionalFormatting>
  <conditionalFormatting sqref="BP65:BP70">
    <cfRule type="expression" dxfId="3885" priority="4026" stopIfTrue="1">
      <formula>IF(BO$8="判定対象外",TRUE,FALSE)</formula>
    </cfRule>
  </conditionalFormatting>
  <conditionalFormatting sqref="BO65:BO70">
    <cfRule type="expression" dxfId="3884" priority="4025" stopIfTrue="1">
      <formula>IF(BO$8="判定対象外",TRUE,FALSE)</formula>
    </cfRule>
  </conditionalFormatting>
  <conditionalFormatting sqref="BU8:BU10">
    <cfRule type="expression" dxfId="3883" priority="4023" stopIfTrue="1">
      <formula>IF(BU8="-",TRUE,FALSE)</formula>
    </cfRule>
    <cfRule type="expression" dxfId="3882" priority="4024" stopIfTrue="1">
      <formula>IF(OR(BU8="OK"),FALSE,TRUE)</formula>
    </cfRule>
  </conditionalFormatting>
  <conditionalFormatting sqref="BR8:BR10">
    <cfRule type="expression" dxfId="3881" priority="4022" stopIfTrue="1">
      <formula>IF(BS$8="判定対象外",TRUE,FALSE)</formula>
    </cfRule>
  </conditionalFormatting>
  <conditionalFormatting sqref="BS8:BS10">
    <cfRule type="expression" dxfId="3880" priority="4021" stopIfTrue="1">
      <formula>IF(BS$8="判定対象外",TRUE,FALSE)</formula>
    </cfRule>
  </conditionalFormatting>
  <conditionalFormatting sqref="BT8:BT10">
    <cfRule type="expression" dxfId="3879" priority="4020" stopIfTrue="1">
      <formula>IF(BS$8="判定対象外",TRUE,FALSE)</formula>
    </cfRule>
  </conditionalFormatting>
  <conditionalFormatting sqref="BU11:BU34 BU71:BU81 BU36:BU56">
    <cfRule type="expression" dxfId="3878" priority="4017" stopIfTrue="1">
      <formula>IF(BU11="-",TRUE,FALSE)</formula>
    </cfRule>
    <cfRule type="expression" dxfId="3877" priority="4018" stopIfTrue="1">
      <formula>IF(OR(BU11="OK"),FALSE,TRUE)</formula>
    </cfRule>
  </conditionalFormatting>
  <conditionalFormatting sqref="BT11:BT34 BT71:BT81 BT36:BT56">
    <cfRule type="expression" dxfId="3876" priority="4016" stopIfTrue="1">
      <formula>IF(BS$8="判定対象外",TRUE,FALSE)</formula>
    </cfRule>
  </conditionalFormatting>
  <conditionalFormatting sqref="BR72:BR81 BR21:BR34 BR36:BR46">
    <cfRule type="expression" dxfId="3875" priority="4015" stopIfTrue="1">
      <formula>IF(BS$8="判定対象外",TRUE,FALSE)</formula>
    </cfRule>
  </conditionalFormatting>
  <conditionalFormatting sqref="BR29:BR32">
    <cfRule type="expression" dxfId="3874" priority="4014" stopIfTrue="1">
      <formula>IF(BS$8="判定対象外",TRUE,FALSE)</formula>
    </cfRule>
  </conditionalFormatting>
  <conditionalFormatting sqref="BR42:BR44">
    <cfRule type="expression" dxfId="3873" priority="4013" stopIfTrue="1">
      <formula>IF(BS$8="判定対象外",TRUE,FALSE)</formula>
    </cfRule>
  </conditionalFormatting>
  <conditionalFormatting sqref="BR46">
    <cfRule type="expression" dxfId="3872" priority="4012" stopIfTrue="1">
      <formula>IF(BS$8="判定対象外",TRUE,FALSE)</formula>
    </cfRule>
  </conditionalFormatting>
  <conditionalFormatting sqref="BR42:BR44">
    <cfRule type="expression" dxfId="3871" priority="4011" stopIfTrue="1">
      <formula>IF(BS$8="判定対象外",TRUE,FALSE)</formula>
    </cfRule>
  </conditionalFormatting>
  <conditionalFormatting sqref="BR42:BR44">
    <cfRule type="expression" dxfId="3870" priority="4010" stopIfTrue="1">
      <formula>IF(BS$8="判定対象外",TRUE,FALSE)</formula>
    </cfRule>
  </conditionalFormatting>
  <conditionalFormatting sqref="BR42:BR44">
    <cfRule type="expression" dxfId="3869" priority="4009" stopIfTrue="1">
      <formula>IF(BS$8="判定対象外",TRUE,FALSE)</formula>
    </cfRule>
  </conditionalFormatting>
  <conditionalFormatting sqref="BR42:BR44">
    <cfRule type="expression" dxfId="3868" priority="4008" stopIfTrue="1">
      <formula>IF(BS$8="判定対象外",TRUE,FALSE)</formula>
    </cfRule>
  </conditionalFormatting>
  <conditionalFormatting sqref="BR42:BR44">
    <cfRule type="expression" dxfId="3867" priority="4007" stopIfTrue="1">
      <formula>IF(BS$8="判定対象外",TRUE,FALSE)</formula>
    </cfRule>
  </conditionalFormatting>
  <conditionalFormatting sqref="BR42:BR44">
    <cfRule type="expression" dxfId="3866" priority="4006" stopIfTrue="1">
      <formula>IF(BS$8="判定対象外",TRUE,FALSE)</formula>
    </cfRule>
  </conditionalFormatting>
  <conditionalFormatting sqref="BR42:BR44">
    <cfRule type="expression" dxfId="3865" priority="4005" stopIfTrue="1">
      <formula>IF(BS$8="判定対象外",TRUE,FALSE)</formula>
    </cfRule>
  </conditionalFormatting>
  <conditionalFormatting sqref="BR38">
    <cfRule type="expression" dxfId="3864" priority="4019" stopIfTrue="1">
      <formula>IF(#REF!="判定対象外",TRUE,FALSE)</formula>
    </cfRule>
  </conditionalFormatting>
  <conditionalFormatting sqref="BS11:BS34 BS71:BS81 BS36:BS56">
    <cfRule type="expression" dxfId="3863" priority="4004" stopIfTrue="1">
      <formula>IF(BS$8="判定対象外",TRUE,FALSE)</formula>
    </cfRule>
  </conditionalFormatting>
  <conditionalFormatting sqref="BR48">
    <cfRule type="expression" dxfId="3862" priority="4003" stopIfTrue="1">
      <formula>IF(BS$8="判定対象外",TRUE,FALSE)</formula>
    </cfRule>
  </conditionalFormatting>
  <conditionalFormatting sqref="BR51">
    <cfRule type="expression" dxfId="3861" priority="4002" stopIfTrue="1">
      <formula>IF(BS$8="判定対象外",TRUE,FALSE)</formula>
    </cfRule>
  </conditionalFormatting>
  <conditionalFormatting sqref="BR52 BR55 BR64 BR67 BR70">
    <cfRule type="expression" dxfId="3860" priority="4001" stopIfTrue="1">
      <formula>IF(BS$8="判定対象外",TRUE,FALSE)</formula>
    </cfRule>
  </conditionalFormatting>
  <conditionalFormatting sqref="BR11:BR20">
    <cfRule type="expression" dxfId="3859" priority="4000" stopIfTrue="1">
      <formula>IF(BS$8="判定対象外",TRUE,FALSE)</formula>
    </cfRule>
  </conditionalFormatting>
  <conditionalFormatting sqref="BR16:BR18">
    <cfRule type="expression" dxfId="3858" priority="3999" stopIfTrue="1">
      <formula>IF(BS$8="判定対象外",TRUE,FALSE)</formula>
    </cfRule>
  </conditionalFormatting>
  <conditionalFormatting sqref="BR20">
    <cfRule type="expression" dxfId="3857" priority="3998" stopIfTrue="1">
      <formula>IF(BS$8="判定対象外",TRUE,FALSE)</formula>
    </cfRule>
  </conditionalFormatting>
  <conditionalFormatting sqref="BR16:BR20">
    <cfRule type="expression" dxfId="3856" priority="3997" stopIfTrue="1">
      <formula>IF(BS$8="判定対象外",TRUE,FALSE)</formula>
    </cfRule>
  </conditionalFormatting>
  <conditionalFormatting sqref="BR11:BR20">
    <cfRule type="expression" dxfId="3855" priority="3996" stopIfTrue="1">
      <formula>IF(BS$8="判定対象外",TRUE,FALSE)</formula>
    </cfRule>
  </conditionalFormatting>
  <conditionalFormatting sqref="BR16:BR18">
    <cfRule type="expression" dxfId="3854" priority="3995" stopIfTrue="1">
      <formula>IF(BS$8="判定対象外",TRUE,FALSE)</formula>
    </cfRule>
  </conditionalFormatting>
  <conditionalFormatting sqref="BR20">
    <cfRule type="expression" dxfId="3853" priority="3994" stopIfTrue="1">
      <formula>IF(BS$8="判定対象外",TRUE,FALSE)</formula>
    </cfRule>
  </conditionalFormatting>
  <conditionalFormatting sqref="BR16:BR20">
    <cfRule type="expression" dxfId="3852" priority="3993" stopIfTrue="1">
      <formula>IF(BS$8="判定対象外",TRUE,FALSE)</formula>
    </cfRule>
  </conditionalFormatting>
  <conditionalFormatting sqref="BR11:BR20">
    <cfRule type="expression" dxfId="3851" priority="3992" stopIfTrue="1">
      <formula>IF(BS$8="判定対象外",TRUE,FALSE)</formula>
    </cfRule>
  </conditionalFormatting>
  <conditionalFormatting sqref="BR16:BR18">
    <cfRule type="expression" dxfId="3850" priority="3991" stopIfTrue="1">
      <formula>IF(BS$8="判定対象外",TRUE,FALSE)</formula>
    </cfRule>
  </conditionalFormatting>
  <conditionalFormatting sqref="BR20">
    <cfRule type="expression" dxfId="3849" priority="3990" stopIfTrue="1">
      <formula>IF(BS$8="判定対象外",TRUE,FALSE)</formula>
    </cfRule>
  </conditionalFormatting>
  <conditionalFormatting sqref="BR16:BR20">
    <cfRule type="expression" dxfId="3848" priority="3989" stopIfTrue="1">
      <formula>IF(BS$8="判定対象外",TRUE,FALSE)</formula>
    </cfRule>
  </conditionalFormatting>
  <conditionalFormatting sqref="BR11:BR13">
    <cfRule type="expression" dxfId="3847" priority="3988" stopIfTrue="1">
      <formula>IF(BS$8="判定対象外",TRUE,FALSE)</formula>
    </cfRule>
  </conditionalFormatting>
  <conditionalFormatting sqref="BR15">
    <cfRule type="expression" dxfId="3846" priority="3987" stopIfTrue="1">
      <formula>IF(BS$8="判定対象外",TRUE,FALSE)</formula>
    </cfRule>
  </conditionalFormatting>
  <conditionalFormatting sqref="BR19">
    <cfRule type="expression" dxfId="3845" priority="3986" stopIfTrue="1">
      <formula>IF(BS$8="判定対象外",TRUE,FALSE)</formula>
    </cfRule>
  </conditionalFormatting>
  <conditionalFormatting sqref="BR19">
    <cfRule type="expression" dxfId="3844" priority="3985" stopIfTrue="1">
      <formula>IF(BS$8="判定対象外",TRUE,FALSE)</formula>
    </cfRule>
  </conditionalFormatting>
  <conditionalFormatting sqref="BR20">
    <cfRule type="expression" dxfId="3843" priority="3984" stopIfTrue="1">
      <formula>IF(BS$8="判定対象外",TRUE,FALSE)</formula>
    </cfRule>
  </conditionalFormatting>
  <conditionalFormatting sqref="BR20">
    <cfRule type="expression" dxfId="3842" priority="3983" stopIfTrue="1">
      <formula>IF(BS$8="判定対象外",TRUE,FALSE)</formula>
    </cfRule>
  </conditionalFormatting>
  <conditionalFormatting sqref="BR20">
    <cfRule type="expression" dxfId="3841" priority="3982" stopIfTrue="1">
      <formula>IF(BS$8="判定対象外",TRUE,FALSE)</formula>
    </cfRule>
  </conditionalFormatting>
  <conditionalFormatting sqref="BR13">
    <cfRule type="expression" dxfId="3840" priority="3981" stopIfTrue="1">
      <formula>IF(BS$8="判定対象外",TRUE,FALSE)</formula>
    </cfRule>
  </conditionalFormatting>
  <conditionalFormatting sqref="BR47">
    <cfRule type="expression" dxfId="3839" priority="3980" stopIfTrue="1">
      <formula>IF(BS$8="判定対象外",TRUE,FALSE)</formula>
    </cfRule>
  </conditionalFormatting>
  <conditionalFormatting sqref="BR47">
    <cfRule type="expression" dxfId="3838" priority="3979" stopIfTrue="1">
      <formula>IF(BS$8="判定対象外",TRUE,FALSE)</formula>
    </cfRule>
  </conditionalFormatting>
  <conditionalFormatting sqref="BR49">
    <cfRule type="expression" dxfId="3837" priority="3978" stopIfTrue="1">
      <formula>IF(BS$8="判定対象外",TRUE,FALSE)</formula>
    </cfRule>
  </conditionalFormatting>
  <conditionalFormatting sqref="BR49">
    <cfRule type="expression" dxfId="3836" priority="3977" stopIfTrue="1">
      <formula>IF(BS$8="判定対象外",TRUE,FALSE)</formula>
    </cfRule>
  </conditionalFormatting>
  <conditionalFormatting sqref="BR50">
    <cfRule type="expression" dxfId="3835" priority="3976" stopIfTrue="1">
      <formula>IF(BS$8="判定対象外",TRUE,FALSE)</formula>
    </cfRule>
  </conditionalFormatting>
  <conditionalFormatting sqref="BR50">
    <cfRule type="expression" dxfId="3834" priority="3975" stopIfTrue="1">
      <formula>IF(BS$8="判定対象外",TRUE,FALSE)</formula>
    </cfRule>
  </conditionalFormatting>
  <conditionalFormatting sqref="BR53 BR56 BR62 BR65 BR68 BR71">
    <cfRule type="expression" dxfId="3833" priority="3974" stopIfTrue="1">
      <formula>IF(BS$8="判定対象外",TRUE,FALSE)</formula>
    </cfRule>
  </conditionalFormatting>
  <conditionalFormatting sqref="BR54 BR57 BR63 BR66 BR69">
    <cfRule type="expression" dxfId="3832" priority="3973" stopIfTrue="1">
      <formula>IF(BS$8="判定対象外",TRUE,FALSE)</formula>
    </cfRule>
  </conditionalFormatting>
  <conditionalFormatting sqref="BU57">
    <cfRule type="expression" dxfId="3831" priority="3971" stopIfTrue="1">
      <formula>IF(BU57="-",TRUE,FALSE)</formula>
    </cfRule>
    <cfRule type="expression" dxfId="3830" priority="3972" stopIfTrue="1">
      <formula>IF(OR(BU57="OK"),FALSE,TRUE)</formula>
    </cfRule>
  </conditionalFormatting>
  <conditionalFormatting sqref="BT57">
    <cfRule type="expression" dxfId="3829" priority="3970" stopIfTrue="1">
      <formula>IF(BS$8="判定対象外",TRUE,FALSE)</formula>
    </cfRule>
  </conditionalFormatting>
  <conditionalFormatting sqref="BS57">
    <cfRule type="expression" dxfId="3828" priority="3969" stopIfTrue="1">
      <formula>IF(BS$8="判定対象外",TRUE,FALSE)</formula>
    </cfRule>
  </conditionalFormatting>
  <conditionalFormatting sqref="BU62:BU64">
    <cfRule type="expression" dxfId="3827" priority="3967" stopIfTrue="1">
      <formula>IF(BU62="-",TRUE,FALSE)</formula>
    </cfRule>
    <cfRule type="expression" dxfId="3826" priority="3968" stopIfTrue="1">
      <formula>IF(OR(BU62="OK"),FALSE,TRUE)</formula>
    </cfRule>
  </conditionalFormatting>
  <conditionalFormatting sqref="BT62:BT64">
    <cfRule type="expression" dxfId="3825" priority="3966" stopIfTrue="1">
      <formula>IF(BS$8="判定対象外",TRUE,FALSE)</formula>
    </cfRule>
  </conditionalFormatting>
  <conditionalFormatting sqref="BS62:BS64">
    <cfRule type="expression" dxfId="3824" priority="3965" stopIfTrue="1">
      <formula>IF(BS$8="判定対象外",TRUE,FALSE)</formula>
    </cfRule>
  </conditionalFormatting>
  <conditionalFormatting sqref="BU65:BU70">
    <cfRule type="expression" dxfId="3823" priority="3963" stopIfTrue="1">
      <formula>IF(BU65="-",TRUE,FALSE)</formula>
    </cfRule>
    <cfRule type="expression" dxfId="3822" priority="3964" stopIfTrue="1">
      <formula>IF(OR(BU65="OK"),FALSE,TRUE)</formula>
    </cfRule>
  </conditionalFormatting>
  <conditionalFormatting sqref="BT65:BT70">
    <cfRule type="expression" dxfId="3821" priority="3962" stopIfTrue="1">
      <formula>IF(BS$8="判定対象外",TRUE,FALSE)</formula>
    </cfRule>
  </conditionalFormatting>
  <conditionalFormatting sqref="BS65:BS70">
    <cfRule type="expression" dxfId="3820" priority="3961" stopIfTrue="1">
      <formula>IF(BS$8="判定対象外",TRUE,FALSE)</formula>
    </cfRule>
  </conditionalFormatting>
  <conditionalFormatting sqref="BV29:BV32">
    <cfRule type="expression" dxfId="3819" priority="3950" stopIfTrue="1">
      <formula>IF(BW$8="判定対象外",TRUE,FALSE)</formula>
    </cfRule>
  </conditionalFormatting>
  <conditionalFormatting sqref="BY8:BY10">
    <cfRule type="expression" dxfId="3818" priority="3959" stopIfTrue="1">
      <formula>IF(BY8="-",TRUE,FALSE)</formula>
    </cfRule>
    <cfRule type="expression" dxfId="3817" priority="3960" stopIfTrue="1">
      <formula>IF(OR(BY8="OK"),FALSE,TRUE)</formula>
    </cfRule>
  </conditionalFormatting>
  <conditionalFormatting sqref="BV8:BV10">
    <cfRule type="expression" dxfId="3816" priority="3958" stopIfTrue="1">
      <formula>IF(BW$8="判定対象外",TRUE,FALSE)</formula>
    </cfRule>
  </conditionalFormatting>
  <conditionalFormatting sqref="BW8:BW10">
    <cfRule type="expression" dxfId="3815" priority="3957" stopIfTrue="1">
      <formula>IF(BW$8="判定対象外",TRUE,FALSE)</formula>
    </cfRule>
  </conditionalFormatting>
  <conditionalFormatting sqref="BX8:BX10">
    <cfRule type="expression" dxfId="3814" priority="3956" stopIfTrue="1">
      <formula>IF(BW$8="判定対象外",TRUE,FALSE)</formula>
    </cfRule>
  </conditionalFormatting>
  <conditionalFormatting sqref="BY11:BY34 BY71:BY81 BY36:BY56">
    <cfRule type="expression" dxfId="3813" priority="3953" stopIfTrue="1">
      <formula>IF(BY11="-",TRUE,FALSE)</formula>
    </cfRule>
    <cfRule type="expression" dxfId="3812" priority="3954" stopIfTrue="1">
      <formula>IF(OR(BY11="OK"),FALSE,TRUE)</formula>
    </cfRule>
  </conditionalFormatting>
  <conditionalFormatting sqref="BX11:BX34 BX71:BX81 BX36:BX56">
    <cfRule type="expression" dxfId="3811" priority="3952" stopIfTrue="1">
      <formula>IF(BW$8="判定対象外",TRUE,FALSE)</formula>
    </cfRule>
  </conditionalFormatting>
  <conditionalFormatting sqref="BV72:BV81 BV21:BV34 BV36:BV46">
    <cfRule type="expression" dxfId="3810" priority="3951" stopIfTrue="1">
      <formula>IF(BW$8="判定対象外",TRUE,FALSE)</formula>
    </cfRule>
  </conditionalFormatting>
  <conditionalFormatting sqref="BV42:BV44">
    <cfRule type="expression" dxfId="3809" priority="3949" stopIfTrue="1">
      <formula>IF(BW$8="判定対象外",TRUE,FALSE)</formula>
    </cfRule>
  </conditionalFormatting>
  <conditionalFormatting sqref="BV46">
    <cfRule type="expression" dxfId="3808" priority="3948" stopIfTrue="1">
      <formula>IF(BW$8="判定対象外",TRUE,FALSE)</formula>
    </cfRule>
  </conditionalFormatting>
  <conditionalFormatting sqref="BV42:BV44">
    <cfRule type="expression" dxfId="3807" priority="3947" stopIfTrue="1">
      <formula>IF(BW$8="判定対象外",TRUE,FALSE)</formula>
    </cfRule>
  </conditionalFormatting>
  <conditionalFormatting sqref="BV42:BV44">
    <cfRule type="expression" dxfId="3806" priority="3946" stopIfTrue="1">
      <formula>IF(BW$8="判定対象外",TRUE,FALSE)</formula>
    </cfRule>
  </conditionalFormatting>
  <conditionalFormatting sqref="BV42:BV44">
    <cfRule type="expression" dxfId="3805" priority="3945" stopIfTrue="1">
      <formula>IF(BW$8="判定対象外",TRUE,FALSE)</formula>
    </cfRule>
  </conditionalFormatting>
  <conditionalFormatting sqref="BV42:BV44">
    <cfRule type="expression" dxfId="3804" priority="3944" stopIfTrue="1">
      <formula>IF(BW$8="判定対象外",TRUE,FALSE)</formula>
    </cfRule>
  </conditionalFormatting>
  <conditionalFormatting sqref="BV42:BV44">
    <cfRule type="expression" dxfId="3803" priority="3943" stopIfTrue="1">
      <formula>IF(BW$8="判定対象外",TRUE,FALSE)</formula>
    </cfRule>
  </conditionalFormatting>
  <conditionalFormatting sqref="BV42:BV44">
    <cfRule type="expression" dxfId="3802" priority="3942" stopIfTrue="1">
      <formula>IF(BW$8="判定対象外",TRUE,FALSE)</formula>
    </cfRule>
  </conditionalFormatting>
  <conditionalFormatting sqref="BV42:BV44">
    <cfRule type="expression" dxfId="3801" priority="3941" stopIfTrue="1">
      <formula>IF(BW$8="判定対象外",TRUE,FALSE)</formula>
    </cfRule>
  </conditionalFormatting>
  <conditionalFormatting sqref="BV38">
    <cfRule type="expression" dxfId="3800" priority="3955" stopIfTrue="1">
      <formula>IF(#REF!="判定対象外",TRUE,FALSE)</formula>
    </cfRule>
  </conditionalFormatting>
  <conditionalFormatting sqref="BW11:BW34 BW71:BW81 BW36:BW56">
    <cfRule type="expression" dxfId="3799" priority="3940" stopIfTrue="1">
      <formula>IF(BW$8="判定対象外",TRUE,FALSE)</formula>
    </cfRule>
  </conditionalFormatting>
  <conditionalFormatting sqref="BV48">
    <cfRule type="expression" dxfId="3798" priority="3939" stopIfTrue="1">
      <formula>IF(BW$8="判定対象外",TRUE,FALSE)</formula>
    </cfRule>
  </conditionalFormatting>
  <conditionalFormatting sqref="BV51">
    <cfRule type="expression" dxfId="3797" priority="3938" stopIfTrue="1">
      <formula>IF(BW$8="判定対象外",TRUE,FALSE)</formula>
    </cfRule>
  </conditionalFormatting>
  <conditionalFormatting sqref="BV52 BV55 BV64 BV67 BV70">
    <cfRule type="expression" dxfId="3796" priority="3937" stopIfTrue="1">
      <formula>IF(BW$8="判定対象外",TRUE,FALSE)</formula>
    </cfRule>
  </conditionalFormatting>
  <conditionalFormatting sqref="BV11:BV20">
    <cfRule type="expression" dxfId="3795" priority="3936" stopIfTrue="1">
      <formula>IF(BW$8="判定対象外",TRUE,FALSE)</formula>
    </cfRule>
  </conditionalFormatting>
  <conditionalFormatting sqref="BV16:BV18">
    <cfRule type="expression" dxfId="3794" priority="3935" stopIfTrue="1">
      <formula>IF(BW$8="判定対象外",TRUE,FALSE)</formula>
    </cfRule>
  </conditionalFormatting>
  <conditionalFormatting sqref="BV20">
    <cfRule type="expression" dxfId="3793" priority="3934" stopIfTrue="1">
      <formula>IF(BW$8="判定対象外",TRUE,FALSE)</formula>
    </cfRule>
  </conditionalFormatting>
  <conditionalFormatting sqref="BV16:BV20">
    <cfRule type="expression" dxfId="3792" priority="3933" stopIfTrue="1">
      <formula>IF(BW$8="判定対象外",TRUE,FALSE)</formula>
    </cfRule>
  </conditionalFormatting>
  <conditionalFormatting sqref="BV11:BV20">
    <cfRule type="expression" dxfId="3791" priority="3932" stopIfTrue="1">
      <formula>IF(BW$8="判定対象外",TRUE,FALSE)</formula>
    </cfRule>
  </conditionalFormatting>
  <conditionalFormatting sqref="BV20">
    <cfRule type="expression" dxfId="3790" priority="3930" stopIfTrue="1">
      <formula>IF(BW$8="判定対象外",TRUE,FALSE)</formula>
    </cfRule>
  </conditionalFormatting>
  <conditionalFormatting sqref="BV16:BV20">
    <cfRule type="expression" dxfId="3789" priority="3929" stopIfTrue="1">
      <formula>IF(BW$8="判定対象外",TRUE,FALSE)</formula>
    </cfRule>
  </conditionalFormatting>
  <conditionalFormatting sqref="BV11:BV20">
    <cfRule type="expression" dxfId="3788" priority="3928" stopIfTrue="1">
      <formula>IF(BW$8="判定対象外",TRUE,FALSE)</formula>
    </cfRule>
  </conditionalFormatting>
  <conditionalFormatting sqref="BV16:BV18">
    <cfRule type="expression" dxfId="3787" priority="3927" stopIfTrue="1">
      <formula>IF(BW$8="判定対象外",TRUE,FALSE)</formula>
    </cfRule>
  </conditionalFormatting>
  <conditionalFormatting sqref="BV20">
    <cfRule type="expression" dxfId="3786" priority="3926" stopIfTrue="1">
      <formula>IF(BW$8="判定対象外",TRUE,FALSE)</formula>
    </cfRule>
  </conditionalFormatting>
  <conditionalFormatting sqref="BV16:BV20">
    <cfRule type="expression" dxfId="3785" priority="3925" stopIfTrue="1">
      <formula>IF(BW$8="判定対象外",TRUE,FALSE)</formula>
    </cfRule>
  </conditionalFormatting>
  <conditionalFormatting sqref="BV11:BV13">
    <cfRule type="expression" dxfId="3784" priority="3924" stopIfTrue="1">
      <formula>IF(BW$8="判定対象外",TRUE,FALSE)</formula>
    </cfRule>
  </conditionalFormatting>
  <conditionalFormatting sqref="BV15">
    <cfRule type="expression" dxfId="3783" priority="3923" stopIfTrue="1">
      <formula>IF(BW$8="判定対象外",TRUE,FALSE)</formula>
    </cfRule>
  </conditionalFormatting>
  <conditionalFormatting sqref="BV19">
    <cfRule type="expression" dxfId="3782" priority="3922" stopIfTrue="1">
      <formula>IF(BW$8="判定対象外",TRUE,FALSE)</formula>
    </cfRule>
  </conditionalFormatting>
  <conditionalFormatting sqref="CH53 CH56 CH65 CH68 CH71">
    <cfRule type="expression" dxfId="3781" priority="3663" stopIfTrue="1">
      <formula>IF(CI$8="判定対象外",TRUE,FALSE)</formula>
    </cfRule>
  </conditionalFormatting>
  <conditionalFormatting sqref="BV20">
    <cfRule type="expression" dxfId="3780" priority="3920" stopIfTrue="1">
      <formula>IF(BW$8="判定対象外",TRUE,FALSE)</formula>
    </cfRule>
  </conditionalFormatting>
  <conditionalFormatting sqref="BV20">
    <cfRule type="expression" dxfId="3779" priority="3919" stopIfTrue="1">
      <formula>IF(BW$8="判定対象外",TRUE,FALSE)</formula>
    </cfRule>
  </conditionalFormatting>
  <conditionalFormatting sqref="BV20">
    <cfRule type="expression" dxfId="3778" priority="3918" stopIfTrue="1">
      <formula>IF(BW$8="判定対象外",TRUE,FALSE)</formula>
    </cfRule>
  </conditionalFormatting>
  <conditionalFormatting sqref="BV13">
    <cfRule type="expression" dxfId="3777" priority="3917" stopIfTrue="1">
      <formula>IF(BW$8="判定対象外",TRUE,FALSE)</formula>
    </cfRule>
  </conditionalFormatting>
  <conditionalFormatting sqref="BV47">
    <cfRule type="expression" dxfId="3776" priority="3916" stopIfTrue="1">
      <formula>IF(BW$8="判定対象外",TRUE,FALSE)</formula>
    </cfRule>
  </conditionalFormatting>
  <conditionalFormatting sqref="BV47">
    <cfRule type="expression" dxfId="3775" priority="3915" stopIfTrue="1">
      <formula>IF(BW$8="判定対象外",TRUE,FALSE)</formula>
    </cfRule>
  </conditionalFormatting>
  <conditionalFormatting sqref="BV49">
    <cfRule type="expression" dxfId="3774" priority="3914" stopIfTrue="1">
      <formula>IF(BW$8="判定対象外",TRUE,FALSE)</formula>
    </cfRule>
  </conditionalFormatting>
  <conditionalFormatting sqref="BV49">
    <cfRule type="expression" dxfId="3773" priority="3913" stopIfTrue="1">
      <formula>IF(BW$8="判定対象外",TRUE,FALSE)</formula>
    </cfRule>
  </conditionalFormatting>
  <conditionalFormatting sqref="BV50">
    <cfRule type="expression" dxfId="3772" priority="3912" stopIfTrue="1">
      <formula>IF(BW$8="判定対象外",TRUE,FALSE)</formula>
    </cfRule>
  </conditionalFormatting>
  <conditionalFormatting sqref="BV50">
    <cfRule type="expression" dxfId="3771" priority="3911" stopIfTrue="1">
      <formula>IF(BW$8="判定対象外",TRUE,FALSE)</formula>
    </cfRule>
  </conditionalFormatting>
  <conditionalFormatting sqref="BV53 BV56 BV62 BV65 BV68 BV71">
    <cfRule type="expression" dxfId="3770" priority="3910" stopIfTrue="1">
      <formula>IF(BW$8="判定対象外",TRUE,FALSE)</formula>
    </cfRule>
  </conditionalFormatting>
  <conditionalFormatting sqref="BV54 BV57 BV63 BV66 BV69">
    <cfRule type="expression" dxfId="3769" priority="3909" stopIfTrue="1">
      <formula>IF(BW$8="判定対象外",TRUE,FALSE)</formula>
    </cfRule>
  </conditionalFormatting>
  <conditionalFormatting sqref="BY57">
    <cfRule type="expression" dxfId="3768" priority="3907" stopIfTrue="1">
      <formula>IF(BY57="-",TRUE,FALSE)</formula>
    </cfRule>
    <cfRule type="expression" dxfId="3767" priority="3908" stopIfTrue="1">
      <formula>IF(OR(BY57="OK"),FALSE,TRUE)</formula>
    </cfRule>
  </conditionalFormatting>
  <conditionalFormatting sqref="BX57">
    <cfRule type="expression" dxfId="3766" priority="3906" stopIfTrue="1">
      <formula>IF(BW$8="判定対象外",TRUE,FALSE)</formula>
    </cfRule>
  </conditionalFormatting>
  <conditionalFormatting sqref="BW57">
    <cfRule type="expression" dxfId="3765" priority="3905" stopIfTrue="1">
      <formula>IF(BW$8="判定対象外",TRUE,FALSE)</formula>
    </cfRule>
  </conditionalFormatting>
  <conditionalFormatting sqref="BY58:BY64">
    <cfRule type="expression" dxfId="3764" priority="3903" stopIfTrue="1">
      <formula>IF(BY58="-",TRUE,FALSE)</formula>
    </cfRule>
    <cfRule type="expression" dxfId="3763" priority="3904" stopIfTrue="1">
      <formula>IF(OR(BY58="OK"),FALSE,TRUE)</formula>
    </cfRule>
  </conditionalFormatting>
  <conditionalFormatting sqref="BX58:BX64">
    <cfRule type="expression" dxfId="3762" priority="3902" stopIfTrue="1">
      <formula>IF(BW$8="判定対象外",TRUE,FALSE)</formula>
    </cfRule>
  </conditionalFormatting>
  <conditionalFormatting sqref="BW58:BW64">
    <cfRule type="expression" dxfId="3761" priority="3901" stopIfTrue="1">
      <formula>IF(BW$8="判定対象外",TRUE,FALSE)</formula>
    </cfRule>
  </conditionalFormatting>
  <conditionalFormatting sqref="BY65:BY70">
    <cfRule type="expression" dxfId="3760" priority="3899" stopIfTrue="1">
      <formula>IF(BY65="-",TRUE,FALSE)</formula>
    </cfRule>
    <cfRule type="expression" dxfId="3759" priority="3900" stopIfTrue="1">
      <formula>IF(OR(BY65="OK"),FALSE,TRUE)</formula>
    </cfRule>
  </conditionalFormatting>
  <conditionalFormatting sqref="BX65:BX70">
    <cfRule type="expression" dxfId="3758" priority="3898" stopIfTrue="1">
      <formula>IF(BW$8="判定対象外",TRUE,FALSE)</formula>
    </cfRule>
  </conditionalFormatting>
  <conditionalFormatting sqref="BW65:BW70">
    <cfRule type="expression" dxfId="3757" priority="3897" stopIfTrue="1">
      <formula>IF(BW$8="判定対象外",TRUE,FALSE)</formula>
    </cfRule>
  </conditionalFormatting>
  <conditionalFormatting sqref="BV58">
    <cfRule type="expression" dxfId="3756" priority="3886" stopIfTrue="1">
      <formula>IF(BW$8="判定対象外",TRUE,FALSE)</formula>
    </cfRule>
  </conditionalFormatting>
  <conditionalFormatting sqref="BN58">
    <cfRule type="expression" dxfId="3755" priority="3896" stopIfTrue="1">
      <formula>IF(BO$8="判定対象外",TRUE,FALSE)</formula>
    </cfRule>
  </conditionalFormatting>
  <conditionalFormatting sqref="BQ58">
    <cfRule type="expression" dxfId="3754" priority="3894" stopIfTrue="1">
      <formula>IF(BQ58="-",TRUE,FALSE)</formula>
    </cfRule>
    <cfRule type="expression" dxfId="3753" priority="3895" stopIfTrue="1">
      <formula>IF(OR(BQ58="OK"),FALSE,TRUE)</formula>
    </cfRule>
  </conditionalFormatting>
  <conditionalFormatting sqref="BP58">
    <cfRule type="expression" dxfId="3752" priority="3893" stopIfTrue="1">
      <formula>IF(BO$8="判定対象外",TRUE,FALSE)</formula>
    </cfRule>
  </conditionalFormatting>
  <conditionalFormatting sqref="BO58">
    <cfRule type="expression" dxfId="3751" priority="3892" stopIfTrue="1">
      <formula>IF(BO$8="判定対象外",TRUE,FALSE)</formula>
    </cfRule>
  </conditionalFormatting>
  <conditionalFormatting sqref="BR58">
    <cfRule type="expression" dxfId="3750" priority="3891" stopIfTrue="1">
      <formula>IF(BS$8="判定対象外",TRUE,FALSE)</formula>
    </cfRule>
  </conditionalFormatting>
  <conditionalFormatting sqref="BU58">
    <cfRule type="expression" dxfId="3749" priority="3889" stopIfTrue="1">
      <formula>IF(BU58="-",TRUE,FALSE)</formula>
    </cfRule>
    <cfRule type="expression" dxfId="3748" priority="3890" stopIfTrue="1">
      <formula>IF(OR(BU58="OK"),FALSE,TRUE)</formula>
    </cfRule>
  </conditionalFormatting>
  <conditionalFormatting sqref="BT58">
    <cfRule type="expression" dxfId="3747" priority="3888" stopIfTrue="1">
      <formula>IF(BS$8="判定対象外",TRUE,FALSE)</formula>
    </cfRule>
  </conditionalFormatting>
  <conditionalFormatting sqref="BS58">
    <cfRule type="expression" dxfId="3746" priority="3887" stopIfTrue="1">
      <formula>IF(BS$8="判定対象外",TRUE,FALSE)</formula>
    </cfRule>
  </conditionalFormatting>
  <conditionalFormatting sqref="BZ60">
    <cfRule type="expression" dxfId="3745" priority="3616" stopIfTrue="1">
      <formula>IF(CA$8="判定対象外",TRUE,FALSE)</formula>
    </cfRule>
  </conditionalFormatting>
  <conditionalFormatting sqref="CC60">
    <cfRule type="expression" dxfId="3744" priority="3614" stopIfTrue="1">
      <formula>IF(CC60="-",TRUE,FALSE)</formula>
    </cfRule>
    <cfRule type="expression" dxfId="3743" priority="3615" stopIfTrue="1">
      <formula>IF(OR(CC60="OK"),FALSE,TRUE)</formula>
    </cfRule>
  </conditionalFormatting>
  <conditionalFormatting sqref="CB60">
    <cfRule type="expression" dxfId="3742" priority="3613" stopIfTrue="1">
      <formula>IF(CA$8="判定対象外",TRUE,FALSE)</formula>
    </cfRule>
  </conditionalFormatting>
  <conditionalFormatting sqref="CA60">
    <cfRule type="expression" dxfId="3741" priority="3612" stopIfTrue="1">
      <formula>IF(CA$8="判定対象外",TRUE,FALSE)</formula>
    </cfRule>
  </conditionalFormatting>
  <conditionalFormatting sqref="FY69">
    <cfRule type="expression" dxfId="3740" priority="1106" stopIfTrue="1">
      <formula>IF(FY69="-",TRUE,FALSE)</formula>
    </cfRule>
    <cfRule type="expression" dxfId="3739" priority="1107" stopIfTrue="1">
      <formula>IF(OR(FY69="OK"),FALSE,TRUE)</formula>
    </cfRule>
  </conditionalFormatting>
  <conditionalFormatting sqref="FX69">
    <cfRule type="expression" dxfId="3738" priority="1105" stopIfTrue="1">
      <formula>IF(FW$8="判定対象外",TRUE,FALSE)</formula>
    </cfRule>
  </conditionalFormatting>
  <conditionalFormatting sqref="FW69">
    <cfRule type="expression" dxfId="3737" priority="1104" stopIfTrue="1">
      <formula>IF(FW$8="判定対象外",TRUE,FALSE)</formula>
    </cfRule>
  </conditionalFormatting>
  <conditionalFormatting sqref="FV69">
    <cfRule type="expression" dxfId="3736" priority="1103" stopIfTrue="1">
      <formula>IF(FW$8="判定対象外",TRUE,FALSE)</formula>
    </cfRule>
  </conditionalFormatting>
  <conditionalFormatting sqref="CL61">
    <cfRule type="expression" dxfId="3735" priority="3347" stopIfTrue="1">
      <formula>IF(CM$8="判定対象外",TRUE,FALSE)</formula>
    </cfRule>
  </conditionalFormatting>
  <conditionalFormatting sqref="CO61">
    <cfRule type="expression" dxfId="3734" priority="3345" stopIfTrue="1">
      <formula>IF(CO61="-",TRUE,FALSE)</formula>
    </cfRule>
    <cfRule type="expression" dxfId="3733" priority="3346" stopIfTrue="1">
      <formula>IF(OR(CO61="OK"),FALSE,TRUE)</formula>
    </cfRule>
  </conditionalFormatting>
  <conditionalFormatting sqref="CN61">
    <cfRule type="expression" dxfId="3732" priority="3344" stopIfTrue="1">
      <formula>IF(CM$8="判定対象外",TRUE,FALSE)</formula>
    </cfRule>
  </conditionalFormatting>
  <conditionalFormatting sqref="CM61">
    <cfRule type="expression" dxfId="3731" priority="3343" stopIfTrue="1">
      <formula>IF(CM$8="判定対象外",TRUE,FALSE)</formula>
    </cfRule>
  </conditionalFormatting>
  <conditionalFormatting sqref="BR59">
    <cfRule type="expression" dxfId="3730" priority="3869" stopIfTrue="1">
      <formula>IF(BS$8="判定対象外",TRUE,FALSE)</formula>
    </cfRule>
  </conditionalFormatting>
  <conditionalFormatting sqref="BU59">
    <cfRule type="expression" dxfId="3729" priority="3867" stopIfTrue="1">
      <formula>IF(BU59="-",TRUE,FALSE)</formula>
    </cfRule>
    <cfRule type="expression" dxfId="3728" priority="3868" stopIfTrue="1">
      <formula>IF(OR(BU59="OK"),FALSE,TRUE)</formula>
    </cfRule>
  </conditionalFormatting>
  <conditionalFormatting sqref="BT59">
    <cfRule type="expression" dxfId="3727" priority="3866" stopIfTrue="1">
      <formula>IF(BS$8="判定対象外",TRUE,FALSE)</formula>
    </cfRule>
  </conditionalFormatting>
  <conditionalFormatting sqref="BS59">
    <cfRule type="expression" dxfId="3726" priority="3865" stopIfTrue="1">
      <formula>IF(BS$8="判定対象外",TRUE,FALSE)</formula>
    </cfRule>
  </conditionalFormatting>
  <conditionalFormatting sqref="DF62">
    <cfRule type="expression" dxfId="3725" priority="3057" stopIfTrue="1">
      <formula>IF(DG$8="判定対象外",TRUE,FALSE)</formula>
    </cfRule>
  </conditionalFormatting>
  <conditionalFormatting sqref="CH62">
    <cfRule type="expression" dxfId="3724" priority="3595" stopIfTrue="1">
      <formula>IF(CI$8="判定対象外",TRUE,FALSE)</formula>
    </cfRule>
  </conditionalFormatting>
  <conditionalFormatting sqref="BN61">
    <cfRule type="expression" dxfId="3723" priority="3863" stopIfTrue="1">
      <formula>IF(BO$8="判定対象外",TRUE,FALSE)</formula>
    </cfRule>
  </conditionalFormatting>
  <conditionalFormatting sqref="BQ61">
    <cfRule type="expression" dxfId="3722" priority="3861" stopIfTrue="1">
      <formula>IF(BQ61="-",TRUE,FALSE)</formula>
    </cfRule>
    <cfRule type="expression" dxfId="3721" priority="3862" stopIfTrue="1">
      <formula>IF(OR(BQ61="OK"),FALSE,TRUE)</formula>
    </cfRule>
  </conditionalFormatting>
  <conditionalFormatting sqref="BP61">
    <cfRule type="expression" dxfId="3720" priority="3860" stopIfTrue="1">
      <formula>IF(BO$8="判定対象外",TRUE,FALSE)</formula>
    </cfRule>
  </conditionalFormatting>
  <conditionalFormatting sqref="BO61">
    <cfRule type="expression" dxfId="3719" priority="3859" stopIfTrue="1">
      <formula>IF(BO$8="判定対象外",TRUE,FALSE)</formula>
    </cfRule>
  </conditionalFormatting>
  <conditionalFormatting sqref="BU61">
    <cfRule type="expression" dxfId="3718" priority="3857" stopIfTrue="1">
      <formula>IF(BU61="-",TRUE,FALSE)</formula>
    </cfRule>
    <cfRule type="expression" dxfId="3717" priority="3858" stopIfTrue="1">
      <formula>IF(OR(BU61="OK"),FALSE,TRUE)</formula>
    </cfRule>
  </conditionalFormatting>
  <conditionalFormatting sqref="BT61">
    <cfRule type="expression" dxfId="3716" priority="3856" stopIfTrue="1">
      <formula>IF(BS$8="判定対象外",TRUE,FALSE)</formula>
    </cfRule>
  </conditionalFormatting>
  <conditionalFormatting sqref="BS61">
    <cfRule type="expression" dxfId="3715" priority="3855" stopIfTrue="1">
      <formula>IF(BS$8="判定対象外",TRUE,FALSE)</formula>
    </cfRule>
  </conditionalFormatting>
  <conditionalFormatting sqref="BN60">
    <cfRule type="expression" dxfId="3714" priority="3852" stopIfTrue="1">
      <formula>IF(BO$8="判定対象外",TRUE,FALSE)</formula>
    </cfRule>
  </conditionalFormatting>
  <conditionalFormatting sqref="BQ60">
    <cfRule type="expression" dxfId="3713" priority="3850" stopIfTrue="1">
      <formula>IF(BQ60="-",TRUE,FALSE)</formula>
    </cfRule>
    <cfRule type="expression" dxfId="3712" priority="3851" stopIfTrue="1">
      <formula>IF(OR(BQ60="OK"),FALSE,TRUE)</formula>
    </cfRule>
  </conditionalFormatting>
  <conditionalFormatting sqref="BP60">
    <cfRule type="expression" dxfId="3711" priority="3849" stopIfTrue="1">
      <formula>IF(BO$8="判定対象外",TRUE,FALSE)</formula>
    </cfRule>
  </conditionalFormatting>
  <conditionalFormatting sqref="BO60">
    <cfRule type="expression" dxfId="3710" priority="3848" stopIfTrue="1">
      <formula>IF(BO$8="判定対象外",TRUE,FALSE)</formula>
    </cfRule>
  </conditionalFormatting>
  <conditionalFormatting sqref="BR60">
    <cfRule type="expression" dxfId="3709" priority="3847" stopIfTrue="1">
      <formula>IF(BS$8="判定対象外",TRUE,FALSE)</formula>
    </cfRule>
  </conditionalFormatting>
  <conditionalFormatting sqref="BU60">
    <cfRule type="expression" dxfId="3708" priority="3845" stopIfTrue="1">
      <formula>IF(BU60="-",TRUE,FALSE)</formula>
    </cfRule>
    <cfRule type="expression" dxfId="3707" priority="3846" stopIfTrue="1">
      <formula>IF(OR(BU60="OK"),FALSE,TRUE)</formula>
    </cfRule>
  </conditionalFormatting>
  <conditionalFormatting sqref="BT60">
    <cfRule type="expression" dxfId="3706" priority="3844" stopIfTrue="1">
      <formula>IF(BS$8="判定対象外",TRUE,FALSE)</formula>
    </cfRule>
  </conditionalFormatting>
  <conditionalFormatting sqref="BS60">
    <cfRule type="expression" dxfId="3705" priority="3843" stopIfTrue="1">
      <formula>IF(BS$8="判定対象外",TRUE,FALSE)</formula>
    </cfRule>
  </conditionalFormatting>
  <conditionalFormatting sqref="BV60">
    <cfRule type="expression" dxfId="3704" priority="3842" stopIfTrue="1">
      <formula>IF(BW$8="判定対象外",TRUE,FALSE)</formula>
    </cfRule>
  </conditionalFormatting>
  <conditionalFormatting sqref="CH19">
    <cfRule type="expression" dxfId="3703" priority="3674" stopIfTrue="1">
      <formula>IF(CI$8="判定対象外",TRUE,FALSE)</formula>
    </cfRule>
  </conditionalFormatting>
  <conditionalFormatting sqref="CH59">
    <cfRule type="expression" dxfId="3702" priority="3628" stopIfTrue="1">
      <formula>IF(CI$8="判定対象外",TRUE,FALSE)</formula>
    </cfRule>
  </conditionalFormatting>
  <conditionalFormatting sqref="BZ59">
    <cfRule type="expression" dxfId="3701" priority="3638" stopIfTrue="1">
      <formula>IF(CA$8="判定対象外",TRUE,FALSE)</formula>
    </cfRule>
  </conditionalFormatting>
  <conditionalFormatting sqref="CC59">
    <cfRule type="expression" dxfId="3700" priority="3636" stopIfTrue="1">
      <formula>IF(CC59="-",TRUE,FALSE)</formula>
    </cfRule>
    <cfRule type="expression" dxfId="3699" priority="3637" stopIfTrue="1">
      <formula>IF(OR(CC59="OK"),FALSE,TRUE)</formula>
    </cfRule>
  </conditionalFormatting>
  <conditionalFormatting sqref="CB59">
    <cfRule type="expression" dxfId="3698" priority="3635" stopIfTrue="1">
      <formula>IF(CA$8="判定対象外",TRUE,FALSE)</formula>
    </cfRule>
  </conditionalFormatting>
  <conditionalFormatting sqref="CA59">
    <cfRule type="expression" dxfId="3697" priority="3634" stopIfTrue="1">
      <formula>IF(CA$8="判定対象外",TRUE,FALSE)</formula>
    </cfRule>
  </conditionalFormatting>
  <conditionalFormatting sqref="DR63">
    <cfRule type="expression" dxfId="3696" priority="2774" stopIfTrue="1">
      <formula>IF(DS$8="判定対象外",TRUE,FALSE)</formula>
    </cfRule>
  </conditionalFormatting>
  <conditionalFormatting sqref="CH16:CH18">
    <cfRule type="expression" dxfId="3695" priority="3684" stopIfTrue="1">
      <formula>IF(CI$8="判定対象外",TRUE,FALSE)</formula>
    </cfRule>
  </conditionalFormatting>
  <conditionalFormatting sqref="CC8:CC10">
    <cfRule type="expression" dxfId="3694" priority="3840" stopIfTrue="1">
      <formula>IF(CC8="-",TRUE,FALSE)</formula>
    </cfRule>
    <cfRule type="expression" dxfId="3693" priority="3841" stopIfTrue="1">
      <formula>IF(OR(CC8="OK"),FALSE,TRUE)</formula>
    </cfRule>
  </conditionalFormatting>
  <conditionalFormatting sqref="BZ8:BZ10">
    <cfRule type="expression" dxfId="3692" priority="3839" stopIfTrue="1">
      <formula>IF(CA$8="判定対象外",TRUE,FALSE)</formula>
    </cfRule>
  </conditionalFormatting>
  <conditionalFormatting sqref="CA8:CA10">
    <cfRule type="expression" dxfId="3691" priority="3838" stopIfTrue="1">
      <formula>IF(CA$8="判定対象外",TRUE,FALSE)</formula>
    </cfRule>
  </conditionalFormatting>
  <conditionalFormatting sqref="CB8:CB10">
    <cfRule type="expression" dxfId="3690" priority="3837" stopIfTrue="1">
      <formula>IF(CA$8="判定対象外",TRUE,FALSE)</formula>
    </cfRule>
  </conditionalFormatting>
  <conditionalFormatting sqref="CC11:CC34 CC71:CC81 CC36:CC56">
    <cfRule type="expression" dxfId="3689" priority="3834" stopIfTrue="1">
      <formula>IF(CC11="-",TRUE,FALSE)</formula>
    </cfRule>
    <cfRule type="expression" dxfId="3688" priority="3835" stopIfTrue="1">
      <formula>IF(OR(CC11="OK"),FALSE,TRUE)</formula>
    </cfRule>
  </conditionalFormatting>
  <conditionalFormatting sqref="CB11:CB34 CB71:CB81 CB36:CB56">
    <cfRule type="expression" dxfId="3687" priority="3833" stopIfTrue="1">
      <formula>IF(CA$8="判定対象外",TRUE,FALSE)</formula>
    </cfRule>
  </conditionalFormatting>
  <conditionalFormatting sqref="BZ72:BZ81 BZ21:BZ34 BZ36:BZ46">
    <cfRule type="expression" dxfId="3686" priority="3832" stopIfTrue="1">
      <formula>IF(CA$8="判定対象外",TRUE,FALSE)</formula>
    </cfRule>
  </conditionalFormatting>
  <conditionalFormatting sqref="BZ29:BZ32">
    <cfRule type="expression" dxfId="3685" priority="3831" stopIfTrue="1">
      <formula>IF(CA$8="判定対象外",TRUE,FALSE)</formula>
    </cfRule>
  </conditionalFormatting>
  <conditionalFormatting sqref="BZ42:BZ44">
    <cfRule type="expression" dxfId="3684" priority="3830" stopIfTrue="1">
      <formula>IF(CA$8="判定対象外",TRUE,FALSE)</formula>
    </cfRule>
  </conditionalFormatting>
  <conditionalFormatting sqref="BZ46">
    <cfRule type="expression" dxfId="3683" priority="3829" stopIfTrue="1">
      <formula>IF(CA$8="判定対象外",TRUE,FALSE)</formula>
    </cfRule>
  </conditionalFormatting>
  <conditionalFormatting sqref="BZ42:BZ44">
    <cfRule type="expression" dxfId="3682" priority="3828" stopIfTrue="1">
      <formula>IF(CA$8="判定対象外",TRUE,FALSE)</formula>
    </cfRule>
  </conditionalFormatting>
  <conditionalFormatting sqref="BZ42:BZ44">
    <cfRule type="expression" dxfId="3681" priority="3827" stopIfTrue="1">
      <formula>IF(CA$8="判定対象外",TRUE,FALSE)</formula>
    </cfRule>
  </conditionalFormatting>
  <conditionalFormatting sqref="BZ42:BZ44">
    <cfRule type="expression" dxfId="3680" priority="3826" stopIfTrue="1">
      <formula>IF(CA$8="判定対象外",TRUE,FALSE)</formula>
    </cfRule>
  </conditionalFormatting>
  <conditionalFormatting sqref="BZ42:BZ44">
    <cfRule type="expression" dxfId="3679" priority="3825" stopIfTrue="1">
      <formula>IF(CA$8="判定対象外",TRUE,FALSE)</formula>
    </cfRule>
  </conditionalFormatting>
  <conditionalFormatting sqref="BZ42:BZ44">
    <cfRule type="expression" dxfId="3678" priority="3824" stopIfTrue="1">
      <formula>IF(CA$8="判定対象外",TRUE,FALSE)</formula>
    </cfRule>
  </conditionalFormatting>
  <conditionalFormatting sqref="BZ42:BZ44">
    <cfRule type="expression" dxfId="3677" priority="3823" stopIfTrue="1">
      <formula>IF(CA$8="判定対象外",TRUE,FALSE)</formula>
    </cfRule>
  </conditionalFormatting>
  <conditionalFormatting sqref="BZ42:BZ44">
    <cfRule type="expression" dxfId="3676" priority="3822" stopIfTrue="1">
      <formula>IF(CA$8="判定対象外",TRUE,FALSE)</formula>
    </cfRule>
  </conditionalFormatting>
  <conditionalFormatting sqref="BZ38">
    <cfRule type="expression" dxfId="3675" priority="3836" stopIfTrue="1">
      <formula>IF(#REF!="判定対象外",TRUE,FALSE)</formula>
    </cfRule>
  </conditionalFormatting>
  <conditionalFormatting sqref="CA11:CA34 CA71:CA81 CA36:CA56">
    <cfRule type="expression" dxfId="3674" priority="3821" stopIfTrue="1">
      <formula>IF(CA$8="判定対象外",TRUE,FALSE)</formula>
    </cfRule>
  </conditionalFormatting>
  <conditionalFormatting sqref="BZ48">
    <cfRule type="expression" dxfId="3673" priority="3820" stopIfTrue="1">
      <formula>IF(CA$8="判定対象外",TRUE,FALSE)</formula>
    </cfRule>
  </conditionalFormatting>
  <conditionalFormatting sqref="BZ51">
    <cfRule type="expression" dxfId="3672" priority="3819" stopIfTrue="1">
      <formula>IF(CA$8="判定対象外",TRUE,FALSE)</formula>
    </cfRule>
  </conditionalFormatting>
  <conditionalFormatting sqref="BZ52 BZ55 BZ64 BZ67 BZ70">
    <cfRule type="expression" dxfId="3671" priority="3818" stopIfTrue="1">
      <formula>IF(CA$8="判定対象外",TRUE,FALSE)</formula>
    </cfRule>
  </conditionalFormatting>
  <conditionalFormatting sqref="BZ11:BZ20">
    <cfRule type="expression" dxfId="3670" priority="3817" stopIfTrue="1">
      <formula>IF(CA$8="判定対象外",TRUE,FALSE)</formula>
    </cfRule>
  </conditionalFormatting>
  <conditionalFormatting sqref="BZ16:BZ18">
    <cfRule type="expression" dxfId="3669" priority="3816" stopIfTrue="1">
      <formula>IF(CA$8="判定対象外",TRUE,FALSE)</formula>
    </cfRule>
  </conditionalFormatting>
  <conditionalFormatting sqref="BZ20">
    <cfRule type="expression" dxfId="3668" priority="3815" stopIfTrue="1">
      <formula>IF(CA$8="判定対象外",TRUE,FALSE)</formula>
    </cfRule>
  </conditionalFormatting>
  <conditionalFormatting sqref="BZ16:BZ20">
    <cfRule type="expression" dxfId="3667" priority="3814" stopIfTrue="1">
      <formula>IF(CA$8="判定対象外",TRUE,FALSE)</formula>
    </cfRule>
  </conditionalFormatting>
  <conditionalFormatting sqref="BZ11:BZ20">
    <cfRule type="expression" dxfId="3666" priority="3813" stopIfTrue="1">
      <formula>IF(CA$8="判定対象外",TRUE,FALSE)</formula>
    </cfRule>
  </conditionalFormatting>
  <conditionalFormatting sqref="BZ16:BZ18">
    <cfRule type="expression" dxfId="3665" priority="3812" stopIfTrue="1">
      <formula>IF(CA$8="判定対象外",TRUE,FALSE)</formula>
    </cfRule>
  </conditionalFormatting>
  <conditionalFormatting sqref="BZ20">
    <cfRule type="expression" dxfId="3664" priority="3811" stopIfTrue="1">
      <formula>IF(CA$8="判定対象外",TRUE,FALSE)</formula>
    </cfRule>
  </conditionalFormatting>
  <conditionalFormatting sqref="BZ16:BZ20">
    <cfRule type="expression" dxfId="3663" priority="3810" stopIfTrue="1">
      <formula>IF(CA$8="判定対象外",TRUE,FALSE)</formula>
    </cfRule>
  </conditionalFormatting>
  <conditionalFormatting sqref="BZ11:BZ20">
    <cfRule type="expression" dxfId="3662" priority="3809" stopIfTrue="1">
      <formula>IF(CA$8="判定対象外",TRUE,FALSE)</formula>
    </cfRule>
  </conditionalFormatting>
  <conditionalFormatting sqref="BZ16:BZ18">
    <cfRule type="expression" dxfId="3661" priority="3808" stopIfTrue="1">
      <formula>IF(CA$8="判定対象外",TRUE,FALSE)</formula>
    </cfRule>
  </conditionalFormatting>
  <conditionalFormatting sqref="BZ20">
    <cfRule type="expression" dxfId="3660" priority="3807" stopIfTrue="1">
      <formula>IF(CA$8="判定対象外",TRUE,FALSE)</formula>
    </cfRule>
  </conditionalFormatting>
  <conditionalFormatting sqref="BZ16:BZ20">
    <cfRule type="expression" dxfId="3659" priority="3806" stopIfTrue="1">
      <formula>IF(CA$8="判定対象外",TRUE,FALSE)</formula>
    </cfRule>
  </conditionalFormatting>
  <conditionalFormatting sqref="BZ11:BZ13">
    <cfRule type="expression" dxfId="3658" priority="3805" stopIfTrue="1">
      <formula>IF(CA$8="判定対象外",TRUE,FALSE)</formula>
    </cfRule>
  </conditionalFormatting>
  <conditionalFormatting sqref="BZ15">
    <cfRule type="expression" dxfId="3657" priority="3804" stopIfTrue="1">
      <formula>IF(CA$8="判定対象外",TRUE,FALSE)</formula>
    </cfRule>
  </conditionalFormatting>
  <conditionalFormatting sqref="BZ19">
    <cfRule type="expression" dxfId="3656" priority="3803" stopIfTrue="1">
      <formula>IF(CA$8="判定対象外",TRUE,FALSE)</formula>
    </cfRule>
  </conditionalFormatting>
  <conditionalFormatting sqref="BZ19">
    <cfRule type="expression" dxfId="3655" priority="3802" stopIfTrue="1">
      <formula>IF(CA$8="判定対象外",TRUE,FALSE)</formula>
    </cfRule>
  </conditionalFormatting>
  <conditionalFormatting sqref="BZ20">
    <cfRule type="expression" dxfId="3654" priority="3801" stopIfTrue="1">
      <formula>IF(CA$8="判定対象外",TRUE,FALSE)</formula>
    </cfRule>
  </conditionalFormatting>
  <conditionalFormatting sqref="BZ20">
    <cfRule type="expression" dxfId="3653" priority="3800" stopIfTrue="1">
      <formula>IF(CA$8="判定対象外",TRUE,FALSE)</formula>
    </cfRule>
  </conditionalFormatting>
  <conditionalFormatting sqref="BZ20">
    <cfRule type="expression" dxfId="3652" priority="3799" stopIfTrue="1">
      <formula>IF(CA$8="判定対象外",TRUE,FALSE)</formula>
    </cfRule>
  </conditionalFormatting>
  <conditionalFormatting sqref="BZ13">
    <cfRule type="expression" dxfId="3651" priority="3798" stopIfTrue="1">
      <formula>IF(CA$8="判定対象外",TRUE,FALSE)</formula>
    </cfRule>
  </conditionalFormatting>
  <conditionalFormatting sqref="BZ47">
    <cfRule type="expression" dxfId="3650" priority="3797" stopIfTrue="1">
      <formula>IF(CA$8="判定対象外",TRUE,FALSE)</formula>
    </cfRule>
  </conditionalFormatting>
  <conditionalFormatting sqref="BZ47">
    <cfRule type="expression" dxfId="3649" priority="3796" stopIfTrue="1">
      <formula>IF(CA$8="判定対象外",TRUE,FALSE)</formula>
    </cfRule>
  </conditionalFormatting>
  <conditionalFormatting sqref="BZ49">
    <cfRule type="expression" dxfId="3648" priority="3795" stopIfTrue="1">
      <formula>IF(CA$8="判定対象外",TRUE,FALSE)</formula>
    </cfRule>
  </conditionalFormatting>
  <conditionalFormatting sqref="BZ49">
    <cfRule type="expression" dxfId="3647" priority="3794" stopIfTrue="1">
      <formula>IF(CA$8="判定対象外",TRUE,FALSE)</formula>
    </cfRule>
  </conditionalFormatting>
  <conditionalFormatting sqref="BZ50">
    <cfRule type="expression" dxfId="3646" priority="3793" stopIfTrue="1">
      <formula>IF(CA$8="判定対象外",TRUE,FALSE)</formula>
    </cfRule>
  </conditionalFormatting>
  <conditionalFormatting sqref="BZ50">
    <cfRule type="expression" dxfId="3645" priority="3792" stopIfTrue="1">
      <formula>IF(CA$8="判定対象外",TRUE,FALSE)</formula>
    </cfRule>
  </conditionalFormatting>
  <conditionalFormatting sqref="BZ53 BZ56 BZ65 BZ68 BZ71">
    <cfRule type="expression" dxfId="3644" priority="3791" stopIfTrue="1">
      <formula>IF(CA$8="判定対象外",TRUE,FALSE)</formula>
    </cfRule>
  </conditionalFormatting>
  <conditionalFormatting sqref="BZ54 BZ57 BZ63 BZ66 BZ69">
    <cfRule type="expression" dxfId="3643" priority="3790" stopIfTrue="1">
      <formula>IF(CA$8="判定対象外",TRUE,FALSE)</formula>
    </cfRule>
  </conditionalFormatting>
  <conditionalFormatting sqref="CC57">
    <cfRule type="expression" dxfId="3642" priority="3788" stopIfTrue="1">
      <formula>IF(CC57="-",TRUE,FALSE)</formula>
    </cfRule>
    <cfRule type="expression" dxfId="3641" priority="3789" stopIfTrue="1">
      <formula>IF(OR(CC57="OK"),FALSE,TRUE)</formula>
    </cfRule>
  </conditionalFormatting>
  <conditionalFormatting sqref="CB57">
    <cfRule type="expression" dxfId="3640" priority="3787" stopIfTrue="1">
      <formula>IF(CA$8="判定対象外",TRUE,FALSE)</formula>
    </cfRule>
  </conditionalFormatting>
  <conditionalFormatting sqref="CA57">
    <cfRule type="expression" dxfId="3639" priority="3786" stopIfTrue="1">
      <formula>IF(CA$8="判定対象外",TRUE,FALSE)</formula>
    </cfRule>
  </conditionalFormatting>
  <conditionalFormatting sqref="CC63:CC64">
    <cfRule type="expression" dxfId="3638" priority="3784" stopIfTrue="1">
      <formula>IF(CC63="-",TRUE,FALSE)</formula>
    </cfRule>
    <cfRule type="expression" dxfId="3637" priority="3785" stopIfTrue="1">
      <formula>IF(OR(CC63="OK"),FALSE,TRUE)</formula>
    </cfRule>
  </conditionalFormatting>
  <conditionalFormatting sqref="CB63:CB64">
    <cfRule type="expression" dxfId="3636" priority="3783" stopIfTrue="1">
      <formula>IF(CA$8="判定対象外",TRUE,FALSE)</formula>
    </cfRule>
  </conditionalFormatting>
  <conditionalFormatting sqref="CA63:CA64">
    <cfRule type="expression" dxfId="3635" priority="3782" stopIfTrue="1">
      <formula>IF(CA$8="判定対象外",TRUE,FALSE)</formula>
    </cfRule>
  </conditionalFormatting>
  <conditionalFormatting sqref="CC65:CC70">
    <cfRule type="expression" dxfId="3634" priority="3780" stopIfTrue="1">
      <formula>IF(CC65="-",TRUE,FALSE)</formula>
    </cfRule>
    <cfRule type="expression" dxfId="3633" priority="3781" stopIfTrue="1">
      <formula>IF(OR(CC65="OK"),FALSE,TRUE)</formula>
    </cfRule>
  </conditionalFormatting>
  <conditionalFormatting sqref="CB65:CB70">
    <cfRule type="expression" dxfId="3632" priority="3779" stopIfTrue="1">
      <formula>IF(CA$8="判定対象外",TRUE,FALSE)</formula>
    </cfRule>
  </conditionalFormatting>
  <conditionalFormatting sqref="CA65:CA70">
    <cfRule type="expression" dxfId="3631" priority="3778" stopIfTrue="1">
      <formula>IF(CA$8="判定対象外",TRUE,FALSE)</formula>
    </cfRule>
  </conditionalFormatting>
  <conditionalFormatting sqref="CG8:CG10">
    <cfRule type="expression" dxfId="3630" priority="3776" stopIfTrue="1">
      <formula>IF(CG8="-",TRUE,FALSE)</formula>
    </cfRule>
    <cfRule type="expression" dxfId="3629" priority="3777" stopIfTrue="1">
      <formula>IF(OR(CG8="OK"),FALSE,TRUE)</formula>
    </cfRule>
  </conditionalFormatting>
  <conditionalFormatting sqref="CD8:CD10">
    <cfRule type="expression" dxfId="3628" priority="3775" stopIfTrue="1">
      <formula>IF(CE$8="判定対象外",TRUE,FALSE)</formula>
    </cfRule>
  </conditionalFormatting>
  <conditionalFormatting sqref="CE8:CE10">
    <cfRule type="expression" dxfId="3627" priority="3774" stopIfTrue="1">
      <formula>IF(CE$8="判定対象外",TRUE,FALSE)</formula>
    </cfRule>
  </conditionalFormatting>
  <conditionalFormatting sqref="CF8:CF10">
    <cfRule type="expression" dxfId="3626" priority="3773" stopIfTrue="1">
      <formula>IF(CE$8="判定対象外",TRUE,FALSE)</formula>
    </cfRule>
  </conditionalFormatting>
  <conditionalFormatting sqref="CG11:CG34 CG71:CG81 CG36:CG56">
    <cfRule type="expression" dxfId="3625" priority="3770" stopIfTrue="1">
      <formula>IF(CG11="-",TRUE,FALSE)</formula>
    </cfRule>
    <cfRule type="expression" dxfId="3624" priority="3771" stopIfTrue="1">
      <formula>IF(OR(CG11="OK"),FALSE,TRUE)</formula>
    </cfRule>
  </conditionalFormatting>
  <conditionalFormatting sqref="CF11:CF34 CF71:CF81 CF36:CF56">
    <cfRule type="expression" dxfId="3623" priority="3769" stopIfTrue="1">
      <formula>IF(CE$8="判定対象外",TRUE,FALSE)</formula>
    </cfRule>
  </conditionalFormatting>
  <conditionalFormatting sqref="CD72:CD81 CD21:CD34 CD36:CD46">
    <cfRule type="expression" dxfId="3622" priority="3768" stopIfTrue="1">
      <formula>IF(CE$8="判定対象外",TRUE,FALSE)</formula>
    </cfRule>
  </conditionalFormatting>
  <conditionalFormatting sqref="CD29:CD32">
    <cfRule type="expression" dxfId="3621" priority="3767" stopIfTrue="1">
      <formula>IF(CE$8="判定対象外",TRUE,FALSE)</formula>
    </cfRule>
  </conditionalFormatting>
  <conditionalFormatting sqref="CD42:CD44">
    <cfRule type="expression" dxfId="3620" priority="3766" stopIfTrue="1">
      <formula>IF(CE$8="判定対象外",TRUE,FALSE)</formula>
    </cfRule>
  </conditionalFormatting>
  <conditionalFormatting sqref="CD46">
    <cfRule type="expression" dxfId="3619" priority="3765" stopIfTrue="1">
      <formula>IF(CE$8="判定対象外",TRUE,FALSE)</formula>
    </cfRule>
  </conditionalFormatting>
  <conditionalFormatting sqref="CD42:CD44">
    <cfRule type="expression" dxfId="3618" priority="3764" stopIfTrue="1">
      <formula>IF(CE$8="判定対象外",TRUE,FALSE)</formula>
    </cfRule>
  </conditionalFormatting>
  <conditionalFormatting sqref="CD42:CD44">
    <cfRule type="expression" dxfId="3617" priority="3763" stopIfTrue="1">
      <formula>IF(CE$8="判定対象外",TRUE,FALSE)</formula>
    </cfRule>
  </conditionalFormatting>
  <conditionalFormatting sqref="CD42:CD44">
    <cfRule type="expression" dxfId="3616" priority="3762" stopIfTrue="1">
      <formula>IF(CE$8="判定対象外",TRUE,FALSE)</formula>
    </cfRule>
  </conditionalFormatting>
  <conditionalFormatting sqref="CD42:CD44">
    <cfRule type="expression" dxfId="3615" priority="3761" stopIfTrue="1">
      <formula>IF(CE$8="判定対象外",TRUE,FALSE)</formula>
    </cfRule>
  </conditionalFormatting>
  <conditionalFormatting sqref="CD42:CD44">
    <cfRule type="expression" dxfId="3614" priority="3760" stopIfTrue="1">
      <formula>IF(CE$8="判定対象外",TRUE,FALSE)</formula>
    </cfRule>
  </conditionalFormatting>
  <conditionalFormatting sqref="CD42:CD44">
    <cfRule type="expression" dxfId="3613" priority="3759" stopIfTrue="1">
      <formula>IF(CE$8="判定対象外",TRUE,FALSE)</formula>
    </cfRule>
  </conditionalFormatting>
  <conditionalFormatting sqref="CD42:CD44">
    <cfRule type="expression" dxfId="3612" priority="3758" stopIfTrue="1">
      <formula>IF(CE$8="判定対象外",TRUE,FALSE)</formula>
    </cfRule>
  </conditionalFormatting>
  <conditionalFormatting sqref="CD38">
    <cfRule type="expression" dxfId="3611" priority="3772" stopIfTrue="1">
      <formula>IF(#REF!="判定対象外",TRUE,FALSE)</formula>
    </cfRule>
  </conditionalFormatting>
  <conditionalFormatting sqref="CE11:CE34 CE71:CE81 CE36:CE56">
    <cfRule type="expression" dxfId="3610" priority="3757" stopIfTrue="1">
      <formula>IF(CE$8="判定対象外",TRUE,FALSE)</formula>
    </cfRule>
  </conditionalFormatting>
  <conditionalFormatting sqref="CD48">
    <cfRule type="expression" dxfId="3609" priority="3756" stopIfTrue="1">
      <formula>IF(CE$8="判定対象外",TRUE,FALSE)</formula>
    </cfRule>
  </conditionalFormatting>
  <conditionalFormatting sqref="CD51">
    <cfRule type="expression" dxfId="3608" priority="3755" stopIfTrue="1">
      <formula>IF(CE$8="判定対象外",TRUE,FALSE)</formula>
    </cfRule>
  </conditionalFormatting>
  <conditionalFormatting sqref="CD52 CD55 CD64 CD67 CD70">
    <cfRule type="expression" dxfId="3607" priority="3754" stopIfTrue="1">
      <formula>IF(CE$8="判定対象外",TRUE,FALSE)</formula>
    </cfRule>
  </conditionalFormatting>
  <conditionalFormatting sqref="CD11:CD20">
    <cfRule type="expression" dxfId="3606" priority="3753" stopIfTrue="1">
      <formula>IF(CE$8="判定対象外",TRUE,FALSE)</formula>
    </cfRule>
  </conditionalFormatting>
  <conditionalFormatting sqref="CD16:CD18">
    <cfRule type="expression" dxfId="3605" priority="3752" stopIfTrue="1">
      <formula>IF(CE$8="判定対象外",TRUE,FALSE)</formula>
    </cfRule>
  </conditionalFormatting>
  <conditionalFormatting sqref="CD20">
    <cfRule type="expression" dxfId="3604" priority="3751" stopIfTrue="1">
      <formula>IF(CE$8="判定対象外",TRUE,FALSE)</formula>
    </cfRule>
  </conditionalFormatting>
  <conditionalFormatting sqref="CD16:CD20">
    <cfRule type="expression" dxfId="3603" priority="3750" stopIfTrue="1">
      <formula>IF(CE$8="判定対象外",TRUE,FALSE)</formula>
    </cfRule>
  </conditionalFormatting>
  <conditionalFormatting sqref="CD11:CD20">
    <cfRule type="expression" dxfId="3602" priority="3749" stopIfTrue="1">
      <formula>IF(CE$8="判定対象外",TRUE,FALSE)</formula>
    </cfRule>
  </conditionalFormatting>
  <conditionalFormatting sqref="CD16:CD18">
    <cfRule type="expression" dxfId="3601" priority="3748" stopIfTrue="1">
      <formula>IF(CE$8="判定対象外",TRUE,FALSE)</formula>
    </cfRule>
  </conditionalFormatting>
  <conditionalFormatting sqref="CD20">
    <cfRule type="expression" dxfId="3600" priority="3747" stopIfTrue="1">
      <formula>IF(CE$8="判定対象外",TRUE,FALSE)</formula>
    </cfRule>
  </conditionalFormatting>
  <conditionalFormatting sqref="CD16:CD20">
    <cfRule type="expression" dxfId="3599" priority="3746" stopIfTrue="1">
      <formula>IF(CE$8="判定対象外",TRUE,FALSE)</formula>
    </cfRule>
  </conditionalFormatting>
  <conditionalFormatting sqref="CD11:CD20">
    <cfRule type="expression" dxfId="3598" priority="3745" stopIfTrue="1">
      <formula>IF(CE$8="判定対象外",TRUE,FALSE)</formula>
    </cfRule>
  </conditionalFormatting>
  <conditionalFormatting sqref="CD16:CD18">
    <cfRule type="expression" dxfId="3597" priority="3744" stopIfTrue="1">
      <formula>IF(CE$8="判定対象外",TRUE,FALSE)</formula>
    </cfRule>
  </conditionalFormatting>
  <conditionalFormatting sqref="CD20">
    <cfRule type="expression" dxfId="3596" priority="3743" stopIfTrue="1">
      <formula>IF(CE$8="判定対象外",TRUE,FALSE)</formula>
    </cfRule>
  </conditionalFormatting>
  <conditionalFormatting sqref="CD16:CD20">
    <cfRule type="expression" dxfId="3595" priority="3742" stopIfTrue="1">
      <formula>IF(CE$8="判定対象外",TRUE,FALSE)</formula>
    </cfRule>
  </conditionalFormatting>
  <conditionalFormatting sqref="CD11:CD13">
    <cfRule type="expression" dxfId="3594" priority="3741" stopIfTrue="1">
      <formula>IF(CE$8="判定対象外",TRUE,FALSE)</formula>
    </cfRule>
  </conditionalFormatting>
  <conditionalFormatting sqref="CD15">
    <cfRule type="expression" dxfId="3593" priority="3740" stopIfTrue="1">
      <formula>IF(CE$8="判定対象外",TRUE,FALSE)</formula>
    </cfRule>
  </conditionalFormatting>
  <conditionalFormatting sqref="CD19">
    <cfRule type="expression" dxfId="3592" priority="3739" stopIfTrue="1">
      <formula>IF(CE$8="判定対象外",TRUE,FALSE)</formula>
    </cfRule>
  </conditionalFormatting>
  <conditionalFormatting sqref="CD19">
    <cfRule type="expression" dxfId="3591" priority="3738" stopIfTrue="1">
      <formula>IF(CE$8="判定対象外",TRUE,FALSE)</formula>
    </cfRule>
  </conditionalFormatting>
  <conditionalFormatting sqref="CD20">
    <cfRule type="expression" dxfId="3590" priority="3737" stopIfTrue="1">
      <formula>IF(CE$8="判定対象外",TRUE,FALSE)</formula>
    </cfRule>
  </conditionalFormatting>
  <conditionalFormatting sqref="CD20">
    <cfRule type="expression" dxfId="3589" priority="3736" stopIfTrue="1">
      <formula>IF(CE$8="判定対象外",TRUE,FALSE)</formula>
    </cfRule>
  </conditionalFormatting>
  <conditionalFormatting sqref="CD20">
    <cfRule type="expression" dxfId="3588" priority="3735" stopIfTrue="1">
      <formula>IF(CE$8="判定対象外",TRUE,FALSE)</formula>
    </cfRule>
  </conditionalFormatting>
  <conditionalFormatting sqref="CD13">
    <cfRule type="expression" dxfId="3587" priority="3734" stopIfTrue="1">
      <formula>IF(CE$8="判定対象外",TRUE,FALSE)</formula>
    </cfRule>
  </conditionalFormatting>
  <conditionalFormatting sqref="CD47">
    <cfRule type="expression" dxfId="3586" priority="3733" stopIfTrue="1">
      <formula>IF(CE$8="判定対象外",TRUE,FALSE)</formula>
    </cfRule>
  </conditionalFormatting>
  <conditionalFormatting sqref="CD47">
    <cfRule type="expression" dxfId="3585" priority="3732" stopIfTrue="1">
      <formula>IF(CE$8="判定対象外",TRUE,FALSE)</formula>
    </cfRule>
  </conditionalFormatting>
  <conditionalFormatting sqref="CD49">
    <cfRule type="expression" dxfId="3584" priority="3731" stopIfTrue="1">
      <formula>IF(CE$8="判定対象外",TRUE,FALSE)</formula>
    </cfRule>
  </conditionalFormatting>
  <conditionalFormatting sqref="CD49">
    <cfRule type="expression" dxfId="3583" priority="3730" stopIfTrue="1">
      <formula>IF(CE$8="判定対象外",TRUE,FALSE)</formula>
    </cfRule>
  </conditionalFormatting>
  <conditionalFormatting sqref="CD50">
    <cfRule type="expression" dxfId="3582" priority="3729" stopIfTrue="1">
      <formula>IF(CE$8="判定対象外",TRUE,FALSE)</formula>
    </cfRule>
  </conditionalFormatting>
  <conditionalFormatting sqref="CD50">
    <cfRule type="expression" dxfId="3581" priority="3728" stopIfTrue="1">
      <formula>IF(CE$8="判定対象外",TRUE,FALSE)</formula>
    </cfRule>
  </conditionalFormatting>
  <conditionalFormatting sqref="CD53 CD56 CD65 CD68 CD71">
    <cfRule type="expression" dxfId="3580" priority="3727" stopIfTrue="1">
      <formula>IF(CE$8="判定対象外",TRUE,FALSE)</formula>
    </cfRule>
  </conditionalFormatting>
  <conditionalFormatting sqref="CD54 CD57 CD63 CD66 CD69">
    <cfRule type="expression" dxfId="3579" priority="3726" stopIfTrue="1">
      <formula>IF(CE$8="判定対象外",TRUE,FALSE)</formula>
    </cfRule>
  </conditionalFormatting>
  <conditionalFormatting sqref="CG57">
    <cfRule type="expression" dxfId="3578" priority="3724" stopIfTrue="1">
      <formula>IF(CG57="-",TRUE,FALSE)</formula>
    </cfRule>
    <cfRule type="expression" dxfId="3577" priority="3725" stopIfTrue="1">
      <formula>IF(OR(CG57="OK"),FALSE,TRUE)</formula>
    </cfRule>
  </conditionalFormatting>
  <conditionalFormatting sqref="CF57">
    <cfRule type="expression" dxfId="3576" priority="3723" stopIfTrue="1">
      <formula>IF(CE$8="判定対象外",TRUE,FALSE)</formula>
    </cfRule>
  </conditionalFormatting>
  <conditionalFormatting sqref="CE57">
    <cfRule type="expression" dxfId="3575" priority="3722" stopIfTrue="1">
      <formula>IF(CE$8="判定対象外",TRUE,FALSE)</formula>
    </cfRule>
  </conditionalFormatting>
  <conditionalFormatting sqref="CG63:CG64">
    <cfRule type="expression" dxfId="3574" priority="3720" stopIfTrue="1">
      <formula>IF(CG63="-",TRUE,FALSE)</formula>
    </cfRule>
    <cfRule type="expression" dxfId="3573" priority="3721" stopIfTrue="1">
      <formula>IF(OR(CG63="OK"),FALSE,TRUE)</formula>
    </cfRule>
  </conditionalFormatting>
  <conditionalFormatting sqref="CF63:CF64">
    <cfRule type="expression" dxfId="3572" priority="3719" stopIfTrue="1">
      <formula>IF(CE$8="判定対象外",TRUE,FALSE)</formula>
    </cfRule>
  </conditionalFormatting>
  <conditionalFormatting sqref="CE63:CE64">
    <cfRule type="expression" dxfId="3571" priority="3718" stopIfTrue="1">
      <formula>IF(CE$8="判定対象外",TRUE,FALSE)</formula>
    </cfRule>
  </conditionalFormatting>
  <conditionalFormatting sqref="CG65:CG70">
    <cfRule type="expression" dxfId="3570" priority="3716" stopIfTrue="1">
      <formula>IF(CG65="-",TRUE,FALSE)</formula>
    </cfRule>
    <cfRule type="expression" dxfId="3569" priority="3717" stopIfTrue="1">
      <formula>IF(OR(CG65="OK"),FALSE,TRUE)</formula>
    </cfRule>
  </conditionalFormatting>
  <conditionalFormatting sqref="CF65:CF70">
    <cfRule type="expression" dxfId="3568" priority="3715" stopIfTrue="1">
      <formula>IF(CE$8="判定対象外",TRUE,FALSE)</formula>
    </cfRule>
  </conditionalFormatting>
  <conditionalFormatting sqref="CE65:CE70">
    <cfRule type="expression" dxfId="3567" priority="3714" stopIfTrue="1">
      <formula>IF(CE$8="判定対象外",TRUE,FALSE)</formula>
    </cfRule>
  </conditionalFormatting>
  <conditionalFormatting sqref="CH29:CH32">
    <cfRule type="expression" dxfId="3566" priority="3703" stopIfTrue="1">
      <formula>IF(CI$8="判定対象外",TRUE,FALSE)</formula>
    </cfRule>
  </conditionalFormatting>
  <conditionalFormatting sqref="CK8:CK10">
    <cfRule type="expression" dxfId="3565" priority="3712" stopIfTrue="1">
      <formula>IF(CK8="-",TRUE,FALSE)</formula>
    </cfRule>
    <cfRule type="expression" dxfId="3564" priority="3713" stopIfTrue="1">
      <formula>IF(OR(CK8="OK"),FALSE,TRUE)</formula>
    </cfRule>
  </conditionalFormatting>
  <conditionalFormatting sqref="CH8:CH10">
    <cfRule type="expression" dxfId="3563" priority="3711" stopIfTrue="1">
      <formula>IF(CI$8="判定対象外",TRUE,FALSE)</formula>
    </cfRule>
  </conditionalFormatting>
  <conditionalFormatting sqref="CI8:CI10">
    <cfRule type="expression" dxfId="3562" priority="3710" stopIfTrue="1">
      <formula>IF(CI$8="判定対象外",TRUE,FALSE)</formula>
    </cfRule>
  </conditionalFormatting>
  <conditionalFormatting sqref="CJ8:CJ10">
    <cfRule type="expression" dxfId="3561" priority="3709" stopIfTrue="1">
      <formula>IF(CI$8="判定対象外",TRUE,FALSE)</formula>
    </cfRule>
  </conditionalFormatting>
  <conditionalFormatting sqref="CK11:CK34 CK71:CK81 CK36:CK56">
    <cfRule type="expression" dxfId="3560" priority="3706" stopIfTrue="1">
      <formula>IF(CK11="-",TRUE,FALSE)</formula>
    </cfRule>
    <cfRule type="expression" dxfId="3559" priority="3707" stopIfTrue="1">
      <formula>IF(OR(CK11="OK"),FALSE,TRUE)</formula>
    </cfRule>
  </conditionalFormatting>
  <conditionalFormatting sqref="CJ11:CJ34 CJ71:CJ81 CJ36:CJ56">
    <cfRule type="expression" dxfId="3558" priority="3705" stopIfTrue="1">
      <formula>IF(CI$8="判定対象外",TRUE,FALSE)</formula>
    </cfRule>
  </conditionalFormatting>
  <conditionalFormatting sqref="CH72:CH81 CH21:CH34 CH36:CH46">
    <cfRule type="expression" dxfId="3557" priority="3704" stopIfTrue="1">
      <formula>IF(CI$8="判定対象外",TRUE,FALSE)</formula>
    </cfRule>
  </conditionalFormatting>
  <conditionalFormatting sqref="CH42:CH44">
    <cfRule type="expression" dxfId="3556" priority="3702" stopIfTrue="1">
      <formula>IF(CI$8="判定対象外",TRUE,FALSE)</formula>
    </cfRule>
  </conditionalFormatting>
  <conditionalFormatting sqref="CH46">
    <cfRule type="expression" dxfId="3555" priority="3701" stopIfTrue="1">
      <formula>IF(CI$8="判定対象外",TRUE,FALSE)</formula>
    </cfRule>
  </conditionalFormatting>
  <conditionalFormatting sqref="CH42:CH44">
    <cfRule type="expression" dxfId="3554" priority="3700" stopIfTrue="1">
      <formula>IF(CI$8="判定対象外",TRUE,FALSE)</formula>
    </cfRule>
  </conditionalFormatting>
  <conditionalFormatting sqref="CH42:CH44">
    <cfRule type="expression" dxfId="3553" priority="3699" stopIfTrue="1">
      <formula>IF(CI$8="判定対象外",TRUE,FALSE)</formula>
    </cfRule>
  </conditionalFormatting>
  <conditionalFormatting sqref="CH42:CH44">
    <cfRule type="expression" dxfId="3552" priority="3698" stopIfTrue="1">
      <formula>IF(CI$8="判定対象外",TRUE,FALSE)</formula>
    </cfRule>
  </conditionalFormatting>
  <conditionalFormatting sqref="CH42:CH44">
    <cfRule type="expression" dxfId="3551" priority="3697" stopIfTrue="1">
      <formula>IF(CI$8="判定対象外",TRUE,FALSE)</formula>
    </cfRule>
  </conditionalFormatting>
  <conditionalFormatting sqref="CH42:CH44">
    <cfRule type="expression" dxfId="3550" priority="3696" stopIfTrue="1">
      <formula>IF(CI$8="判定対象外",TRUE,FALSE)</formula>
    </cfRule>
  </conditionalFormatting>
  <conditionalFormatting sqref="CH42:CH44">
    <cfRule type="expression" dxfId="3549" priority="3695" stopIfTrue="1">
      <formula>IF(CI$8="判定対象外",TRUE,FALSE)</formula>
    </cfRule>
  </conditionalFormatting>
  <conditionalFormatting sqref="CH42:CH44">
    <cfRule type="expression" dxfId="3548" priority="3694" stopIfTrue="1">
      <formula>IF(CI$8="判定対象外",TRUE,FALSE)</formula>
    </cfRule>
  </conditionalFormatting>
  <conditionalFormatting sqref="CH38">
    <cfRule type="expression" dxfId="3547" priority="3708" stopIfTrue="1">
      <formula>IF(#REF!="判定対象外",TRUE,FALSE)</formula>
    </cfRule>
  </conditionalFormatting>
  <conditionalFormatting sqref="CI11:CI34 CI71:CI81 CI36:CI56">
    <cfRule type="expression" dxfId="3546" priority="3693" stopIfTrue="1">
      <formula>IF(CI$8="判定対象外",TRUE,FALSE)</formula>
    </cfRule>
  </conditionalFormatting>
  <conditionalFormatting sqref="CH48">
    <cfRule type="expression" dxfId="3545" priority="3692" stopIfTrue="1">
      <formula>IF(CI$8="判定対象外",TRUE,FALSE)</formula>
    </cfRule>
  </conditionalFormatting>
  <conditionalFormatting sqref="CH51">
    <cfRule type="expression" dxfId="3544" priority="3691" stopIfTrue="1">
      <formula>IF(CI$8="判定対象外",TRUE,FALSE)</formula>
    </cfRule>
  </conditionalFormatting>
  <conditionalFormatting sqref="CH52 CH55 CH64 CH67 CH70">
    <cfRule type="expression" dxfId="3543" priority="3690" stopIfTrue="1">
      <formula>IF(CI$8="判定対象外",TRUE,FALSE)</formula>
    </cfRule>
  </conditionalFormatting>
  <conditionalFormatting sqref="CH11:CH20">
    <cfRule type="expression" dxfId="3542" priority="3689" stopIfTrue="1">
      <formula>IF(CI$8="判定対象外",TRUE,FALSE)</formula>
    </cfRule>
  </conditionalFormatting>
  <conditionalFormatting sqref="CH16:CH18">
    <cfRule type="expression" dxfId="3541" priority="3688" stopIfTrue="1">
      <formula>IF(CI$8="判定対象外",TRUE,FALSE)</formula>
    </cfRule>
  </conditionalFormatting>
  <conditionalFormatting sqref="CH20">
    <cfRule type="expression" dxfId="3540" priority="3687" stopIfTrue="1">
      <formula>IF(CI$8="判定対象外",TRUE,FALSE)</formula>
    </cfRule>
  </conditionalFormatting>
  <conditionalFormatting sqref="CH16:CH20">
    <cfRule type="expression" dxfId="3539" priority="3686" stopIfTrue="1">
      <formula>IF(CI$8="判定対象外",TRUE,FALSE)</formula>
    </cfRule>
  </conditionalFormatting>
  <conditionalFormatting sqref="CH11:CH20">
    <cfRule type="expression" dxfId="3538" priority="3685" stopIfTrue="1">
      <formula>IF(CI$8="判定対象外",TRUE,FALSE)</formula>
    </cfRule>
  </conditionalFormatting>
  <conditionalFormatting sqref="CH20">
    <cfRule type="expression" dxfId="3537" priority="3683" stopIfTrue="1">
      <formula>IF(CI$8="判定対象外",TRUE,FALSE)</formula>
    </cfRule>
  </conditionalFormatting>
  <conditionalFormatting sqref="CH16:CH20">
    <cfRule type="expression" dxfId="3536" priority="3682" stopIfTrue="1">
      <formula>IF(CI$8="判定対象外",TRUE,FALSE)</formula>
    </cfRule>
  </conditionalFormatting>
  <conditionalFormatting sqref="CH11:CH20">
    <cfRule type="expression" dxfId="3535" priority="3681" stopIfTrue="1">
      <formula>IF(CI$8="判定対象外",TRUE,FALSE)</formula>
    </cfRule>
  </conditionalFormatting>
  <conditionalFormatting sqref="CH16:CH18">
    <cfRule type="expression" dxfId="3534" priority="3680" stopIfTrue="1">
      <formula>IF(CI$8="判定対象外",TRUE,FALSE)</formula>
    </cfRule>
  </conditionalFormatting>
  <conditionalFormatting sqref="CH20">
    <cfRule type="expression" dxfId="3533" priority="3679" stopIfTrue="1">
      <formula>IF(CI$8="判定対象外",TRUE,FALSE)</formula>
    </cfRule>
  </conditionalFormatting>
  <conditionalFormatting sqref="CH16:CH20">
    <cfRule type="expression" dxfId="3532" priority="3678" stopIfTrue="1">
      <formula>IF(CI$8="判定対象外",TRUE,FALSE)</formula>
    </cfRule>
  </conditionalFormatting>
  <conditionalFormatting sqref="CH11:CH13">
    <cfRule type="expression" dxfId="3531" priority="3677" stopIfTrue="1">
      <formula>IF(CI$8="判定対象外",TRUE,FALSE)</formula>
    </cfRule>
  </conditionalFormatting>
  <conditionalFormatting sqref="CH15">
    <cfRule type="expression" dxfId="3530" priority="3676" stopIfTrue="1">
      <formula>IF(CI$8="判定対象外",TRUE,FALSE)</formula>
    </cfRule>
  </conditionalFormatting>
  <conditionalFormatting sqref="CH19">
    <cfRule type="expression" dxfId="3529" priority="3675" stopIfTrue="1">
      <formula>IF(CI$8="判定対象外",TRUE,FALSE)</formula>
    </cfRule>
  </conditionalFormatting>
  <conditionalFormatting sqref="CH20">
    <cfRule type="expression" dxfId="3528" priority="3673" stopIfTrue="1">
      <formula>IF(CI$8="判定対象外",TRUE,FALSE)</formula>
    </cfRule>
  </conditionalFormatting>
  <conditionalFormatting sqref="CH20">
    <cfRule type="expression" dxfId="3527" priority="3672" stopIfTrue="1">
      <formula>IF(CI$8="判定対象外",TRUE,FALSE)</formula>
    </cfRule>
  </conditionalFormatting>
  <conditionalFormatting sqref="CH20">
    <cfRule type="expression" dxfId="3526" priority="3671" stopIfTrue="1">
      <formula>IF(CI$8="判定対象外",TRUE,FALSE)</formula>
    </cfRule>
  </conditionalFormatting>
  <conditionalFormatting sqref="CH13">
    <cfRule type="expression" dxfId="3525" priority="3670" stopIfTrue="1">
      <formula>IF(CI$8="判定対象外",TRUE,FALSE)</formula>
    </cfRule>
  </conditionalFormatting>
  <conditionalFormatting sqref="CH47">
    <cfRule type="expression" dxfId="3524" priority="3669" stopIfTrue="1">
      <formula>IF(CI$8="判定対象外",TRUE,FALSE)</formula>
    </cfRule>
  </conditionalFormatting>
  <conditionalFormatting sqref="CH47">
    <cfRule type="expression" dxfId="3523" priority="3668" stopIfTrue="1">
      <formula>IF(CI$8="判定対象外",TRUE,FALSE)</formula>
    </cfRule>
  </conditionalFormatting>
  <conditionalFormatting sqref="CH49">
    <cfRule type="expression" dxfId="3522" priority="3667" stopIfTrue="1">
      <formula>IF(CI$8="判定対象外",TRUE,FALSE)</formula>
    </cfRule>
  </conditionalFormatting>
  <conditionalFormatting sqref="CH49">
    <cfRule type="expression" dxfId="3521" priority="3666" stopIfTrue="1">
      <formula>IF(CI$8="判定対象外",TRUE,FALSE)</formula>
    </cfRule>
  </conditionalFormatting>
  <conditionalFormatting sqref="CH50">
    <cfRule type="expression" dxfId="3520" priority="3665" stopIfTrue="1">
      <formula>IF(CI$8="判定対象外",TRUE,FALSE)</formula>
    </cfRule>
  </conditionalFormatting>
  <conditionalFormatting sqref="CH50">
    <cfRule type="expression" dxfId="3519" priority="3664" stopIfTrue="1">
      <formula>IF(CI$8="判定対象外",TRUE,FALSE)</formula>
    </cfRule>
  </conditionalFormatting>
  <conditionalFormatting sqref="FF67">
    <cfRule type="expression" dxfId="3518" priority="1564" stopIfTrue="1">
      <formula>IF(FG$8="判定対象外",TRUE,FALSE)</formula>
    </cfRule>
  </conditionalFormatting>
  <conditionalFormatting sqref="CH54 CH57 CH63 CH66 CH69">
    <cfRule type="expression" dxfId="3517" priority="3662" stopIfTrue="1">
      <formula>IF(CI$8="判定対象外",TRUE,FALSE)</formula>
    </cfRule>
  </conditionalFormatting>
  <conditionalFormatting sqref="CK57">
    <cfRule type="expression" dxfId="3516" priority="3660" stopIfTrue="1">
      <formula>IF(CK57="-",TRUE,FALSE)</formula>
    </cfRule>
    <cfRule type="expression" dxfId="3515" priority="3661" stopIfTrue="1">
      <formula>IF(OR(CK57="OK"),FALSE,TRUE)</formula>
    </cfRule>
  </conditionalFormatting>
  <conditionalFormatting sqref="CJ57">
    <cfRule type="expression" dxfId="3514" priority="3659" stopIfTrue="1">
      <formula>IF(CI$8="判定対象外",TRUE,FALSE)</formula>
    </cfRule>
  </conditionalFormatting>
  <conditionalFormatting sqref="CI57">
    <cfRule type="expression" dxfId="3513" priority="3658" stopIfTrue="1">
      <formula>IF(CI$8="判定対象外",TRUE,FALSE)</formula>
    </cfRule>
  </conditionalFormatting>
  <conditionalFormatting sqref="CK58:CK64">
    <cfRule type="expression" dxfId="3512" priority="3656" stopIfTrue="1">
      <formula>IF(CK58="-",TRUE,FALSE)</formula>
    </cfRule>
    <cfRule type="expression" dxfId="3511" priority="3657" stopIfTrue="1">
      <formula>IF(OR(CK58="OK"),FALSE,TRUE)</formula>
    </cfRule>
  </conditionalFormatting>
  <conditionalFormatting sqref="CJ58:CJ64">
    <cfRule type="expression" dxfId="3510" priority="3655" stopIfTrue="1">
      <formula>IF(CI$8="判定対象外",TRUE,FALSE)</formula>
    </cfRule>
  </conditionalFormatting>
  <conditionalFormatting sqref="CI58:CI64">
    <cfRule type="expression" dxfId="3509" priority="3654" stopIfTrue="1">
      <formula>IF(CI$8="判定対象外",TRUE,FALSE)</formula>
    </cfRule>
  </conditionalFormatting>
  <conditionalFormatting sqref="CK65:CK70">
    <cfRule type="expression" dxfId="3508" priority="3652" stopIfTrue="1">
      <formula>IF(CK65="-",TRUE,FALSE)</formula>
    </cfRule>
    <cfRule type="expression" dxfId="3507" priority="3653" stopIfTrue="1">
      <formula>IF(OR(CK65="OK"),FALSE,TRUE)</formula>
    </cfRule>
  </conditionalFormatting>
  <conditionalFormatting sqref="CJ65:CJ70">
    <cfRule type="expression" dxfId="3506" priority="3651" stopIfTrue="1">
      <formula>IF(CI$8="判定対象外",TRUE,FALSE)</formula>
    </cfRule>
  </conditionalFormatting>
  <conditionalFormatting sqref="CI65:CI70">
    <cfRule type="expression" dxfId="3505" priority="3650" stopIfTrue="1">
      <formula>IF(CI$8="判定対象外",TRUE,FALSE)</formula>
    </cfRule>
  </conditionalFormatting>
  <conditionalFormatting sqref="CH58">
    <cfRule type="expression" dxfId="3504" priority="3639" stopIfTrue="1">
      <formula>IF(CI$8="判定対象外",TRUE,FALSE)</formula>
    </cfRule>
  </conditionalFormatting>
  <conditionalFormatting sqref="BZ58">
    <cfRule type="expression" dxfId="3503" priority="3649" stopIfTrue="1">
      <formula>IF(CA$8="判定対象外",TRUE,FALSE)</formula>
    </cfRule>
  </conditionalFormatting>
  <conditionalFormatting sqref="CC58">
    <cfRule type="expression" dxfId="3502" priority="3647" stopIfTrue="1">
      <formula>IF(CC58="-",TRUE,FALSE)</formula>
    </cfRule>
    <cfRule type="expression" dxfId="3501" priority="3648" stopIfTrue="1">
      <formula>IF(OR(CC58="OK"),FALSE,TRUE)</formula>
    </cfRule>
  </conditionalFormatting>
  <conditionalFormatting sqref="CB58">
    <cfRule type="expression" dxfId="3500" priority="3646" stopIfTrue="1">
      <formula>IF(CA$8="判定対象外",TRUE,FALSE)</formula>
    </cfRule>
  </conditionalFormatting>
  <conditionalFormatting sqref="CA58">
    <cfRule type="expression" dxfId="3499" priority="3645" stopIfTrue="1">
      <formula>IF(CA$8="判定対象外",TRUE,FALSE)</formula>
    </cfRule>
  </conditionalFormatting>
  <conditionalFormatting sqref="CD58">
    <cfRule type="expression" dxfId="3498" priority="3644" stopIfTrue="1">
      <formula>IF(CE$8="判定対象外",TRUE,FALSE)</formula>
    </cfRule>
  </conditionalFormatting>
  <conditionalFormatting sqref="CG58">
    <cfRule type="expression" dxfId="3497" priority="3642" stopIfTrue="1">
      <formula>IF(CG58="-",TRUE,FALSE)</formula>
    </cfRule>
    <cfRule type="expression" dxfId="3496" priority="3643" stopIfTrue="1">
      <formula>IF(OR(CG58="OK"),FALSE,TRUE)</formula>
    </cfRule>
  </conditionalFormatting>
  <conditionalFormatting sqref="CF58">
    <cfRule type="expression" dxfId="3495" priority="3641" stopIfTrue="1">
      <formula>IF(CE$8="判定対象外",TRUE,FALSE)</formula>
    </cfRule>
  </conditionalFormatting>
  <conditionalFormatting sqref="CE58">
    <cfRule type="expression" dxfId="3494" priority="3640" stopIfTrue="1">
      <formula>IF(CE$8="判定対象外",TRUE,FALSE)</formula>
    </cfRule>
  </conditionalFormatting>
  <conditionalFormatting sqref="CD59">
    <cfRule type="expression" dxfId="3493" priority="3633" stopIfTrue="1">
      <formula>IF(CE$8="判定対象外",TRUE,FALSE)</formula>
    </cfRule>
  </conditionalFormatting>
  <conditionalFormatting sqref="CG59">
    <cfRule type="expression" dxfId="3492" priority="3631" stopIfTrue="1">
      <formula>IF(CG59="-",TRUE,FALSE)</formula>
    </cfRule>
    <cfRule type="expression" dxfId="3491" priority="3632" stopIfTrue="1">
      <formula>IF(OR(CG59="OK"),FALSE,TRUE)</formula>
    </cfRule>
  </conditionalFormatting>
  <conditionalFormatting sqref="CF59">
    <cfRule type="expression" dxfId="3490" priority="3630" stopIfTrue="1">
      <formula>IF(CE$8="判定対象外",TRUE,FALSE)</formula>
    </cfRule>
  </conditionalFormatting>
  <conditionalFormatting sqref="CE59">
    <cfRule type="expression" dxfId="3489" priority="3629" stopIfTrue="1">
      <formula>IF(CE$8="判定対象外",TRUE,FALSE)</formula>
    </cfRule>
  </conditionalFormatting>
  <conditionalFormatting sqref="CX62">
    <cfRule type="expression" dxfId="3488" priority="3067" stopIfTrue="1">
      <formula>IF(CY$8="判定対象外",TRUE,FALSE)</formula>
    </cfRule>
  </conditionalFormatting>
  <conditionalFormatting sqref="DA62">
    <cfRule type="expression" dxfId="3487" priority="3065" stopIfTrue="1">
      <formula>IF(DA62="-",TRUE,FALSE)</formula>
    </cfRule>
    <cfRule type="expression" dxfId="3486" priority="3066" stopIfTrue="1">
      <formula>IF(OR(DA62="OK"),FALSE,TRUE)</formula>
    </cfRule>
  </conditionalFormatting>
  <conditionalFormatting sqref="CZ62">
    <cfRule type="expression" dxfId="3485" priority="3064" stopIfTrue="1">
      <formula>IF(CY$8="判定対象外",TRUE,FALSE)</formula>
    </cfRule>
  </conditionalFormatting>
  <conditionalFormatting sqref="CY62">
    <cfRule type="expression" dxfId="3484" priority="3063" stopIfTrue="1">
      <formula>IF(CY$8="判定対象外",TRUE,FALSE)</formula>
    </cfRule>
  </conditionalFormatting>
  <conditionalFormatting sqref="GK70">
    <cfRule type="expression" dxfId="3483" priority="628" stopIfTrue="1">
      <formula>IF(GK70="-",TRUE,FALSE)</formula>
    </cfRule>
    <cfRule type="expression" dxfId="3482" priority="629" stopIfTrue="1">
      <formula>IF(OR(GK70="OK"),FALSE,TRUE)</formula>
    </cfRule>
  </conditionalFormatting>
  <conditionalFormatting sqref="GJ70">
    <cfRule type="expression" dxfId="3481" priority="627" stopIfTrue="1">
      <formula>IF(GI$8="判定対象外",TRUE,FALSE)</formula>
    </cfRule>
  </conditionalFormatting>
  <conditionalFormatting sqref="GI70">
    <cfRule type="expression" dxfId="3480" priority="626" stopIfTrue="1">
      <formula>IF(GI$8="判定対象外",TRUE,FALSE)</formula>
    </cfRule>
  </conditionalFormatting>
  <conditionalFormatting sqref="GH70">
    <cfRule type="expression" dxfId="3479" priority="625" stopIfTrue="1">
      <formula>IF(GI$8="判定対象外",TRUE,FALSE)</formula>
    </cfRule>
  </conditionalFormatting>
  <conditionalFormatting sqref="DJ63">
    <cfRule type="expression" dxfId="3478" priority="2784" stopIfTrue="1">
      <formula>IF(DK$8="判定対象外",TRUE,FALSE)</formula>
    </cfRule>
  </conditionalFormatting>
  <conditionalFormatting sqref="DM63">
    <cfRule type="expression" dxfId="3477" priority="2782" stopIfTrue="1">
      <formula>IF(DM63="-",TRUE,FALSE)</formula>
    </cfRule>
    <cfRule type="expression" dxfId="3476" priority="2783" stopIfTrue="1">
      <formula>IF(OR(DM63="OK"),FALSE,TRUE)</formula>
    </cfRule>
  </conditionalFormatting>
  <conditionalFormatting sqref="DL63">
    <cfRule type="expression" dxfId="3475" priority="2781" stopIfTrue="1">
      <formula>IF(DK$8="判定対象外",TRUE,FALSE)</formula>
    </cfRule>
  </conditionalFormatting>
  <conditionalFormatting sqref="DK63">
    <cfRule type="expression" dxfId="3474" priority="2780" stopIfTrue="1">
      <formula>IF(DK$8="判定対象外",TRUE,FALSE)</formula>
    </cfRule>
  </conditionalFormatting>
  <conditionalFormatting sqref="CD60">
    <cfRule type="expression" dxfId="3473" priority="3611" stopIfTrue="1">
      <formula>IF(CE$8="判定対象外",TRUE,FALSE)</formula>
    </cfRule>
  </conditionalFormatting>
  <conditionalFormatting sqref="CG60">
    <cfRule type="expression" dxfId="3472" priority="3609" stopIfTrue="1">
      <formula>IF(CG60="-",TRUE,FALSE)</formula>
    </cfRule>
    <cfRule type="expression" dxfId="3471" priority="3610" stopIfTrue="1">
      <formula>IF(OR(CG60="OK"),FALSE,TRUE)</formula>
    </cfRule>
  </conditionalFormatting>
  <conditionalFormatting sqref="CF60">
    <cfRule type="expression" dxfId="3470" priority="3608" stopIfTrue="1">
      <formula>IF(CE$8="判定対象外",TRUE,FALSE)</formula>
    </cfRule>
  </conditionalFormatting>
  <conditionalFormatting sqref="CE60">
    <cfRule type="expression" dxfId="3469" priority="3607" stopIfTrue="1">
      <formula>IF(CE$8="判定対象外",TRUE,FALSE)</formula>
    </cfRule>
  </conditionalFormatting>
  <conditionalFormatting sqref="ED64">
    <cfRule type="expression" dxfId="3468" priority="2480" stopIfTrue="1">
      <formula>IF(EE$8="判定対象外",TRUE,FALSE)</formula>
    </cfRule>
  </conditionalFormatting>
  <conditionalFormatting sqref="CT63">
    <cfRule type="expression" dxfId="3467" priority="3326" stopIfTrue="1">
      <formula>IF(CU$8="判定対象外",TRUE,FALSE)</formula>
    </cfRule>
  </conditionalFormatting>
  <conditionalFormatting sqref="BZ62">
    <cfRule type="expression" dxfId="3466" priority="3605" stopIfTrue="1">
      <formula>IF(CA$8="判定対象外",TRUE,FALSE)</formula>
    </cfRule>
  </conditionalFormatting>
  <conditionalFormatting sqref="CC62">
    <cfRule type="expression" dxfId="3465" priority="3603" stopIfTrue="1">
      <formula>IF(CC62="-",TRUE,FALSE)</formula>
    </cfRule>
    <cfRule type="expression" dxfId="3464" priority="3604" stopIfTrue="1">
      <formula>IF(OR(CC62="OK"),FALSE,TRUE)</formula>
    </cfRule>
  </conditionalFormatting>
  <conditionalFormatting sqref="CB62">
    <cfRule type="expression" dxfId="3463" priority="3602" stopIfTrue="1">
      <formula>IF(CA$8="判定対象外",TRUE,FALSE)</formula>
    </cfRule>
  </conditionalFormatting>
  <conditionalFormatting sqref="CA62">
    <cfRule type="expression" dxfId="3462" priority="3601" stopIfTrue="1">
      <formula>IF(CA$8="判定対象外",TRUE,FALSE)</formula>
    </cfRule>
  </conditionalFormatting>
  <conditionalFormatting sqref="CG62">
    <cfRule type="expression" dxfId="3461" priority="3599" stopIfTrue="1">
      <formula>IF(CG62="-",TRUE,FALSE)</formula>
    </cfRule>
    <cfRule type="expression" dxfId="3460" priority="3600" stopIfTrue="1">
      <formula>IF(OR(CG62="OK"),FALSE,TRUE)</formula>
    </cfRule>
  </conditionalFormatting>
  <conditionalFormatting sqref="CF62">
    <cfRule type="expression" dxfId="3459" priority="3598" stopIfTrue="1">
      <formula>IF(CE$8="判定対象外",TRUE,FALSE)</formula>
    </cfRule>
  </conditionalFormatting>
  <conditionalFormatting sqref="CE62">
    <cfRule type="expression" dxfId="3458" priority="3597" stopIfTrue="1">
      <formula>IF(CE$8="判定対象外",TRUE,FALSE)</formula>
    </cfRule>
  </conditionalFormatting>
  <conditionalFormatting sqref="BZ61">
    <cfRule type="expression" dxfId="3457" priority="3594" stopIfTrue="1">
      <formula>IF(CA$8="判定対象外",TRUE,FALSE)</formula>
    </cfRule>
  </conditionalFormatting>
  <conditionalFormatting sqref="CC61">
    <cfRule type="expression" dxfId="3456" priority="3592" stopIfTrue="1">
      <formula>IF(CC61="-",TRUE,FALSE)</formula>
    </cfRule>
    <cfRule type="expression" dxfId="3455" priority="3593" stopIfTrue="1">
      <formula>IF(OR(CC61="OK"),FALSE,TRUE)</formula>
    </cfRule>
  </conditionalFormatting>
  <conditionalFormatting sqref="CB61">
    <cfRule type="expression" dxfId="3454" priority="3591" stopIfTrue="1">
      <formula>IF(CA$8="判定対象外",TRUE,FALSE)</formula>
    </cfRule>
  </conditionalFormatting>
  <conditionalFormatting sqref="CA61">
    <cfRule type="expression" dxfId="3453" priority="3590" stopIfTrue="1">
      <formula>IF(CA$8="判定対象外",TRUE,FALSE)</formula>
    </cfRule>
  </conditionalFormatting>
  <conditionalFormatting sqref="CD61">
    <cfRule type="expression" dxfId="3452" priority="3589" stopIfTrue="1">
      <formula>IF(CE$8="判定対象外",TRUE,FALSE)</formula>
    </cfRule>
  </conditionalFormatting>
  <conditionalFormatting sqref="CG61">
    <cfRule type="expression" dxfId="3451" priority="3587" stopIfTrue="1">
      <formula>IF(CG61="-",TRUE,FALSE)</formula>
    </cfRule>
    <cfRule type="expression" dxfId="3450" priority="3588" stopIfTrue="1">
      <formula>IF(OR(CG61="OK"),FALSE,TRUE)</formula>
    </cfRule>
  </conditionalFormatting>
  <conditionalFormatting sqref="CF61">
    <cfRule type="expression" dxfId="3449" priority="3586" stopIfTrue="1">
      <formula>IF(CE$8="判定対象外",TRUE,FALSE)</formula>
    </cfRule>
  </conditionalFormatting>
  <conditionalFormatting sqref="CE61">
    <cfRule type="expression" dxfId="3448" priority="3585" stopIfTrue="1">
      <formula>IF(CE$8="判定対象外",TRUE,FALSE)</formula>
    </cfRule>
  </conditionalFormatting>
  <conditionalFormatting sqref="CH61">
    <cfRule type="expression" dxfId="3447" priority="3584" stopIfTrue="1">
      <formula>IF(CI$8="判定対象外",TRUE,FALSE)</formula>
    </cfRule>
  </conditionalFormatting>
  <conditionalFormatting sqref="CT60">
    <cfRule type="expression" dxfId="3446" priority="3359" stopIfTrue="1">
      <formula>IF(CU$8="判定対象外",TRUE,FALSE)</formula>
    </cfRule>
  </conditionalFormatting>
  <conditionalFormatting sqref="CT53 CT56 CT65 CT68 CT71">
    <cfRule type="expression" dxfId="3445" priority="3405" stopIfTrue="1">
      <formula>IF(CU$8="判定対象外",TRUE,FALSE)</formula>
    </cfRule>
  </conditionalFormatting>
  <conditionalFormatting sqref="CL60">
    <cfRule type="expression" dxfId="3444" priority="3369" stopIfTrue="1">
      <formula>IF(CM$8="判定対象外",TRUE,FALSE)</formula>
    </cfRule>
  </conditionalFormatting>
  <conditionalFormatting sqref="CO60">
    <cfRule type="expression" dxfId="3443" priority="3367" stopIfTrue="1">
      <formula>IF(CO60="-",TRUE,FALSE)</formula>
    </cfRule>
    <cfRule type="expression" dxfId="3442" priority="3368" stopIfTrue="1">
      <formula>IF(OR(CO60="OK"),FALSE,TRUE)</formula>
    </cfRule>
  </conditionalFormatting>
  <conditionalFormatting sqref="CN60">
    <cfRule type="expression" dxfId="3441" priority="3366" stopIfTrue="1">
      <formula>IF(CM$8="判定対象外",TRUE,FALSE)</formula>
    </cfRule>
  </conditionalFormatting>
  <conditionalFormatting sqref="CM60">
    <cfRule type="expression" dxfId="3440" priority="3365" stopIfTrue="1">
      <formula>IF(CM$8="判定対象外",TRUE,FALSE)</formula>
    </cfRule>
  </conditionalFormatting>
  <conditionalFormatting sqref="EP65">
    <cfRule type="expression" dxfId="3439" priority="2175" stopIfTrue="1">
      <formula>IF(EQ$8="判定対象外",TRUE,FALSE)</formula>
    </cfRule>
  </conditionalFormatting>
  <conditionalFormatting sqref="CT19">
    <cfRule type="expression" dxfId="3438" priority="3416" stopIfTrue="1">
      <formula>IF(CU$8="判定対象外",TRUE,FALSE)</formula>
    </cfRule>
  </conditionalFormatting>
  <conditionalFormatting sqref="CT59">
    <cfRule type="expression" dxfId="3437" priority="3370" stopIfTrue="1">
      <formula>IF(CU$8="判定対象外",TRUE,FALSE)</formula>
    </cfRule>
  </conditionalFormatting>
  <conditionalFormatting sqref="CL59">
    <cfRule type="expression" dxfId="3436" priority="3380" stopIfTrue="1">
      <formula>IF(CM$8="判定対象外",TRUE,FALSE)</formula>
    </cfRule>
  </conditionalFormatting>
  <conditionalFormatting sqref="CO59">
    <cfRule type="expression" dxfId="3435" priority="3378" stopIfTrue="1">
      <formula>IF(CO59="-",TRUE,FALSE)</formula>
    </cfRule>
    <cfRule type="expression" dxfId="3434" priority="3379" stopIfTrue="1">
      <formula>IF(OR(CO59="OK"),FALSE,TRUE)</formula>
    </cfRule>
  </conditionalFormatting>
  <conditionalFormatting sqref="CN59">
    <cfRule type="expression" dxfId="3433" priority="3377" stopIfTrue="1">
      <formula>IF(CM$8="判定対象外",TRUE,FALSE)</formula>
    </cfRule>
  </conditionalFormatting>
  <conditionalFormatting sqref="CM59">
    <cfRule type="expression" dxfId="3432" priority="3376" stopIfTrue="1">
      <formula>IF(CM$8="判定対象外",TRUE,FALSE)</formula>
    </cfRule>
  </conditionalFormatting>
  <conditionalFormatting sqref="CT16:CT18">
    <cfRule type="expression" dxfId="3431" priority="3426" stopIfTrue="1">
      <formula>IF(CU$8="判定対象外",TRUE,FALSE)</formula>
    </cfRule>
  </conditionalFormatting>
  <conditionalFormatting sqref="CO8:CO10">
    <cfRule type="expression" dxfId="3430" priority="3582" stopIfTrue="1">
      <formula>IF(CO8="-",TRUE,FALSE)</formula>
    </cfRule>
    <cfRule type="expression" dxfId="3429" priority="3583" stopIfTrue="1">
      <formula>IF(OR(CO8="OK"),FALSE,TRUE)</formula>
    </cfRule>
  </conditionalFormatting>
  <conditionalFormatting sqref="CL8:CL10">
    <cfRule type="expression" dxfId="3428" priority="3581" stopIfTrue="1">
      <formula>IF(CM$8="判定対象外",TRUE,FALSE)</formula>
    </cfRule>
  </conditionalFormatting>
  <conditionalFormatting sqref="CM8:CM10">
    <cfRule type="expression" dxfId="3427" priority="3580" stopIfTrue="1">
      <formula>IF(CM$8="判定対象外",TRUE,FALSE)</formula>
    </cfRule>
  </conditionalFormatting>
  <conditionalFormatting sqref="CN8:CN10">
    <cfRule type="expression" dxfId="3426" priority="3579" stopIfTrue="1">
      <formula>IF(CM$8="判定対象外",TRUE,FALSE)</formula>
    </cfRule>
  </conditionalFormatting>
  <conditionalFormatting sqref="CO11:CO34 CO71:CO81 CO36:CO56">
    <cfRule type="expression" dxfId="3425" priority="3576" stopIfTrue="1">
      <formula>IF(CO11="-",TRUE,FALSE)</formula>
    </cfRule>
    <cfRule type="expression" dxfId="3424" priority="3577" stopIfTrue="1">
      <formula>IF(OR(CO11="OK"),FALSE,TRUE)</formula>
    </cfRule>
  </conditionalFormatting>
  <conditionalFormatting sqref="CN11:CN34 CN71:CN81 CN36:CN56">
    <cfRule type="expression" dxfId="3423" priority="3575" stopIfTrue="1">
      <formula>IF(CM$8="判定対象外",TRUE,FALSE)</formula>
    </cfRule>
  </conditionalFormatting>
  <conditionalFormatting sqref="CL72:CL81 CL21:CL34 CL36:CL46">
    <cfRule type="expression" dxfId="3422" priority="3574" stopIfTrue="1">
      <formula>IF(CM$8="判定対象外",TRUE,FALSE)</formula>
    </cfRule>
  </conditionalFormatting>
  <conditionalFormatting sqref="CL29:CL32">
    <cfRule type="expression" dxfId="3421" priority="3573" stopIfTrue="1">
      <formula>IF(CM$8="判定対象外",TRUE,FALSE)</formula>
    </cfRule>
  </conditionalFormatting>
  <conditionalFormatting sqref="CL42:CL44">
    <cfRule type="expression" dxfId="3420" priority="3572" stopIfTrue="1">
      <formula>IF(CM$8="判定対象外",TRUE,FALSE)</formula>
    </cfRule>
  </conditionalFormatting>
  <conditionalFormatting sqref="CL46">
    <cfRule type="expression" dxfId="3419" priority="3571" stopIfTrue="1">
      <formula>IF(CM$8="判定対象外",TRUE,FALSE)</formula>
    </cfRule>
  </conditionalFormatting>
  <conditionalFormatting sqref="CL42:CL44">
    <cfRule type="expression" dxfId="3418" priority="3570" stopIfTrue="1">
      <formula>IF(CM$8="判定対象外",TRUE,FALSE)</formula>
    </cfRule>
  </conditionalFormatting>
  <conditionalFormatting sqref="CL42:CL44">
    <cfRule type="expression" dxfId="3417" priority="3569" stopIfTrue="1">
      <formula>IF(CM$8="判定対象外",TRUE,FALSE)</formula>
    </cfRule>
  </conditionalFormatting>
  <conditionalFormatting sqref="CL42:CL44">
    <cfRule type="expression" dxfId="3416" priority="3568" stopIfTrue="1">
      <formula>IF(CM$8="判定対象外",TRUE,FALSE)</formula>
    </cfRule>
  </conditionalFormatting>
  <conditionalFormatting sqref="CL42:CL44">
    <cfRule type="expression" dxfId="3415" priority="3567" stopIfTrue="1">
      <formula>IF(CM$8="判定対象外",TRUE,FALSE)</formula>
    </cfRule>
  </conditionalFormatting>
  <conditionalFormatting sqref="CL42:CL44">
    <cfRule type="expression" dxfId="3414" priority="3566" stopIfTrue="1">
      <formula>IF(CM$8="判定対象外",TRUE,FALSE)</formula>
    </cfRule>
  </conditionalFormatting>
  <conditionalFormatting sqref="CL42:CL44">
    <cfRule type="expression" dxfId="3413" priority="3565" stopIfTrue="1">
      <formula>IF(CM$8="判定対象外",TRUE,FALSE)</formula>
    </cfRule>
  </conditionalFormatting>
  <conditionalFormatting sqref="CL42:CL44">
    <cfRule type="expression" dxfId="3412" priority="3564" stopIfTrue="1">
      <formula>IF(CM$8="判定対象外",TRUE,FALSE)</formula>
    </cfRule>
  </conditionalFormatting>
  <conditionalFormatting sqref="CL38">
    <cfRule type="expression" dxfId="3411" priority="3578" stopIfTrue="1">
      <formula>IF(#REF!="判定対象外",TRUE,FALSE)</formula>
    </cfRule>
  </conditionalFormatting>
  <conditionalFormatting sqref="CM11:CM34 CM71:CM81 CM36:CM56">
    <cfRule type="expression" dxfId="3410" priority="3563" stopIfTrue="1">
      <formula>IF(CM$8="判定対象外",TRUE,FALSE)</formula>
    </cfRule>
  </conditionalFormatting>
  <conditionalFormatting sqref="CL48">
    <cfRule type="expression" dxfId="3409" priority="3562" stopIfTrue="1">
      <formula>IF(CM$8="判定対象外",TRUE,FALSE)</formula>
    </cfRule>
  </conditionalFormatting>
  <conditionalFormatting sqref="CL51">
    <cfRule type="expression" dxfId="3408" priority="3561" stopIfTrue="1">
      <formula>IF(CM$8="判定対象外",TRUE,FALSE)</formula>
    </cfRule>
  </conditionalFormatting>
  <conditionalFormatting sqref="CL52 CL55 CL64 CL67 CL70">
    <cfRule type="expression" dxfId="3407" priority="3560" stopIfTrue="1">
      <formula>IF(CM$8="判定対象外",TRUE,FALSE)</formula>
    </cfRule>
  </conditionalFormatting>
  <conditionalFormatting sqref="CL11:CL20">
    <cfRule type="expression" dxfId="3406" priority="3559" stopIfTrue="1">
      <formula>IF(CM$8="判定対象外",TRUE,FALSE)</formula>
    </cfRule>
  </conditionalFormatting>
  <conditionalFormatting sqref="CL16:CL18">
    <cfRule type="expression" dxfId="3405" priority="3558" stopIfTrue="1">
      <formula>IF(CM$8="判定対象外",TRUE,FALSE)</formula>
    </cfRule>
  </conditionalFormatting>
  <conditionalFormatting sqref="CL20">
    <cfRule type="expression" dxfId="3404" priority="3557" stopIfTrue="1">
      <formula>IF(CM$8="判定対象外",TRUE,FALSE)</formula>
    </cfRule>
  </conditionalFormatting>
  <conditionalFormatting sqref="CL16:CL20">
    <cfRule type="expression" dxfId="3403" priority="3556" stopIfTrue="1">
      <formula>IF(CM$8="判定対象外",TRUE,FALSE)</formula>
    </cfRule>
  </conditionalFormatting>
  <conditionalFormatting sqref="CL11:CL20">
    <cfRule type="expression" dxfId="3402" priority="3555" stopIfTrue="1">
      <formula>IF(CM$8="判定対象外",TRUE,FALSE)</formula>
    </cfRule>
  </conditionalFormatting>
  <conditionalFormatting sqref="CL16:CL18">
    <cfRule type="expression" dxfId="3401" priority="3554" stopIfTrue="1">
      <formula>IF(CM$8="判定対象外",TRUE,FALSE)</formula>
    </cfRule>
  </conditionalFormatting>
  <conditionalFormatting sqref="CL20">
    <cfRule type="expression" dxfId="3400" priority="3553" stopIfTrue="1">
      <formula>IF(CM$8="判定対象外",TRUE,FALSE)</formula>
    </cfRule>
  </conditionalFormatting>
  <conditionalFormatting sqref="CL16:CL20">
    <cfRule type="expression" dxfId="3399" priority="3552" stopIfTrue="1">
      <formula>IF(CM$8="判定対象外",TRUE,FALSE)</formula>
    </cfRule>
  </conditionalFormatting>
  <conditionalFormatting sqref="CL11:CL20">
    <cfRule type="expression" dxfId="3398" priority="3551" stopIfTrue="1">
      <formula>IF(CM$8="判定対象外",TRUE,FALSE)</formula>
    </cfRule>
  </conditionalFormatting>
  <conditionalFormatting sqref="CL16:CL18">
    <cfRule type="expression" dxfId="3397" priority="3550" stopIfTrue="1">
      <formula>IF(CM$8="判定対象外",TRUE,FALSE)</formula>
    </cfRule>
  </conditionalFormatting>
  <conditionalFormatting sqref="CL20">
    <cfRule type="expression" dxfId="3396" priority="3549" stopIfTrue="1">
      <formula>IF(CM$8="判定対象外",TRUE,FALSE)</formula>
    </cfRule>
  </conditionalFormatting>
  <conditionalFormatting sqref="CL16:CL20">
    <cfRule type="expression" dxfId="3395" priority="3548" stopIfTrue="1">
      <formula>IF(CM$8="判定対象外",TRUE,FALSE)</formula>
    </cfRule>
  </conditionalFormatting>
  <conditionalFormatting sqref="CL11:CL13">
    <cfRule type="expression" dxfId="3394" priority="3547" stopIfTrue="1">
      <formula>IF(CM$8="判定対象外",TRUE,FALSE)</formula>
    </cfRule>
  </conditionalFormatting>
  <conditionalFormatting sqref="CL15">
    <cfRule type="expression" dxfId="3393" priority="3546" stopIfTrue="1">
      <formula>IF(CM$8="判定対象外",TRUE,FALSE)</formula>
    </cfRule>
  </conditionalFormatting>
  <conditionalFormatting sqref="CL19">
    <cfRule type="expression" dxfId="3392" priority="3545" stopIfTrue="1">
      <formula>IF(CM$8="判定対象外",TRUE,FALSE)</formula>
    </cfRule>
  </conditionalFormatting>
  <conditionalFormatting sqref="CL19">
    <cfRule type="expression" dxfId="3391" priority="3544" stopIfTrue="1">
      <formula>IF(CM$8="判定対象外",TRUE,FALSE)</formula>
    </cfRule>
  </conditionalFormatting>
  <conditionalFormatting sqref="CL20">
    <cfRule type="expression" dxfId="3390" priority="3543" stopIfTrue="1">
      <formula>IF(CM$8="判定対象外",TRUE,FALSE)</formula>
    </cfRule>
  </conditionalFormatting>
  <conditionalFormatting sqref="CL20">
    <cfRule type="expression" dxfId="3389" priority="3542" stopIfTrue="1">
      <formula>IF(CM$8="判定対象外",TRUE,FALSE)</formula>
    </cfRule>
  </conditionalFormatting>
  <conditionalFormatting sqref="CL20">
    <cfRule type="expression" dxfId="3388" priority="3541" stopIfTrue="1">
      <formula>IF(CM$8="判定対象外",TRUE,FALSE)</formula>
    </cfRule>
  </conditionalFormatting>
  <conditionalFormatting sqref="CL13">
    <cfRule type="expression" dxfId="3387" priority="3540" stopIfTrue="1">
      <formula>IF(CM$8="判定対象外",TRUE,FALSE)</formula>
    </cfRule>
  </conditionalFormatting>
  <conditionalFormatting sqref="CL47">
    <cfRule type="expression" dxfId="3386" priority="3539" stopIfTrue="1">
      <formula>IF(CM$8="判定対象外",TRUE,FALSE)</formula>
    </cfRule>
  </conditionalFormatting>
  <conditionalFormatting sqref="CL47">
    <cfRule type="expression" dxfId="3385" priority="3538" stopIfTrue="1">
      <formula>IF(CM$8="判定対象外",TRUE,FALSE)</formula>
    </cfRule>
  </conditionalFormatting>
  <conditionalFormatting sqref="CL49">
    <cfRule type="expression" dxfId="3384" priority="3537" stopIfTrue="1">
      <formula>IF(CM$8="判定対象外",TRUE,FALSE)</formula>
    </cfRule>
  </conditionalFormatting>
  <conditionalFormatting sqref="CL49">
    <cfRule type="expression" dxfId="3383" priority="3536" stopIfTrue="1">
      <formula>IF(CM$8="判定対象外",TRUE,FALSE)</formula>
    </cfRule>
  </conditionalFormatting>
  <conditionalFormatting sqref="CL50">
    <cfRule type="expression" dxfId="3382" priority="3535" stopIfTrue="1">
      <formula>IF(CM$8="判定対象外",TRUE,FALSE)</formula>
    </cfRule>
  </conditionalFormatting>
  <conditionalFormatting sqref="CL50">
    <cfRule type="expression" dxfId="3381" priority="3534" stopIfTrue="1">
      <formula>IF(CM$8="判定対象外",TRUE,FALSE)</formula>
    </cfRule>
  </conditionalFormatting>
  <conditionalFormatting sqref="CL53 CL56 CL65 CL68 CL71">
    <cfRule type="expression" dxfId="3380" priority="3533" stopIfTrue="1">
      <formula>IF(CM$8="判定対象外",TRUE,FALSE)</formula>
    </cfRule>
  </conditionalFormatting>
  <conditionalFormatting sqref="CL54 CL57 CL66 CL69">
    <cfRule type="expression" dxfId="3379" priority="3532" stopIfTrue="1">
      <formula>IF(CM$8="判定対象外",TRUE,FALSE)</formula>
    </cfRule>
  </conditionalFormatting>
  <conditionalFormatting sqref="CO57">
    <cfRule type="expression" dxfId="3378" priority="3530" stopIfTrue="1">
      <formula>IF(CO57="-",TRUE,FALSE)</formula>
    </cfRule>
    <cfRule type="expression" dxfId="3377" priority="3531" stopIfTrue="1">
      <formula>IF(OR(CO57="OK"),FALSE,TRUE)</formula>
    </cfRule>
  </conditionalFormatting>
  <conditionalFormatting sqref="CN57">
    <cfRule type="expression" dxfId="3376" priority="3529" stopIfTrue="1">
      <formula>IF(CM$8="判定対象外",TRUE,FALSE)</formula>
    </cfRule>
  </conditionalFormatting>
  <conditionalFormatting sqref="CM57">
    <cfRule type="expression" dxfId="3375" priority="3528" stopIfTrue="1">
      <formula>IF(CM$8="判定対象外",TRUE,FALSE)</formula>
    </cfRule>
  </conditionalFormatting>
  <conditionalFormatting sqref="CO64">
    <cfRule type="expression" dxfId="3374" priority="3526" stopIfTrue="1">
      <formula>IF(CO64="-",TRUE,FALSE)</formula>
    </cfRule>
    <cfRule type="expression" dxfId="3373" priority="3527" stopIfTrue="1">
      <formula>IF(OR(CO64="OK"),FALSE,TRUE)</formula>
    </cfRule>
  </conditionalFormatting>
  <conditionalFormatting sqref="CN64">
    <cfRule type="expression" dxfId="3372" priority="3525" stopIfTrue="1">
      <formula>IF(CM$8="判定対象外",TRUE,FALSE)</formula>
    </cfRule>
  </conditionalFormatting>
  <conditionalFormatting sqref="CM64">
    <cfRule type="expression" dxfId="3371" priority="3524" stopIfTrue="1">
      <formula>IF(CM$8="判定対象外",TRUE,FALSE)</formula>
    </cfRule>
  </conditionalFormatting>
  <conditionalFormatting sqref="CO65:CO70">
    <cfRule type="expression" dxfId="3370" priority="3522" stopIfTrue="1">
      <formula>IF(CO65="-",TRUE,FALSE)</formula>
    </cfRule>
    <cfRule type="expression" dxfId="3369" priority="3523" stopIfTrue="1">
      <formula>IF(OR(CO65="OK"),FALSE,TRUE)</formula>
    </cfRule>
  </conditionalFormatting>
  <conditionalFormatting sqref="CN65:CN70">
    <cfRule type="expression" dxfId="3368" priority="3521" stopIfTrue="1">
      <formula>IF(CM$8="判定対象外",TRUE,FALSE)</formula>
    </cfRule>
  </conditionalFormatting>
  <conditionalFormatting sqref="CM65:CM70">
    <cfRule type="expression" dxfId="3367" priority="3520" stopIfTrue="1">
      <formula>IF(CM$8="判定対象外",TRUE,FALSE)</formula>
    </cfRule>
  </conditionalFormatting>
  <conditionalFormatting sqref="CS8:CS10">
    <cfRule type="expression" dxfId="3366" priority="3518" stopIfTrue="1">
      <formula>IF(CS8="-",TRUE,FALSE)</formula>
    </cfRule>
    <cfRule type="expression" dxfId="3365" priority="3519" stopIfTrue="1">
      <formula>IF(OR(CS8="OK"),FALSE,TRUE)</formula>
    </cfRule>
  </conditionalFormatting>
  <conditionalFormatting sqref="CP8:CP10">
    <cfRule type="expression" dxfId="3364" priority="3517" stopIfTrue="1">
      <formula>IF(CQ$8="判定対象外",TRUE,FALSE)</formula>
    </cfRule>
  </conditionalFormatting>
  <conditionalFormatting sqref="CQ8:CQ10">
    <cfRule type="expression" dxfId="3363" priority="3516" stopIfTrue="1">
      <formula>IF(CQ$8="判定対象外",TRUE,FALSE)</formula>
    </cfRule>
  </conditionalFormatting>
  <conditionalFormatting sqref="CR8:CR10">
    <cfRule type="expression" dxfId="3362" priority="3515" stopIfTrue="1">
      <formula>IF(CQ$8="判定対象外",TRUE,FALSE)</formula>
    </cfRule>
  </conditionalFormatting>
  <conditionalFormatting sqref="CS11:CS34 CS71:CS81 CS36:CS56">
    <cfRule type="expression" dxfId="3361" priority="3512" stopIfTrue="1">
      <formula>IF(CS11="-",TRUE,FALSE)</formula>
    </cfRule>
    <cfRule type="expression" dxfId="3360" priority="3513" stopIfTrue="1">
      <formula>IF(OR(CS11="OK"),FALSE,TRUE)</formula>
    </cfRule>
  </conditionalFormatting>
  <conditionalFormatting sqref="CR11:CR34 CR71:CR81 CR36:CR56">
    <cfRule type="expression" dxfId="3359" priority="3511" stopIfTrue="1">
      <formula>IF(CQ$8="判定対象外",TRUE,FALSE)</formula>
    </cfRule>
  </conditionalFormatting>
  <conditionalFormatting sqref="CP72:CP81 CP21:CP34 CP36:CP46">
    <cfRule type="expression" dxfId="3358" priority="3510" stopIfTrue="1">
      <formula>IF(CQ$8="判定対象外",TRUE,FALSE)</formula>
    </cfRule>
  </conditionalFormatting>
  <conditionalFormatting sqref="CP29:CP32">
    <cfRule type="expression" dxfId="3357" priority="3509" stopIfTrue="1">
      <formula>IF(CQ$8="判定対象外",TRUE,FALSE)</formula>
    </cfRule>
  </conditionalFormatting>
  <conditionalFormatting sqref="CP42:CP44">
    <cfRule type="expression" dxfId="3356" priority="3508" stopIfTrue="1">
      <formula>IF(CQ$8="判定対象外",TRUE,FALSE)</formula>
    </cfRule>
  </conditionalFormatting>
  <conditionalFormatting sqref="CP46">
    <cfRule type="expression" dxfId="3355" priority="3507" stopIfTrue="1">
      <formula>IF(CQ$8="判定対象外",TRUE,FALSE)</formula>
    </cfRule>
  </conditionalFormatting>
  <conditionalFormatting sqref="CP42:CP44">
    <cfRule type="expression" dxfId="3354" priority="3506" stopIfTrue="1">
      <formula>IF(CQ$8="判定対象外",TRUE,FALSE)</formula>
    </cfRule>
  </conditionalFormatting>
  <conditionalFormatting sqref="CP42:CP44">
    <cfRule type="expression" dxfId="3353" priority="3505" stopIfTrue="1">
      <formula>IF(CQ$8="判定対象外",TRUE,FALSE)</formula>
    </cfRule>
  </conditionalFormatting>
  <conditionalFormatting sqref="CP42:CP44">
    <cfRule type="expression" dxfId="3352" priority="3504" stopIfTrue="1">
      <formula>IF(CQ$8="判定対象外",TRUE,FALSE)</formula>
    </cfRule>
  </conditionalFormatting>
  <conditionalFormatting sqref="CP42:CP44">
    <cfRule type="expression" dxfId="3351" priority="3503" stopIfTrue="1">
      <formula>IF(CQ$8="判定対象外",TRUE,FALSE)</formula>
    </cfRule>
  </conditionalFormatting>
  <conditionalFormatting sqref="CP42:CP44">
    <cfRule type="expression" dxfId="3350" priority="3502" stopIfTrue="1">
      <formula>IF(CQ$8="判定対象外",TRUE,FALSE)</formula>
    </cfRule>
  </conditionalFormatting>
  <conditionalFormatting sqref="CP42:CP44">
    <cfRule type="expression" dxfId="3349" priority="3501" stopIfTrue="1">
      <formula>IF(CQ$8="判定対象外",TRUE,FALSE)</formula>
    </cfRule>
  </conditionalFormatting>
  <conditionalFormatting sqref="CP42:CP44">
    <cfRule type="expression" dxfId="3348" priority="3500" stopIfTrue="1">
      <formula>IF(CQ$8="判定対象外",TRUE,FALSE)</formula>
    </cfRule>
  </conditionalFormatting>
  <conditionalFormatting sqref="CP38">
    <cfRule type="expression" dxfId="3347" priority="3514" stopIfTrue="1">
      <formula>IF(#REF!="判定対象外",TRUE,FALSE)</formula>
    </cfRule>
  </conditionalFormatting>
  <conditionalFormatting sqref="CQ11:CQ34 CQ71:CQ81 CQ36:CQ56">
    <cfRule type="expression" dxfId="3346" priority="3499" stopIfTrue="1">
      <formula>IF(CQ$8="判定対象外",TRUE,FALSE)</formula>
    </cfRule>
  </conditionalFormatting>
  <conditionalFormatting sqref="CP48">
    <cfRule type="expression" dxfId="3345" priority="3498" stopIfTrue="1">
      <formula>IF(CQ$8="判定対象外",TRUE,FALSE)</formula>
    </cfRule>
  </conditionalFormatting>
  <conditionalFormatting sqref="CP51">
    <cfRule type="expression" dxfId="3344" priority="3497" stopIfTrue="1">
      <formula>IF(CQ$8="判定対象外",TRUE,FALSE)</formula>
    </cfRule>
  </conditionalFormatting>
  <conditionalFormatting sqref="CP52 CP55 CP64 CP67 CP70">
    <cfRule type="expression" dxfId="3343" priority="3496" stopIfTrue="1">
      <formula>IF(CQ$8="判定対象外",TRUE,FALSE)</formula>
    </cfRule>
  </conditionalFormatting>
  <conditionalFormatting sqref="CP11:CP20">
    <cfRule type="expression" dxfId="3342" priority="3495" stopIfTrue="1">
      <formula>IF(CQ$8="判定対象外",TRUE,FALSE)</formula>
    </cfRule>
  </conditionalFormatting>
  <conditionalFormatting sqref="CP16:CP18">
    <cfRule type="expression" dxfId="3341" priority="3494" stopIfTrue="1">
      <formula>IF(CQ$8="判定対象外",TRUE,FALSE)</formula>
    </cfRule>
  </conditionalFormatting>
  <conditionalFormatting sqref="CP20">
    <cfRule type="expression" dxfId="3340" priority="3493" stopIfTrue="1">
      <formula>IF(CQ$8="判定対象外",TRUE,FALSE)</formula>
    </cfRule>
  </conditionalFormatting>
  <conditionalFormatting sqref="CP16:CP20">
    <cfRule type="expression" dxfId="3339" priority="3492" stopIfTrue="1">
      <formula>IF(CQ$8="判定対象外",TRUE,FALSE)</formula>
    </cfRule>
  </conditionalFormatting>
  <conditionalFormatting sqref="CP11:CP20">
    <cfRule type="expression" dxfId="3338" priority="3491" stopIfTrue="1">
      <formula>IF(CQ$8="判定対象外",TRUE,FALSE)</formula>
    </cfRule>
  </conditionalFormatting>
  <conditionalFormatting sqref="CP16:CP18">
    <cfRule type="expression" dxfId="3337" priority="3490" stopIfTrue="1">
      <formula>IF(CQ$8="判定対象外",TRUE,FALSE)</formula>
    </cfRule>
  </conditionalFormatting>
  <conditionalFormatting sqref="CP20">
    <cfRule type="expression" dxfId="3336" priority="3489" stopIfTrue="1">
      <formula>IF(CQ$8="判定対象外",TRUE,FALSE)</formula>
    </cfRule>
  </conditionalFormatting>
  <conditionalFormatting sqref="CP16:CP20">
    <cfRule type="expression" dxfId="3335" priority="3488" stopIfTrue="1">
      <formula>IF(CQ$8="判定対象外",TRUE,FALSE)</formula>
    </cfRule>
  </conditionalFormatting>
  <conditionalFormatting sqref="CP11:CP20">
    <cfRule type="expression" dxfId="3334" priority="3487" stopIfTrue="1">
      <formula>IF(CQ$8="判定対象外",TRUE,FALSE)</formula>
    </cfRule>
  </conditionalFormatting>
  <conditionalFormatting sqref="CP16:CP18">
    <cfRule type="expression" dxfId="3333" priority="3486" stopIfTrue="1">
      <formula>IF(CQ$8="判定対象外",TRUE,FALSE)</formula>
    </cfRule>
  </conditionalFormatting>
  <conditionalFormatting sqref="CP20">
    <cfRule type="expression" dxfId="3332" priority="3485" stopIfTrue="1">
      <formula>IF(CQ$8="判定対象外",TRUE,FALSE)</formula>
    </cfRule>
  </conditionalFormatting>
  <conditionalFormatting sqref="CP16:CP20">
    <cfRule type="expression" dxfId="3331" priority="3484" stopIfTrue="1">
      <formula>IF(CQ$8="判定対象外",TRUE,FALSE)</formula>
    </cfRule>
  </conditionalFormatting>
  <conditionalFormatting sqref="CP11:CP13">
    <cfRule type="expression" dxfId="3330" priority="3483" stopIfTrue="1">
      <formula>IF(CQ$8="判定対象外",TRUE,FALSE)</formula>
    </cfRule>
  </conditionalFormatting>
  <conditionalFormatting sqref="CP15">
    <cfRule type="expression" dxfId="3329" priority="3482" stopIfTrue="1">
      <formula>IF(CQ$8="判定対象外",TRUE,FALSE)</formula>
    </cfRule>
  </conditionalFormatting>
  <conditionalFormatting sqref="CP19">
    <cfRule type="expression" dxfId="3328" priority="3481" stopIfTrue="1">
      <formula>IF(CQ$8="判定対象外",TRUE,FALSE)</formula>
    </cfRule>
  </conditionalFormatting>
  <conditionalFormatting sqref="CP19">
    <cfRule type="expression" dxfId="3327" priority="3480" stopIfTrue="1">
      <formula>IF(CQ$8="判定対象外",TRUE,FALSE)</formula>
    </cfRule>
  </conditionalFormatting>
  <conditionalFormatting sqref="CP20">
    <cfRule type="expression" dxfId="3326" priority="3479" stopIfTrue="1">
      <formula>IF(CQ$8="判定対象外",TRUE,FALSE)</formula>
    </cfRule>
  </conditionalFormatting>
  <conditionalFormatting sqref="CP20">
    <cfRule type="expression" dxfId="3325" priority="3478" stopIfTrue="1">
      <formula>IF(CQ$8="判定対象外",TRUE,FALSE)</formula>
    </cfRule>
  </conditionalFormatting>
  <conditionalFormatting sqref="CP20">
    <cfRule type="expression" dxfId="3324" priority="3477" stopIfTrue="1">
      <formula>IF(CQ$8="判定対象外",TRUE,FALSE)</formula>
    </cfRule>
  </conditionalFormatting>
  <conditionalFormatting sqref="CP13">
    <cfRule type="expression" dxfId="3323" priority="3476" stopIfTrue="1">
      <formula>IF(CQ$8="判定対象外",TRUE,FALSE)</formula>
    </cfRule>
  </conditionalFormatting>
  <conditionalFormatting sqref="CP47">
    <cfRule type="expression" dxfId="3322" priority="3475" stopIfTrue="1">
      <formula>IF(CQ$8="判定対象外",TRUE,FALSE)</formula>
    </cfRule>
  </conditionalFormatting>
  <conditionalFormatting sqref="CP47">
    <cfRule type="expression" dxfId="3321" priority="3474" stopIfTrue="1">
      <formula>IF(CQ$8="判定対象外",TRUE,FALSE)</formula>
    </cfRule>
  </conditionalFormatting>
  <conditionalFormatting sqref="CP49">
    <cfRule type="expression" dxfId="3320" priority="3473" stopIfTrue="1">
      <formula>IF(CQ$8="判定対象外",TRUE,FALSE)</formula>
    </cfRule>
  </conditionalFormatting>
  <conditionalFormatting sqref="CP49">
    <cfRule type="expression" dxfId="3319" priority="3472" stopIfTrue="1">
      <formula>IF(CQ$8="判定対象外",TRUE,FALSE)</formula>
    </cfRule>
  </conditionalFormatting>
  <conditionalFormatting sqref="CP50">
    <cfRule type="expression" dxfId="3318" priority="3471" stopIfTrue="1">
      <formula>IF(CQ$8="判定対象外",TRUE,FALSE)</formula>
    </cfRule>
  </conditionalFormatting>
  <conditionalFormatting sqref="CP50">
    <cfRule type="expression" dxfId="3317" priority="3470" stopIfTrue="1">
      <formula>IF(CQ$8="判定対象外",TRUE,FALSE)</formula>
    </cfRule>
  </conditionalFormatting>
  <conditionalFormatting sqref="CP53 CP56 CP65 CP68 CP71">
    <cfRule type="expression" dxfId="3316" priority="3469" stopIfTrue="1">
      <formula>IF(CQ$8="判定対象外",TRUE,FALSE)</formula>
    </cfRule>
  </conditionalFormatting>
  <conditionalFormatting sqref="CP54 CP57 CP66 CP69">
    <cfRule type="expression" dxfId="3315" priority="3468" stopIfTrue="1">
      <formula>IF(CQ$8="判定対象外",TRUE,FALSE)</formula>
    </cfRule>
  </conditionalFormatting>
  <conditionalFormatting sqref="CS57">
    <cfRule type="expression" dxfId="3314" priority="3466" stopIfTrue="1">
      <formula>IF(CS57="-",TRUE,FALSE)</formula>
    </cfRule>
    <cfRule type="expression" dxfId="3313" priority="3467" stopIfTrue="1">
      <formula>IF(OR(CS57="OK"),FALSE,TRUE)</formula>
    </cfRule>
  </conditionalFormatting>
  <conditionalFormatting sqref="CR57">
    <cfRule type="expression" dxfId="3312" priority="3465" stopIfTrue="1">
      <formula>IF(CQ$8="判定対象外",TRUE,FALSE)</formula>
    </cfRule>
  </conditionalFormatting>
  <conditionalFormatting sqref="CQ57">
    <cfRule type="expression" dxfId="3311" priority="3464" stopIfTrue="1">
      <formula>IF(CQ$8="判定対象外",TRUE,FALSE)</formula>
    </cfRule>
  </conditionalFormatting>
  <conditionalFormatting sqref="CS64">
    <cfRule type="expression" dxfId="3310" priority="3462" stopIfTrue="1">
      <formula>IF(CS64="-",TRUE,FALSE)</formula>
    </cfRule>
    <cfRule type="expression" dxfId="3309" priority="3463" stopIfTrue="1">
      <formula>IF(OR(CS64="OK"),FALSE,TRUE)</formula>
    </cfRule>
  </conditionalFormatting>
  <conditionalFormatting sqref="CR64">
    <cfRule type="expression" dxfId="3308" priority="3461" stopIfTrue="1">
      <formula>IF(CQ$8="判定対象外",TRUE,FALSE)</formula>
    </cfRule>
  </conditionalFormatting>
  <conditionalFormatting sqref="CQ64">
    <cfRule type="expression" dxfId="3307" priority="3460" stopIfTrue="1">
      <formula>IF(CQ$8="判定対象外",TRUE,FALSE)</formula>
    </cfRule>
  </conditionalFormatting>
  <conditionalFormatting sqref="CS65:CS70">
    <cfRule type="expression" dxfId="3306" priority="3458" stopIfTrue="1">
      <formula>IF(CS65="-",TRUE,FALSE)</formula>
    </cfRule>
    <cfRule type="expression" dxfId="3305" priority="3459" stopIfTrue="1">
      <formula>IF(OR(CS65="OK"),FALSE,TRUE)</formula>
    </cfRule>
  </conditionalFormatting>
  <conditionalFormatting sqref="CR65:CR70">
    <cfRule type="expression" dxfId="3304" priority="3457" stopIfTrue="1">
      <formula>IF(CQ$8="判定対象外",TRUE,FALSE)</formula>
    </cfRule>
  </conditionalFormatting>
  <conditionalFormatting sqref="CQ65:CQ70">
    <cfRule type="expression" dxfId="3303" priority="3456" stopIfTrue="1">
      <formula>IF(CQ$8="判定対象外",TRUE,FALSE)</formula>
    </cfRule>
  </conditionalFormatting>
  <conditionalFormatting sqref="CT29:CT32">
    <cfRule type="expression" dxfId="3302" priority="3445" stopIfTrue="1">
      <formula>IF(CU$8="判定対象外",TRUE,FALSE)</formula>
    </cfRule>
  </conditionalFormatting>
  <conditionalFormatting sqref="CW8:CW10">
    <cfRule type="expression" dxfId="3301" priority="3454" stopIfTrue="1">
      <formula>IF(CW8="-",TRUE,FALSE)</formula>
    </cfRule>
    <cfRule type="expression" dxfId="3300" priority="3455" stopIfTrue="1">
      <formula>IF(OR(CW8="OK"),FALSE,TRUE)</formula>
    </cfRule>
  </conditionalFormatting>
  <conditionalFormatting sqref="CT8:CT10">
    <cfRule type="expression" dxfId="3299" priority="3453" stopIfTrue="1">
      <formula>IF(CU$8="判定対象外",TRUE,FALSE)</formula>
    </cfRule>
  </conditionalFormatting>
  <conditionalFormatting sqref="CU8:CU10">
    <cfRule type="expression" dxfId="3298" priority="3452" stopIfTrue="1">
      <formula>IF(CU$8="判定対象外",TRUE,FALSE)</formula>
    </cfRule>
  </conditionalFormatting>
  <conditionalFormatting sqref="CV8:CV10">
    <cfRule type="expression" dxfId="3297" priority="3451" stopIfTrue="1">
      <formula>IF(CU$8="判定対象外",TRUE,FALSE)</formula>
    </cfRule>
  </conditionalFormatting>
  <conditionalFormatting sqref="CW11:CW34 CW71:CW81 CW36:CW56">
    <cfRule type="expression" dxfId="3296" priority="3448" stopIfTrue="1">
      <formula>IF(CW11="-",TRUE,FALSE)</formula>
    </cfRule>
    <cfRule type="expression" dxfId="3295" priority="3449" stopIfTrue="1">
      <formula>IF(OR(CW11="OK"),FALSE,TRUE)</formula>
    </cfRule>
  </conditionalFormatting>
  <conditionalFormatting sqref="CV11:CV34 CV71:CV81 CV36:CV56">
    <cfRule type="expression" dxfId="3294" priority="3447" stopIfTrue="1">
      <formula>IF(CU$8="判定対象外",TRUE,FALSE)</formula>
    </cfRule>
  </conditionalFormatting>
  <conditionalFormatting sqref="CT72:CT81 CT21:CT34 CT36:CT46">
    <cfRule type="expression" dxfId="3293" priority="3446" stopIfTrue="1">
      <formula>IF(CU$8="判定対象外",TRUE,FALSE)</formula>
    </cfRule>
  </conditionalFormatting>
  <conditionalFormatting sqref="CT42:CT44">
    <cfRule type="expression" dxfId="3292" priority="3444" stopIfTrue="1">
      <formula>IF(CU$8="判定対象外",TRUE,FALSE)</formula>
    </cfRule>
  </conditionalFormatting>
  <conditionalFormatting sqref="CT46">
    <cfRule type="expression" dxfId="3291" priority="3443" stopIfTrue="1">
      <formula>IF(CU$8="判定対象外",TRUE,FALSE)</formula>
    </cfRule>
  </conditionalFormatting>
  <conditionalFormatting sqref="CT42:CT44">
    <cfRule type="expression" dxfId="3290" priority="3442" stopIfTrue="1">
      <formula>IF(CU$8="判定対象外",TRUE,FALSE)</formula>
    </cfRule>
  </conditionalFormatting>
  <conditionalFormatting sqref="CT42:CT44">
    <cfRule type="expression" dxfId="3289" priority="3441" stopIfTrue="1">
      <formula>IF(CU$8="判定対象外",TRUE,FALSE)</formula>
    </cfRule>
  </conditionalFormatting>
  <conditionalFormatting sqref="CT42:CT44">
    <cfRule type="expression" dxfId="3288" priority="3440" stopIfTrue="1">
      <formula>IF(CU$8="判定対象外",TRUE,FALSE)</formula>
    </cfRule>
  </conditionalFormatting>
  <conditionalFormatting sqref="CT42:CT44">
    <cfRule type="expression" dxfId="3287" priority="3439" stopIfTrue="1">
      <formula>IF(CU$8="判定対象外",TRUE,FALSE)</formula>
    </cfRule>
  </conditionalFormatting>
  <conditionalFormatting sqref="CT42:CT44">
    <cfRule type="expression" dxfId="3286" priority="3438" stopIfTrue="1">
      <formula>IF(CU$8="判定対象外",TRUE,FALSE)</formula>
    </cfRule>
  </conditionalFormatting>
  <conditionalFormatting sqref="CT42:CT44">
    <cfRule type="expression" dxfId="3285" priority="3437" stopIfTrue="1">
      <formula>IF(CU$8="判定対象外",TRUE,FALSE)</formula>
    </cfRule>
  </conditionalFormatting>
  <conditionalFormatting sqref="CT42:CT44">
    <cfRule type="expression" dxfId="3284" priority="3436" stopIfTrue="1">
      <formula>IF(CU$8="判定対象外",TRUE,FALSE)</formula>
    </cfRule>
  </conditionalFormatting>
  <conditionalFormatting sqref="CT38">
    <cfRule type="expression" dxfId="3283" priority="3450" stopIfTrue="1">
      <formula>IF(#REF!="判定対象外",TRUE,FALSE)</formula>
    </cfRule>
  </conditionalFormatting>
  <conditionalFormatting sqref="CU11:CU34 CU71:CU81 CU36:CU56">
    <cfRule type="expression" dxfId="3282" priority="3435" stopIfTrue="1">
      <formula>IF(CU$8="判定対象外",TRUE,FALSE)</formula>
    </cfRule>
  </conditionalFormatting>
  <conditionalFormatting sqref="CT48">
    <cfRule type="expression" dxfId="3281" priority="3434" stopIfTrue="1">
      <formula>IF(CU$8="判定対象外",TRUE,FALSE)</formula>
    </cfRule>
  </conditionalFormatting>
  <conditionalFormatting sqref="CT51">
    <cfRule type="expression" dxfId="3280" priority="3433" stopIfTrue="1">
      <formula>IF(CU$8="判定対象外",TRUE,FALSE)</formula>
    </cfRule>
  </conditionalFormatting>
  <conditionalFormatting sqref="CT52 CT55 CT64 CT67 CT70">
    <cfRule type="expression" dxfId="3279" priority="3432" stopIfTrue="1">
      <formula>IF(CU$8="判定対象外",TRUE,FALSE)</formula>
    </cfRule>
  </conditionalFormatting>
  <conditionalFormatting sqref="CT11:CT20">
    <cfRule type="expression" dxfId="3278" priority="3431" stopIfTrue="1">
      <formula>IF(CU$8="判定対象外",TRUE,FALSE)</formula>
    </cfRule>
  </conditionalFormatting>
  <conditionalFormatting sqref="CT16:CT18">
    <cfRule type="expression" dxfId="3277" priority="3430" stopIfTrue="1">
      <formula>IF(CU$8="判定対象外",TRUE,FALSE)</formula>
    </cfRule>
  </conditionalFormatting>
  <conditionalFormatting sqref="CT20">
    <cfRule type="expression" dxfId="3276" priority="3429" stopIfTrue="1">
      <formula>IF(CU$8="判定対象外",TRUE,FALSE)</formula>
    </cfRule>
  </conditionalFormatting>
  <conditionalFormatting sqref="CT16:CT20">
    <cfRule type="expression" dxfId="3275" priority="3428" stopIfTrue="1">
      <formula>IF(CU$8="判定対象外",TRUE,FALSE)</formula>
    </cfRule>
  </conditionalFormatting>
  <conditionalFormatting sqref="CT11:CT20">
    <cfRule type="expression" dxfId="3274" priority="3427" stopIfTrue="1">
      <formula>IF(CU$8="判定対象外",TRUE,FALSE)</formula>
    </cfRule>
  </conditionalFormatting>
  <conditionalFormatting sqref="CT20">
    <cfRule type="expression" dxfId="3273" priority="3425" stopIfTrue="1">
      <formula>IF(CU$8="判定対象外",TRUE,FALSE)</formula>
    </cfRule>
  </conditionalFormatting>
  <conditionalFormatting sqref="CT16:CT20">
    <cfRule type="expression" dxfId="3272" priority="3424" stopIfTrue="1">
      <formula>IF(CU$8="判定対象外",TRUE,FALSE)</formula>
    </cfRule>
  </conditionalFormatting>
  <conditionalFormatting sqref="CT11:CT20">
    <cfRule type="expression" dxfId="3271" priority="3423" stopIfTrue="1">
      <formula>IF(CU$8="判定対象外",TRUE,FALSE)</formula>
    </cfRule>
  </conditionalFormatting>
  <conditionalFormatting sqref="CT16:CT18">
    <cfRule type="expression" dxfId="3270" priority="3422" stopIfTrue="1">
      <formula>IF(CU$8="判定対象外",TRUE,FALSE)</formula>
    </cfRule>
  </conditionalFormatting>
  <conditionalFormatting sqref="CT20">
    <cfRule type="expression" dxfId="3269" priority="3421" stopIfTrue="1">
      <formula>IF(CU$8="判定対象外",TRUE,FALSE)</formula>
    </cfRule>
  </conditionalFormatting>
  <conditionalFormatting sqref="CT16:CT20">
    <cfRule type="expression" dxfId="3268" priority="3420" stopIfTrue="1">
      <formula>IF(CU$8="判定対象外",TRUE,FALSE)</formula>
    </cfRule>
  </conditionalFormatting>
  <conditionalFormatting sqref="CT11:CT13">
    <cfRule type="expression" dxfId="3267" priority="3419" stopIfTrue="1">
      <formula>IF(CU$8="判定対象外",TRUE,FALSE)</formula>
    </cfRule>
  </conditionalFormatting>
  <conditionalFormatting sqref="CT15">
    <cfRule type="expression" dxfId="3266" priority="3418" stopIfTrue="1">
      <formula>IF(CU$8="判定対象外",TRUE,FALSE)</formula>
    </cfRule>
  </conditionalFormatting>
  <conditionalFormatting sqref="CT19">
    <cfRule type="expression" dxfId="3265" priority="3417" stopIfTrue="1">
      <formula>IF(CU$8="判定対象外",TRUE,FALSE)</formula>
    </cfRule>
  </conditionalFormatting>
  <conditionalFormatting sqref="CT20">
    <cfRule type="expression" dxfId="3264" priority="3415" stopIfTrue="1">
      <formula>IF(CU$8="判定対象外",TRUE,FALSE)</formula>
    </cfRule>
  </conditionalFormatting>
  <conditionalFormatting sqref="CT20">
    <cfRule type="expression" dxfId="3263" priority="3414" stopIfTrue="1">
      <formula>IF(CU$8="判定対象外",TRUE,FALSE)</formula>
    </cfRule>
  </conditionalFormatting>
  <conditionalFormatting sqref="CT20">
    <cfRule type="expression" dxfId="3262" priority="3413" stopIfTrue="1">
      <formula>IF(CU$8="判定対象外",TRUE,FALSE)</formula>
    </cfRule>
  </conditionalFormatting>
  <conditionalFormatting sqref="CT13">
    <cfRule type="expression" dxfId="3261" priority="3412" stopIfTrue="1">
      <formula>IF(CU$8="判定対象外",TRUE,FALSE)</formula>
    </cfRule>
  </conditionalFormatting>
  <conditionalFormatting sqref="CT47">
    <cfRule type="expression" dxfId="3260" priority="3411" stopIfTrue="1">
      <formula>IF(CU$8="判定対象外",TRUE,FALSE)</formula>
    </cfRule>
  </conditionalFormatting>
  <conditionalFormatting sqref="CT47">
    <cfRule type="expression" dxfId="3259" priority="3410" stopIfTrue="1">
      <formula>IF(CU$8="判定対象外",TRUE,FALSE)</formula>
    </cfRule>
  </conditionalFormatting>
  <conditionalFormatting sqref="CT49">
    <cfRule type="expression" dxfId="3258" priority="3409" stopIfTrue="1">
      <formula>IF(CU$8="判定対象外",TRUE,FALSE)</formula>
    </cfRule>
  </conditionalFormatting>
  <conditionalFormatting sqref="CT49">
    <cfRule type="expression" dxfId="3257" priority="3408" stopIfTrue="1">
      <formula>IF(CU$8="判定対象外",TRUE,FALSE)</formula>
    </cfRule>
  </conditionalFormatting>
  <conditionalFormatting sqref="CT50">
    <cfRule type="expression" dxfId="3256" priority="3407" stopIfTrue="1">
      <formula>IF(CU$8="判定対象外",TRUE,FALSE)</formula>
    </cfRule>
  </conditionalFormatting>
  <conditionalFormatting sqref="CT50">
    <cfRule type="expression" dxfId="3255" priority="3406" stopIfTrue="1">
      <formula>IF(CU$8="判定対象外",TRUE,FALSE)</formula>
    </cfRule>
  </conditionalFormatting>
  <conditionalFormatting sqref="CT54 CT57 CT66 CT69">
    <cfRule type="expression" dxfId="3254" priority="3404" stopIfTrue="1">
      <formula>IF(CU$8="判定対象外",TRUE,FALSE)</formula>
    </cfRule>
  </conditionalFormatting>
  <conditionalFormatting sqref="CW57">
    <cfRule type="expression" dxfId="3253" priority="3402" stopIfTrue="1">
      <formula>IF(CW57="-",TRUE,FALSE)</formula>
    </cfRule>
    <cfRule type="expression" dxfId="3252" priority="3403" stopIfTrue="1">
      <formula>IF(OR(CW57="OK"),FALSE,TRUE)</formula>
    </cfRule>
  </conditionalFormatting>
  <conditionalFormatting sqref="CV57">
    <cfRule type="expression" dxfId="3251" priority="3401" stopIfTrue="1">
      <formula>IF(CU$8="判定対象外",TRUE,FALSE)</formula>
    </cfRule>
  </conditionalFormatting>
  <conditionalFormatting sqref="CU57">
    <cfRule type="expression" dxfId="3250" priority="3400" stopIfTrue="1">
      <formula>IF(CU$8="判定対象外",TRUE,FALSE)</formula>
    </cfRule>
  </conditionalFormatting>
  <conditionalFormatting sqref="CW58:CW64">
    <cfRule type="expression" dxfId="3249" priority="3398" stopIfTrue="1">
      <formula>IF(CW58="-",TRUE,FALSE)</formula>
    </cfRule>
    <cfRule type="expression" dxfId="3248" priority="3399" stopIfTrue="1">
      <formula>IF(OR(CW58="OK"),FALSE,TRUE)</formula>
    </cfRule>
  </conditionalFormatting>
  <conditionalFormatting sqref="CV58:CV64">
    <cfRule type="expression" dxfId="3247" priority="3397" stopIfTrue="1">
      <formula>IF(CU$8="判定対象外",TRUE,FALSE)</formula>
    </cfRule>
  </conditionalFormatting>
  <conditionalFormatting sqref="CU58:CU64">
    <cfRule type="expression" dxfId="3246" priority="3396" stopIfTrue="1">
      <formula>IF(CU$8="判定対象外",TRUE,FALSE)</formula>
    </cfRule>
  </conditionalFormatting>
  <conditionalFormatting sqref="CW65:CW70">
    <cfRule type="expression" dxfId="3245" priority="3394" stopIfTrue="1">
      <formula>IF(CW65="-",TRUE,FALSE)</formula>
    </cfRule>
    <cfRule type="expression" dxfId="3244" priority="3395" stopIfTrue="1">
      <formula>IF(OR(CW65="OK"),FALSE,TRUE)</formula>
    </cfRule>
  </conditionalFormatting>
  <conditionalFormatting sqref="CV65:CV70">
    <cfRule type="expression" dxfId="3243" priority="3393" stopIfTrue="1">
      <formula>IF(CU$8="判定対象外",TRUE,FALSE)</formula>
    </cfRule>
  </conditionalFormatting>
  <conditionalFormatting sqref="CU65:CU70">
    <cfRule type="expression" dxfId="3242" priority="3392" stopIfTrue="1">
      <formula>IF(CU$8="判定対象外",TRUE,FALSE)</formula>
    </cfRule>
  </conditionalFormatting>
  <conditionalFormatting sqref="CT58">
    <cfRule type="expression" dxfId="3241" priority="3381" stopIfTrue="1">
      <formula>IF(CU$8="判定対象外",TRUE,FALSE)</formula>
    </cfRule>
  </conditionalFormatting>
  <conditionalFormatting sqref="CL58">
    <cfRule type="expression" dxfId="3240" priority="3391" stopIfTrue="1">
      <formula>IF(CM$8="判定対象外",TRUE,FALSE)</formula>
    </cfRule>
  </conditionalFormatting>
  <conditionalFormatting sqref="CO58">
    <cfRule type="expression" dxfId="3239" priority="3389" stopIfTrue="1">
      <formula>IF(CO58="-",TRUE,FALSE)</formula>
    </cfRule>
    <cfRule type="expression" dxfId="3238" priority="3390" stopIfTrue="1">
      <formula>IF(OR(CO58="OK"),FALSE,TRUE)</formula>
    </cfRule>
  </conditionalFormatting>
  <conditionalFormatting sqref="CN58">
    <cfRule type="expression" dxfId="3237" priority="3388" stopIfTrue="1">
      <formula>IF(CM$8="判定対象外",TRUE,FALSE)</formula>
    </cfRule>
  </conditionalFormatting>
  <conditionalFormatting sqref="CM58">
    <cfRule type="expression" dxfId="3236" priority="3387" stopIfTrue="1">
      <formula>IF(CM$8="判定対象外",TRUE,FALSE)</formula>
    </cfRule>
  </conditionalFormatting>
  <conditionalFormatting sqref="CP58">
    <cfRule type="expression" dxfId="3235" priority="3386" stopIfTrue="1">
      <formula>IF(CQ$8="判定対象外",TRUE,FALSE)</formula>
    </cfRule>
  </conditionalFormatting>
  <conditionalFormatting sqref="CS58">
    <cfRule type="expression" dxfId="3234" priority="3384" stopIfTrue="1">
      <formula>IF(CS58="-",TRUE,FALSE)</formula>
    </cfRule>
    <cfRule type="expression" dxfId="3233" priority="3385" stopIfTrue="1">
      <formula>IF(OR(CS58="OK"),FALSE,TRUE)</formula>
    </cfRule>
  </conditionalFormatting>
  <conditionalFormatting sqref="CR58">
    <cfRule type="expression" dxfId="3232" priority="3383" stopIfTrue="1">
      <formula>IF(CQ$8="判定対象外",TRUE,FALSE)</formula>
    </cfRule>
  </conditionalFormatting>
  <conditionalFormatting sqref="CQ58">
    <cfRule type="expression" dxfId="3231" priority="3382" stopIfTrue="1">
      <formula>IF(CQ$8="判定対象外",TRUE,FALSE)</formula>
    </cfRule>
  </conditionalFormatting>
  <conditionalFormatting sqref="CP59">
    <cfRule type="expression" dxfId="3230" priority="3375" stopIfTrue="1">
      <formula>IF(CQ$8="判定対象外",TRUE,FALSE)</formula>
    </cfRule>
  </conditionalFormatting>
  <conditionalFormatting sqref="CS59">
    <cfRule type="expression" dxfId="3229" priority="3373" stopIfTrue="1">
      <formula>IF(CS59="-",TRUE,FALSE)</formula>
    </cfRule>
    <cfRule type="expression" dxfId="3228" priority="3374" stopIfTrue="1">
      <formula>IF(OR(CS59="OK"),FALSE,TRUE)</formula>
    </cfRule>
  </conditionalFormatting>
  <conditionalFormatting sqref="CR59">
    <cfRule type="expression" dxfId="3227" priority="3372" stopIfTrue="1">
      <formula>IF(CQ$8="判定対象外",TRUE,FALSE)</formula>
    </cfRule>
  </conditionalFormatting>
  <conditionalFormatting sqref="CQ59">
    <cfRule type="expression" dxfId="3226" priority="3371" stopIfTrue="1">
      <formula>IF(CQ$8="判定対象外",TRUE,FALSE)</formula>
    </cfRule>
  </conditionalFormatting>
  <conditionalFormatting sqref="CP60">
    <cfRule type="expression" dxfId="3225" priority="3364" stopIfTrue="1">
      <formula>IF(CQ$8="判定対象外",TRUE,FALSE)</formula>
    </cfRule>
  </conditionalFormatting>
  <conditionalFormatting sqref="CS60">
    <cfRule type="expression" dxfId="3224" priority="3362" stopIfTrue="1">
      <formula>IF(CS60="-",TRUE,FALSE)</formula>
    </cfRule>
    <cfRule type="expression" dxfId="3223" priority="3363" stopIfTrue="1">
      <formula>IF(OR(CS60="OK"),FALSE,TRUE)</formula>
    </cfRule>
  </conditionalFormatting>
  <conditionalFormatting sqref="CR60">
    <cfRule type="expression" dxfId="3222" priority="3361" stopIfTrue="1">
      <formula>IF(CQ$8="判定対象外",TRUE,FALSE)</formula>
    </cfRule>
  </conditionalFormatting>
  <conditionalFormatting sqref="CQ60">
    <cfRule type="expression" dxfId="3221" priority="3360" stopIfTrue="1">
      <formula>IF(CQ$8="判定対象外",TRUE,FALSE)</formula>
    </cfRule>
  </conditionalFormatting>
  <conditionalFormatting sqref="DV64">
    <cfRule type="expression" dxfId="3220" priority="2490" stopIfTrue="1">
      <formula>IF(DW$8="判定対象外",TRUE,FALSE)</formula>
    </cfRule>
  </conditionalFormatting>
  <conditionalFormatting sqref="DY64">
    <cfRule type="expression" dxfId="3219" priority="2488" stopIfTrue="1">
      <formula>IF(DY64="-",TRUE,FALSE)</formula>
    </cfRule>
    <cfRule type="expression" dxfId="3218" priority="2489" stopIfTrue="1">
      <formula>IF(OR(DY64="OK"),FALSE,TRUE)</formula>
    </cfRule>
  </conditionalFormatting>
  <conditionalFormatting sqref="DX64">
    <cfRule type="expression" dxfId="3217" priority="2487" stopIfTrue="1">
      <formula>IF(DW$8="判定対象外",TRUE,FALSE)</formula>
    </cfRule>
  </conditionalFormatting>
  <conditionalFormatting sqref="DW64">
    <cfRule type="expression" dxfId="3216" priority="2486" stopIfTrue="1">
      <formula>IF(DW$8="判定対象外",TRUE,FALSE)</formula>
    </cfRule>
  </conditionalFormatting>
  <conditionalFormatting sqref="EH65">
    <cfRule type="expression" dxfId="3215" priority="2185" stopIfTrue="1">
      <formula>IF(EI$8="判定対象外",TRUE,FALSE)</formula>
    </cfRule>
  </conditionalFormatting>
  <conditionalFormatting sqref="EK65">
    <cfRule type="expression" dxfId="3214" priority="2183" stopIfTrue="1">
      <formula>IF(EK65="-",TRUE,FALSE)</formula>
    </cfRule>
    <cfRule type="expression" dxfId="3213" priority="2184" stopIfTrue="1">
      <formula>IF(OR(EK65="OK"),FALSE,TRUE)</formula>
    </cfRule>
  </conditionalFormatting>
  <conditionalFormatting sqref="EJ65">
    <cfRule type="expression" dxfId="3212" priority="2182" stopIfTrue="1">
      <formula>IF(EI$8="判定対象外",TRUE,FALSE)</formula>
    </cfRule>
  </conditionalFormatting>
  <conditionalFormatting sqref="EI65">
    <cfRule type="expression" dxfId="3211" priority="2181" stopIfTrue="1">
      <formula>IF(EI$8="判定対象外",TRUE,FALSE)</formula>
    </cfRule>
  </conditionalFormatting>
  <conditionalFormatting sqref="CP61">
    <cfRule type="expression" dxfId="3210" priority="3342" stopIfTrue="1">
      <formula>IF(CQ$8="判定対象外",TRUE,FALSE)</formula>
    </cfRule>
  </conditionalFormatting>
  <conditionalFormatting sqref="CS61">
    <cfRule type="expression" dxfId="3209" priority="3340" stopIfTrue="1">
      <formula>IF(CS61="-",TRUE,FALSE)</formula>
    </cfRule>
    <cfRule type="expression" dxfId="3208" priority="3341" stopIfTrue="1">
      <formula>IF(OR(CS61="OK"),FALSE,TRUE)</formula>
    </cfRule>
  </conditionalFormatting>
  <conditionalFormatting sqref="CR61">
    <cfRule type="expression" dxfId="3207" priority="3339" stopIfTrue="1">
      <formula>IF(CQ$8="判定対象外",TRUE,FALSE)</formula>
    </cfRule>
  </conditionalFormatting>
  <conditionalFormatting sqref="CQ61">
    <cfRule type="expression" dxfId="3206" priority="3338" stopIfTrue="1">
      <formula>IF(CQ$8="判定対象外",TRUE,FALSE)</formula>
    </cfRule>
  </conditionalFormatting>
  <conditionalFormatting sqref="FB66">
    <cfRule type="expression" dxfId="3205" priority="1859" stopIfTrue="1">
      <formula>IF(FC$8="判定対象外",TRUE,FALSE)</formula>
    </cfRule>
  </conditionalFormatting>
  <conditionalFormatting sqref="DF64">
    <cfRule type="expression" dxfId="3204" priority="3046" stopIfTrue="1">
      <formula>IF(DG$8="判定対象外",TRUE,FALSE)</formula>
    </cfRule>
  </conditionalFormatting>
  <conditionalFormatting sqref="CL63">
    <cfRule type="expression" dxfId="3203" priority="3336" stopIfTrue="1">
      <formula>IF(CM$8="判定対象外",TRUE,FALSE)</formula>
    </cfRule>
  </conditionalFormatting>
  <conditionalFormatting sqref="CO63">
    <cfRule type="expression" dxfId="3202" priority="3334" stopIfTrue="1">
      <formula>IF(CO63="-",TRUE,FALSE)</formula>
    </cfRule>
    <cfRule type="expression" dxfId="3201" priority="3335" stopIfTrue="1">
      <formula>IF(OR(CO63="OK"),FALSE,TRUE)</formula>
    </cfRule>
  </conditionalFormatting>
  <conditionalFormatting sqref="CN63">
    <cfRule type="expression" dxfId="3200" priority="3333" stopIfTrue="1">
      <formula>IF(CM$8="判定対象外",TRUE,FALSE)</formula>
    </cfRule>
  </conditionalFormatting>
  <conditionalFormatting sqref="CM63">
    <cfRule type="expression" dxfId="3199" priority="3332" stopIfTrue="1">
      <formula>IF(CM$8="判定対象外",TRUE,FALSE)</formula>
    </cfRule>
  </conditionalFormatting>
  <conditionalFormatting sqref="CS63">
    <cfRule type="expression" dxfId="3198" priority="3330" stopIfTrue="1">
      <formula>IF(CS63="-",TRUE,FALSE)</formula>
    </cfRule>
    <cfRule type="expression" dxfId="3197" priority="3331" stopIfTrue="1">
      <formula>IF(OR(CS63="OK"),FALSE,TRUE)</formula>
    </cfRule>
  </conditionalFormatting>
  <conditionalFormatting sqref="CR63">
    <cfRule type="expression" dxfId="3196" priority="3329" stopIfTrue="1">
      <formula>IF(CQ$8="判定対象外",TRUE,FALSE)</formula>
    </cfRule>
  </conditionalFormatting>
  <conditionalFormatting sqref="CQ63">
    <cfRule type="expression" dxfId="3195" priority="3328" stopIfTrue="1">
      <formula>IF(CQ$8="判定対象外",TRUE,FALSE)</formula>
    </cfRule>
  </conditionalFormatting>
  <conditionalFormatting sqref="CL62">
    <cfRule type="expression" dxfId="3194" priority="3325" stopIfTrue="1">
      <formula>IF(CM$8="判定対象外",TRUE,FALSE)</formula>
    </cfRule>
  </conditionalFormatting>
  <conditionalFormatting sqref="CO62">
    <cfRule type="expression" dxfId="3193" priority="3323" stopIfTrue="1">
      <formula>IF(CO62="-",TRUE,FALSE)</formula>
    </cfRule>
    <cfRule type="expression" dxfId="3192" priority="3324" stopIfTrue="1">
      <formula>IF(OR(CO62="OK"),FALSE,TRUE)</formula>
    </cfRule>
  </conditionalFormatting>
  <conditionalFormatting sqref="CN62">
    <cfRule type="expression" dxfId="3191" priority="3322" stopIfTrue="1">
      <formula>IF(CM$8="判定対象外",TRUE,FALSE)</formula>
    </cfRule>
  </conditionalFormatting>
  <conditionalFormatting sqref="CM62">
    <cfRule type="expression" dxfId="3190" priority="3321" stopIfTrue="1">
      <formula>IF(CM$8="判定対象外",TRUE,FALSE)</formula>
    </cfRule>
  </conditionalFormatting>
  <conditionalFormatting sqref="CP62">
    <cfRule type="expression" dxfId="3189" priority="3320" stopIfTrue="1">
      <formula>IF(CQ$8="判定対象外",TRUE,FALSE)</formula>
    </cfRule>
  </conditionalFormatting>
  <conditionalFormatting sqref="CS62">
    <cfRule type="expression" dxfId="3188" priority="3318" stopIfTrue="1">
      <formula>IF(CS62="-",TRUE,FALSE)</formula>
    </cfRule>
    <cfRule type="expression" dxfId="3187" priority="3319" stopIfTrue="1">
      <formula>IF(OR(CS62="OK"),FALSE,TRUE)</formula>
    </cfRule>
  </conditionalFormatting>
  <conditionalFormatting sqref="CR62">
    <cfRule type="expression" dxfId="3186" priority="3317" stopIfTrue="1">
      <formula>IF(CQ$8="判定対象外",TRUE,FALSE)</formula>
    </cfRule>
  </conditionalFormatting>
  <conditionalFormatting sqref="CQ62">
    <cfRule type="expression" dxfId="3185" priority="3316" stopIfTrue="1">
      <formula>IF(CQ$8="判定対象外",TRUE,FALSE)</formula>
    </cfRule>
  </conditionalFormatting>
  <conditionalFormatting sqref="CT62">
    <cfRule type="expression" dxfId="3184" priority="3315" stopIfTrue="1">
      <formula>IF(CU$8="判定対象外",TRUE,FALSE)</formula>
    </cfRule>
  </conditionalFormatting>
  <conditionalFormatting sqref="DF61">
    <cfRule type="expression" dxfId="3183" priority="3079" stopIfTrue="1">
      <formula>IF(DG$8="判定対象外",TRUE,FALSE)</formula>
    </cfRule>
  </conditionalFormatting>
  <conditionalFormatting sqref="CX61">
    <cfRule type="expression" dxfId="3182" priority="3089" stopIfTrue="1">
      <formula>IF(CY$8="判定対象外",TRUE,FALSE)</formula>
    </cfRule>
  </conditionalFormatting>
  <conditionalFormatting sqref="DA61">
    <cfRule type="expression" dxfId="3181" priority="3087" stopIfTrue="1">
      <formula>IF(DA61="-",TRUE,FALSE)</formula>
    </cfRule>
    <cfRule type="expression" dxfId="3180" priority="3088" stopIfTrue="1">
      <formula>IF(OR(DA61="OK"),FALSE,TRUE)</formula>
    </cfRule>
  </conditionalFormatting>
  <conditionalFormatting sqref="CZ61">
    <cfRule type="expression" dxfId="3179" priority="3086" stopIfTrue="1">
      <formula>IF(CY$8="判定対象外",TRUE,FALSE)</formula>
    </cfRule>
  </conditionalFormatting>
  <conditionalFormatting sqref="CY61">
    <cfRule type="expression" dxfId="3178" priority="3085" stopIfTrue="1">
      <formula>IF(CY$8="判定対象外",TRUE,FALSE)</formula>
    </cfRule>
  </conditionalFormatting>
  <conditionalFormatting sqref="FN68">
    <cfRule type="expression" dxfId="3177" priority="1507" stopIfTrue="1">
      <formula>IF(FO$8="判定対象外",TRUE,FALSE)</formula>
    </cfRule>
  </conditionalFormatting>
  <conditionalFormatting sqref="DF60">
    <cfRule type="expression" dxfId="3176" priority="3090" stopIfTrue="1">
      <formula>IF(DG$8="判定対象外",TRUE,FALSE)</formula>
    </cfRule>
  </conditionalFormatting>
  <conditionalFormatting sqref="DF53 DF56 DF65 DF68 DF71">
    <cfRule type="expression" dxfId="3175" priority="3136" stopIfTrue="1">
      <formula>IF(DG$8="判定対象外",TRUE,FALSE)</formula>
    </cfRule>
  </conditionalFormatting>
  <conditionalFormatting sqref="CX60">
    <cfRule type="expression" dxfId="3174" priority="3100" stopIfTrue="1">
      <formula>IF(CY$8="判定対象外",TRUE,FALSE)</formula>
    </cfRule>
  </conditionalFormatting>
  <conditionalFormatting sqref="DA60">
    <cfRule type="expression" dxfId="3173" priority="3098" stopIfTrue="1">
      <formula>IF(DA60="-",TRUE,FALSE)</formula>
    </cfRule>
    <cfRule type="expression" dxfId="3172" priority="3099" stopIfTrue="1">
      <formula>IF(OR(DA60="OK"),FALSE,TRUE)</formula>
    </cfRule>
  </conditionalFormatting>
  <conditionalFormatting sqref="CZ60">
    <cfRule type="expression" dxfId="3171" priority="3097" stopIfTrue="1">
      <formula>IF(CY$8="判定対象外",TRUE,FALSE)</formula>
    </cfRule>
  </conditionalFormatting>
  <conditionalFormatting sqref="CY60">
    <cfRule type="expression" dxfId="3170" priority="3096" stopIfTrue="1">
      <formula>IF(CY$8="判定対象外",TRUE,FALSE)</formula>
    </cfRule>
  </conditionalFormatting>
  <conditionalFormatting sqref="DF19">
    <cfRule type="expression" dxfId="3169" priority="3147" stopIfTrue="1">
      <formula>IF(DG$8="判定対象外",TRUE,FALSE)</formula>
    </cfRule>
  </conditionalFormatting>
  <conditionalFormatting sqref="DF59">
    <cfRule type="expression" dxfId="3168" priority="3101" stopIfTrue="1">
      <formula>IF(DG$8="判定対象外",TRUE,FALSE)</formula>
    </cfRule>
  </conditionalFormatting>
  <conditionalFormatting sqref="CX59">
    <cfRule type="expression" dxfId="3167" priority="3111" stopIfTrue="1">
      <formula>IF(CY$8="判定対象外",TRUE,FALSE)</formula>
    </cfRule>
  </conditionalFormatting>
  <conditionalFormatting sqref="DA59">
    <cfRule type="expression" dxfId="3166" priority="3109" stopIfTrue="1">
      <formula>IF(DA59="-",TRUE,FALSE)</formula>
    </cfRule>
    <cfRule type="expression" dxfId="3165" priority="3110" stopIfTrue="1">
      <formula>IF(OR(DA59="OK"),FALSE,TRUE)</formula>
    </cfRule>
  </conditionalFormatting>
  <conditionalFormatting sqref="CZ59">
    <cfRule type="expression" dxfId="3164" priority="3108" stopIfTrue="1">
      <formula>IF(CY$8="判定対象外",TRUE,FALSE)</formula>
    </cfRule>
  </conditionalFormatting>
  <conditionalFormatting sqref="CY59">
    <cfRule type="expression" dxfId="3163" priority="3107" stopIfTrue="1">
      <formula>IF(CY$8="判定対象外",TRUE,FALSE)</formula>
    </cfRule>
  </conditionalFormatting>
  <conditionalFormatting sqref="DF16:DF18">
    <cfRule type="expression" dxfId="3162" priority="3157" stopIfTrue="1">
      <formula>IF(DG$8="判定対象外",TRUE,FALSE)</formula>
    </cfRule>
  </conditionalFormatting>
  <conditionalFormatting sqref="DA8:DA10">
    <cfRule type="expression" dxfId="3161" priority="3313" stopIfTrue="1">
      <formula>IF(DA8="-",TRUE,FALSE)</formula>
    </cfRule>
    <cfRule type="expression" dxfId="3160" priority="3314" stopIfTrue="1">
      <formula>IF(OR(DA8="OK"),FALSE,TRUE)</formula>
    </cfRule>
  </conditionalFormatting>
  <conditionalFormatting sqref="CX8:CX10">
    <cfRule type="expression" dxfId="3159" priority="3312" stopIfTrue="1">
      <formula>IF(CY$8="判定対象外",TRUE,FALSE)</formula>
    </cfRule>
  </conditionalFormatting>
  <conditionalFormatting sqref="CY8:CY10">
    <cfRule type="expression" dxfId="3158" priority="3311" stopIfTrue="1">
      <formula>IF(CY$8="判定対象外",TRUE,FALSE)</formula>
    </cfRule>
  </conditionalFormatting>
  <conditionalFormatting sqref="CZ8:CZ10">
    <cfRule type="expression" dxfId="3157" priority="3310" stopIfTrue="1">
      <formula>IF(CY$8="判定対象外",TRUE,FALSE)</formula>
    </cfRule>
  </conditionalFormatting>
  <conditionalFormatting sqref="DA11:DA56 DA71:DA81">
    <cfRule type="expression" dxfId="3156" priority="3307" stopIfTrue="1">
      <formula>IF(DA11="-",TRUE,FALSE)</formula>
    </cfRule>
    <cfRule type="expression" dxfId="3155" priority="3308" stopIfTrue="1">
      <formula>IF(OR(DA11="OK"),FALSE,TRUE)</formula>
    </cfRule>
  </conditionalFormatting>
  <conditionalFormatting sqref="CZ11:CZ56 CZ71:CZ81">
    <cfRule type="expression" dxfId="3154" priority="3306" stopIfTrue="1">
      <formula>IF(CY$8="判定対象外",TRUE,FALSE)</formula>
    </cfRule>
  </conditionalFormatting>
  <conditionalFormatting sqref="CX72:CX81 CX21:CX46">
    <cfRule type="expression" dxfId="3153" priority="3305" stopIfTrue="1">
      <formula>IF(CY$8="判定対象外",TRUE,FALSE)</formula>
    </cfRule>
  </conditionalFormatting>
  <conditionalFormatting sqref="CX29:CX32">
    <cfRule type="expression" dxfId="3152" priority="3304" stopIfTrue="1">
      <formula>IF(CY$8="判定対象外",TRUE,FALSE)</formula>
    </cfRule>
  </conditionalFormatting>
  <conditionalFormatting sqref="CX42:CX44">
    <cfRule type="expression" dxfId="3151" priority="3303" stopIfTrue="1">
      <formula>IF(CY$8="判定対象外",TRUE,FALSE)</formula>
    </cfRule>
  </conditionalFormatting>
  <conditionalFormatting sqref="CX46">
    <cfRule type="expression" dxfId="3150" priority="3302" stopIfTrue="1">
      <formula>IF(CY$8="判定対象外",TRUE,FALSE)</formula>
    </cfRule>
  </conditionalFormatting>
  <conditionalFormatting sqref="CX42:CX44">
    <cfRule type="expression" dxfId="3149" priority="3301" stopIfTrue="1">
      <formula>IF(CY$8="判定対象外",TRUE,FALSE)</formula>
    </cfRule>
  </conditionalFormatting>
  <conditionalFormatting sqref="CX42:CX44">
    <cfRule type="expression" dxfId="3148" priority="3300" stopIfTrue="1">
      <formula>IF(CY$8="判定対象外",TRUE,FALSE)</formula>
    </cfRule>
  </conditionalFormatting>
  <conditionalFormatting sqref="CX42:CX44">
    <cfRule type="expression" dxfId="3147" priority="3299" stopIfTrue="1">
      <formula>IF(CY$8="判定対象外",TRUE,FALSE)</formula>
    </cfRule>
  </conditionalFormatting>
  <conditionalFormatting sqref="CX42:CX44">
    <cfRule type="expression" dxfId="3146" priority="3298" stopIfTrue="1">
      <formula>IF(CY$8="判定対象外",TRUE,FALSE)</formula>
    </cfRule>
  </conditionalFormatting>
  <conditionalFormatting sqref="CX42:CX44">
    <cfRule type="expression" dxfId="3145" priority="3297" stopIfTrue="1">
      <formula>IF(CY$8="判定対象外",TRUE,FALSE)</formula>
    </cfRule>
  </conditionalFormatting>
  <conditionalFormatting sqref="CX42:CX44">
    <cfRule type="expression" dxfId="3144" priority="3296" stopIfTrue="1">
      <formula>IF(CY$8="判定対象外",TRUE,FALSE)</formula>
    </cfRule>
  </conditionalFormatting>
  <conditionalFormatting sqref="CX42:CX44">
    <cfRule type="expression" dxfId="3143" priority="3295" stopIfTrue="1">
      <formula>IF(CY$8="判定対象外",TRUE,FALSE)</formula>
    </cfRule>
  </conditionalFormatting>
  <conditionalFormatting sqref="CX38">
    <cfRule type="expression" dxfId="3142" priority="3309" stopIfTrue="1">
      <formula>IF(#REF!="判定対象外",TRUE,FALSE)</formula>
    </cfRule>
  </conditionalFormatting>
  <conditionalFormatting sqref="CY11:CY56 CY71:CY81">
    <cfRule type="expression" dxfId="3141" priority="3294" stopIfTrue="1">
      <formula>IF(CY$8="判定対象外",TRUE,FALSE)</formula>
    </cfRule>
  </conditionalFormatting>
  <conditionalFormatting sqref="CX48">
    <cfRule type="expression" dxfId="3140" priority="3293" stopIfTrue="1">
      <formula>IF(CY$8="判定対象外",TRUE,FALSE)</formula>
    </cfRule>
  </conditionalFormatting>
  <conditionalFormatting sqref="CX51">
    <cfRule type="expression" dxfId="3139" priority="3292" stopIfTrue="1">
      <formula>IF(CY$8="判定対象外",TRUE,FALSE)</formula>
    </cfRule>
  </conditionalFormatting>
  <conditionalFormatting sqref="CX52 CX55 CX67 CX70">
    <cfRule type="expression" dxfId="3138" priority="3291" stopIfTrue="1">
      <formula>IF(CY$8="判定対象外",TRUE,FALSE)</formula>
    </cfRule>
  </conditionalFormatting>
  <conditionalFormatting sqref="CX11:CX20">
    <cfRule type="expression" dxfId="3137" priority="3290" stopIfTrue="1">
      <formula>IF(CY$8="判定対象外",TRUE,FALSE)</formula>
    </cfRule>
  </conditionalFormatting>
  <conditionalFormatting sqref="CX16:CX18">
    <cfRule type="expression" dxfId="3136" priority="3289" stopIfTrue="1">
      <formula>IF(CY$8="判定対象外",TRUE,FALSE)</formula>
    </cfRule>
  </conditionalFormatting>
  <conditionalFormatting sqref="CX20">
    <cfRule type="expression" dxfId="3135" priority="3288" stopIfTrue="1">
      <formula>IF(CY$8="判定対象外",TRUE,FALSE)</formula>
    </cfRule>
  </conditionalFormatting>
  <conditionalFormatting sqref="CX16:CX20">
    <cfRule type="expression" dxfId="3134" priority="3287" stopIfTrue="1">
      <formula>IF(CY$8="判定対象外",TRUE,FALSE)</formula>
    </cfRule>
  </conditionalFormatting>
  <conditionalFormatting sqref="CX11:CX20">
    <cfRule type="expression" dxfId="3133" priority="3286" stopIfTrue="1">
      <formula>IF(CY$8="判定対象外",TRUE,FALSE)</formula>
    </cfRule>
  </conditionalFormatting>
  <conditionalFormatting sqref="CX16:CX18">
    <cfRule type="expression" dxfId="3132" priority="3285" stopIfTrue="1">
      <formula>IF(CY$8="判定対象外",TRUE,FALSE)</formula>
    </cfRule>
  </conditionalFormatting>
  <conditionalFormatting sqref="CX20">
    <cfRule type="expression" dxfId="3131" priority="3284" stopIfTrue="1">
      <formula>IF(CY$8="判定対象外",TRUE,FALSE)</formula>
    </cfRule>
  </conditionalFormatting>
  <conditionalFormatting sqref="CX16:CX20">
    <cfRule type="expression" dxfId="3130" priority="3283" stopIfTrue="1">
      <formula>IF(CY$8="判定対象外",TRUE,FALSE)</formula>
    </cfRule>
  </conditionalFormatting>
  <conditionalFormatting sqref="CX11:CX20">
    <cfRule type="expression" dxfId="3129" priority="3282" stopIfTrue="1">
      <formula>IF(CY$8="判定対象外",TRUE,FALSE)</formula>
    </cfRule>
  </conditionalFormatting>
  <conditionalFormatting sqref="CX16:CX18">
    <cfRule type="expression" dxfId="3128" priority="3281" stopIfTrue="1">
      <formula>IF(CY$8="判定対象外",TRUE,FALSE)</formula>
    </cfRule>
  </conditionalFormatting>
  <conditionalFormatting sqref="CX20">
    <cfRule type="expression" dxfId="3127" priority="3280" stopIfTrue="1">
      <formula>IF(CY$8="判定対象外",TRUE,FALSE)</formula>
    </cfRule>
  </conditionalFormatting>
  <conditionalFormatting sqref="CX16:CX20">
    <cfRule type="expression" dxfId="3126" priority="3279" stopIfTrue="1">
      <formula>IF(CY$8="判定対象外",TRUE,FALSE)</formula>
    </cfRule>
  </conditionalFormatting>
  <conditionalFormatting sqref="CX11:CX13">
    <cfRule type="expression" dxfId="3125" priority="3278" stopIfTrue="1">
      <formula>IF(CY$8="判定対象外",TRUE,FALSE)</formula>
    </cfRule>
  </conditionalFormatting>
  <conditionalFormatting sqref="CX15">
    <cfRule type="expression" dxfId="3124" priority="3277" stopIfTrue="1">
      <formula>IF(CY$8="判定対象外",TRUE,FALSE)</formula>
    </cfRule>
  </conditionalFormatting>
  <conditionalFormatting sqref="CX19">
    <cfRule type="expression" dxfId="3123" priority="3276" stopIfTrue="1">
      <formula>IF(CY$8="判定対象外",TRUE,FALSE)</formula>
    </cfRule>
  </conditionalFormatting>
  <conditionalFormatting sqref="CX19">
    <cfRule type="expression" dxfId="3122" priority="3275" stopIfTrue="1">
      <formula>IF(CY$8="判定対象外",TRUE,FALSE)</formula>
    </cfRule>
  </conditionalFormatting>
  <conditionalFormatting sqref="CX20">
    <cfRule type="expression" dxfId="3121" priority="3274" stopIfTrue="1">
      <formula>IF(CY$8="判定対象外",TRUE,FALSE)</formula>
    </cfRule>
  </conditionalFormatting>
  <conditionalFormatting sqref="CX20">
    <cfRule type="expression" dxfId="3120" priority="3273" stopIfTrue="1">
      <formula>IF(CY$8="判定対象外",TRUE,FALSE)</formula>
    </cfRule>
  </conditionalFormatting>
  <conditionalFormatting sqref="CX20">
    <cfRule type="expression" dxfId="3119" priority="3272" stopIfTrue="1">
      <formula>IF(CY$8="判定対象外",TRUE,FALSE)</formula>
    </cfRule>
  </conditionalFormatting>
  <conditionalFormatting sqref="CX13">
    <cfRule type="expression" dxfId="3118" priority="3271" stopIfTrue="1">
      <formula>IF(CY$8="判定対象外",TRUE,FALSE)</formula>
    </cfRule>
  </conditionalFormatting>
  <conditionalFormatting sqref="CX47">
    <cfRule type="expression" dxfId="3117" priority="3270" stopIfTrue="1">
      <formula>IF(CY$8="判定対象外",TRUE,FALSE)</formula>
    </cfRule>
  </conditionalFormatting>
  <conditionalFormatting sqref="CX47">
    <cfRule type="expression" dxfId="3116" priority="3269" stopIfTrue="1">
      <formula>IF(CY$8="判定対象外",TRUE,FALSE)</formula>
    </cfRule>
  </conditionalFormatting>
  <conditionalFormatting sqref="CX49">
    <cfRule type="expression" dxfId="3115" priority="3268" stopIfTrue="1">
      <formula>IF(CY$8="判定対象外",TRUE,FALSE)</formula>
    </cfRule>
  </conditionalFormatting>
  <conditionalFormatting sqref="CX49">
    <cfRule type="expression" dxfId="3114" priority="3267" stopIfTrue="1">
      <formula>IF(CY$8="判定対象外",TRUE,FALSE)</formula>
    </cfRule>
  </conditionalFormatting>
  <conditionalFormatting sqref="CX50">
    <cfRule type="expression" dxfId="3113" priority="3266" stopIfTrue="1">
      <formula>IF(CY$8="判定対象外",TRUE,FALSE)</formula>
    </cfRule>
  </conditionalFormatting>
  <conditionalFormatting sqref="CX50">
    <cfRule type="expression" dxfId="3112" priority="3265" stopIfTrue="1">
      <formula>IF(CY$8="判定対象外",TRUE,FALSE)</formula>
    </cfRule>
  </conditionalFormatting>
  <conditionalFormatting sqref="CX53 CX56 CX65 CX68 CX71">
    <cfRule type="expression" dxfId="3111" priority="3264" stopIfTrue="1">
      <formula>IF(CY$8="判定対象外",TRUE,FALSE)</formula>
    </cfRule>
  </conditionalFormatting>
  <conditionalFormatting sqref="CX54 CX57 CX66 CX69">
    <cfRule type="expression" dxfId="3110" priority="3263" stopIfTrue="1">
      <formula>IF(CY$8="判定対象外",TRUE,FALSE)</formula>
    </cfRule>
  </conditionalFormatting>
  <conditionalFormatting sqref="DA57">
    <cfRule type="expression" dxfId="3109" priority="3261" stopIfTrue="1">
      <formula>IF(DA57="-",TRUE,FALSE)</formula>
    </cfRule>
    <cfRule type="expression" dxfId="3108" priority="3262" stopIfTrue="1">
      <formula>IF(OR(DA57="OK"),FALSE,TRUE)</formula>
    </cfRule>
  </conditionalFormatting>
  <conditionalFormatting sqref="CZ57">
    <cfRule type="expression" dxfId="3107" priority="3260" stopIfTrue="1">
      <formula>IF(CY$8="判定対象外",TRUE,FALSE)</formula>
    </cfRule>
  </conditionalFormatting>
  <conditionalFormatting sqref="CY57">
    <cfRule type="expression" dxfId="3106" priority="3259" stopIfTrue="1">
      <formula>IF(CY$8="判定対象外",TRUE,FALSE)</formula>
    </cfRule>
  </conditionalFormatting>
  <conditionalFormatting sqref="DA65:DA70">
    <cfRule type="expression" dxfId="3105" priority="3253" stopIfTrue="1">
      <formula>IF(DA65="-",TRUE,FALSE)</formula>
    </cfRule>
    <cfRule type="expression" dxfId="3104" priority="3254" stopIfTrue="1">
      <formula>IF(OR(DA65="OK"),FALSE,TRUE)</formula>
    </cfRule>
  </conditionalFormatting>
  <conditionalFormatting sqref="CZ65:CZ70">
    <cfRule type="expression" dxfId="3103" priority="3252" stopIfTrue="1">
      <formula>IF(CY$8="判定対象外",TRUE,FALSE)</formula>
    </cfRule>
  </conditionalFormatting>
  <conditionalFormatting sqref="CY65:CY70">
    <cfRule type="expression" dxfId="3102" priority="3251" stopIfTrue="1">
      <formula>IF(CY$8="判定対象外",TRUE,FALSE)</formula>
    </cfRule>
  </conditionalFormatting>
  <conditionalFormatting sqref="DE8:DE10">
    <cfRule type="expression" dxfId="3101" priority="3249" stopIfTrue="1">
      <formula>IF(DE8="-",TRUE,FALSE)</formula>
    </cfRule>
    <cfRule type="expression" dxfId="3100" priority="3250" stopIfTrue="1">
      <formula>IF(OR(DE8="OK"),FALSE,TRUE)</formula>
    </cfRule>
  </conditionalFormatting>
  <conditionalFormatting sqref="DB8:DB10">
    <cfRule type="expression" dxfId="3099" priority="3248" stopIfTrue="1">
      <formula>IF(DC$8="判定対象外",TRUE,FALSE)</formula>
    </cfRule>
  </conditionalFormatting>
  <conditionalFormatting sqref="DC8:DC10">
    <cfRule type="expression" dxfId="3098" priority="3247" stopIfTrue="1">
      <formula>IF(DC$8="判定対象外",TRUE,FALSE)</formula>
    </cfRule>
  </conditionalFormatting>
  <conditionalFormatting sqref="DD8:DD10">
    <cfRule type="expression" dxfId="3097" priority="3246" stopIfTrue="1">
      <formula>IF(DC$8="判定対象外",TRUE,FALSE)</formula>
    </cfRule>
  </conditionalFormatting>
  <conditionalFormatting sqref="DE11:DE34 DE71:DE81 DE36:DE56">
    <cfRule type="expression" dxfId="3096" priority="3243" stopIfTrue="1">
      <formula>IF(DE11="-",TRUE,FALSE)</formula>
    </cfRule>
    <cfRule type="expression" dxfId="3095" priority="3244" stopIfTrue="1">
      <formula>IF(OR(DE11="OK"),FALSE,TRUE)</formula>
    </cfRule>
  </conditionalFormatting>
  <conditionalFormatting sqref="DD11:DD34 DD71:DD81 DD36:DD56">
    <cfRule type="expression" dxfId="3094" priority="3242" stopIfTrue="1">
      <formula>IF(DC$8="判定対象外",TRUE,FALSE)</formula>
    </cfRule>
  </conditionalFormatting>
  <conditionalFormatting sqref="DB72:DB81 DB21:DB34 DB36:DB46">
    <cfRule type="expression" dxfId="3093" priority="3241" stopIfTrue="1">
      <formula>IF(DC$8="判定対象外",TRUE,FALSE)</formula>
    </cfRule>
  </conditionalFormatting>
  <conditionalFormatting sqref="DB29:DB32">
    <cfRule type="expression" dxfId="3092" priority="3240" stopIfTrue="1">
      <formula>IF(DC$8="判定対象外",TRUE,FALSE)</formula>
    </cfRule>
  </conditionalFormatting>
  <conditionalFormatting sqref="DB42:DB44">
    <cfRule type="expression" dxfId="3091" priority="3239" stopIfTrue="1">
      <formula>IF(DC$8="判定対象外",TRUE,FALSE)</formula>
    </cfRule>
  </conditionalFormatting>
  <conditionalFormatting sqref="DB46">
    <cfRule type="expression" dxfId="3090" priority="3238" stopIfTrue="1">
      <formula>IF(DC$8="判定対象外",TRUE,FALSE)</formula>
    </cfRule>
  </conditionalFormatting>
  <conditionalFormatting sqref="DB42:DB44">
    <cfRule type="expression" dxfId="3089" priority="3237" stopIfTrue="1">
      <formula>IF(DC$8="判定対象外",TRUE,FALSE)</formula>
    </cfRule>
  </conditionalFormatting>
  <conditionalFormatting sqref="DB42:DB44">
    <cfRule type="expression" dxfId="3088" priority="3236" stopIfTrue="1">
      <formula>IF(DC$8="判定対象外",TRUE,FALSE)</formula>
    </cfRule>
  </conditionalFormatting>
  <conditionalFormatting sqref="DB42:DB44">
    <cfRule type="expression" dxfId="3087" priority="3235" stopIfTrue="1">
      <formula>IF(DC$8="判定対象外",TRUE,FALSE)</formula>
    </cfRule>
  </conditionalFormatting>
  <conditionalFormatting sqref="DB42:DB44">
    <cfRule type="expression" dxfId="3086" priority="3234" stopIfTrue="1">
      <formula>IF(DC$8="判定対象外",TRUE,FALSE)</formula>
    </cfRule>
  </conditionalFormatting>
  <conditionalFormatting sqref="DB42:DB44">
    <cfRule type="expression" dxfId="3085" priority="3233" stopIfTrue="1">
      <formula>IF(DC$8="判定対象外",TRUE,FALSE)</formula>
    </cfRule>
  </conditionalFormatting>
  <conditionalFormatting sqref="DB42:DB44">
    <cfRule type="expression" dxfId="3084" priority="3232" stopIfTrue="1">
      <formula>IF(DC$8="判定対象外",TRUE,FALSE)</formula>
    </cfRule>
  </conditionalFormatting>
  <conditionalFormatting sqref="DB42:DB44">
    <cfRule type="expression" dxfId="3083" priority="3231" stopIfTrue="1">
      <formula>IF(DC$8="判定対象外",TRUE,FALSE)</formula>
    </cfRule>
  </conditionalFormatting>
  <conditionalFormatting sqref="DB38">
    <cfRule type="expression" dxfId="3082" priority="3245" stopIfTrue="1">
      <formula>IF(#REF!="判定対象外",TRUE,FALSE)</formula>
    </cfRule>
  </conditionalFormatting>
  <conditionalFormatting sqref="DC11:DC34 DC71:DC81 DC36:DC56">
    <cfRule type="expression" dxfId="3081" priority="3230" stopIfTrue="1">
      <formula>IF(DC$8="判定対象外",TRUE,FALSE)</formula>
    </cfRule>
  </conditionalFormatting>
  <conditionalFormatting sqref="DB48">
    <cfRule type="expression" dxfId="3080" priority="3229" stopIfTrue="1">
      <formula>IF(DC$8="判定対象外",TRUE,FALSE)</formula>
    </cfRule>
  </conditionalFormatting>
  <conditionalFormatting sqref="DB51">
    <cfRule type="expression" dxfId="3079" priority="3228" stopIfTrue="1">
      <formula>IF(DC$8="判定対象外",TRUE,FALSE)</formula>
    </cfRule>
  </conditionalFormatting>
  <conditionalFormatting sqref="DB52 DB55 DB67 DB70">
    <cfRule type="expression" dxfId="3078" priority="3227" stopIfTrue="1">
      <formula>IF(DC$8="判定対象外",TRUE,FALSE)</formula>
    </cfRule>
  </conditionalFormatting>
  <conditionalFormatting sqref="DB11:DB20">
    <cfRule type="expression" dxfId="3077" priority="3226" stopIfTrue="1">
      <formula>IF(DC$8="判定対象外",TRUE,FALSE)</formula>
    </cfRule>
  </conditionalFormatting>
  <conditionalFormatting sqref="DB16:DB18">
    <cfRule type="expression" dxfId="3076" priority="3225" stopIfTrue="1">
      <formula>IF(DC$8="判定対象外",TRUE,FALSE)</formula>
    </cfRule>
  </conditionalFormatting>
  <conditionalFormatting sqref="DB20">
    <cfRule type="expression" dxfId="3075" priority="3224" stopIfTrue="1">
      <formula>IF(DC$8="判定対象外",TRUE,FALSE)</formula>
    </cfRule>
  </conditionalFormatting>
  <conditionalFormatting sqref="DB16:DB20">
    <cfRule type="expression" dxfId="3074" priority="3223" stopIfTrue="1">
      <formula>IF(DC$8="判定対象外",TRUE,FALSE)</formula>
    </cfRule>
  </conditionalFormatting>
  <conditionalFormatting sqref="DB11:DB20">
    <cfRule type="expression" dxfId="3073" priority="3222" stopIfTrue="1">
      <formula>IF(DC$8="判定対象外",TRUE,FALSE)</formula>
    </cfRule>
  </conditionalFormatting>
  <conditionalFormatting sqref="DB16:DB18">
    <cfRule type="expression" dxfId="3072" priority="3221" stopIfTrue="1">
      <formula>IF(DC$8="判定対象外",TRUE,FALSE)</formula>
    </cfRule>
  </conditionalFormatting>
  <conditionalFormatting sqref="DB20">
    <cfRule type="expression" dxfId="3071" priority="3220" stopIfTrue="1">
      <formula>IF(DC$8="判定対象外",TRUE,FALSE)</formula>
    </cfRule>
  </conditionalFormatting>
  <conditionalFormatting sqref="DB16:DB20">
    <cfRule type="expression" dxfId="3070" priority="3219" stopIfTrue="1">
      <formula>IF(DC$8="判定対象外",TRUE,FALSE)</formula>
    </cfRule>
  </conditionalFormatting>
  <conditionalFormatting sqref="DB11:DB20">
    <cfRule type="expression" dxfId="3069" priority="3218" stopIfTrue="1">
      <formula>IF(DC$8="判定対象外",TRUE,FALSE)</formula>
    </cfRule>
  </conditionalFormatting>
  <conditionalFormatting sqref="DB16:DB18">
    <cfRule type="expression" dxfId="3068" priority="3217" stopIfTrue="1">
      <formula>IF(DC$8="判定対象外",TRUE,FALSE)</formula>
    </cfRule>
  </conditionalFormatting>
  <conditionalFormatting sqref="DB20">
    <cfRule type="expression" dxfId="3067" priority="3216" stopIfTrue="1">
      <formula>IF(DC$8="判定対象外",TRUE,FALSE)</formula>
    </cfRule>
  </conditionalFormatting>
  <conditionalFormatting sqref="DB16:DB20">
    <cfRule type="expression" dxfId="3066" priority="3215" stopIfTrue="1">
      <formula>IF(DC$8="判定対象外",TRUE,FALSE)</formula>
    </cfRule>
  </conditionalFormatting>
  <conditionalFormatting sqref="DB11:DB13">
    <cfRule type="expression" dxfId="3065" priority="3214" stopIfTrue="1">
      <formula>IF(DC$8="判定対象外",TRUE,FALSE)</formula>
    </cfRule>
  </conditionalFormatting>
  <conditionalFormatting sqref="DB15">
    <cfRule type="expression" dxfId="3064" priority="3213" stopIfTrue="1">
      <formula>IF(DC$8="判定対象外",TRUE,FALSE)</formula>
    </cfRule>
  </conditionalFormatting>
  <conditionalFormatting sqref="DB19">
    <cfRule type="expression" dxfId="3063" priority="3212" stopIfTrue="1">
      <formula>IF(DC$8="判定対象外",TRUE,FALSE)</formula>
    </cfRule>
  </conditionalFormatting>
  <conditionalFormatting sqref="DB19">
    <cfRule type="expression" dxfId="3062" priority="3211" stopIfTrue="1">
      <formula>IF(DC$8="判定対象外",TRUE,FALSE)</formula>
    </cfRule>
  </conditionalFormatting>
  <conditionalFormatting sqref="DB20">
    <cfRule type="expression" dxfId="3061" priority="3210" stopIfTrue="1">
      <formula>IF(DC$8="判定対象外",TRUE,FALSE)</formula>
    </cfRule>
  </conditionalFormatting>
  <conditionalFormatting sqref="DB20">
    <cfRule type="expression" dxfId="3060" priority="3209" stopIfTrue="1">
      <formula>IF(DC$8="判定対象外",TRUE,FALSE)</formula>
    </cfRule>
  </conditionalFormatting>
  <conditionalFormatting sqref="DB20">
    <cfRule type="expression" dxfId="3059" priority="3208" stopIfTrue="1">
      <formula>IF(DC$8="判定対象外",TRUE,FALSE)</formula>
    </cfRule>
  </conditionalFormatting>
  <conditionalFormatting sqref="DB13">
    <cfRule type="expression" dxfId="3058" priority="3207" stopIfTrue="1">
      <formula>IF(DC$8="判定対象外",TRUE,FALSE)</formula>
    </cfRule>
  </conditionalFormatting>
  <conditionalFormatting sqref="DB47">
    <cfRule type="expression" dxfId="3057" priority="3206" stopIfTrue="1">
      <formula>IF(DC$8="判定対象外",TRUE,FALSE)</formula>
    </cfRule>
  </conditionalFormatting>
  <conditionalFormatting sqref="DB47">
    <cfRule type="expression" dxfId="3056" priority="3205" stopIfTrue="1">
      <formula>IF(DC$8="判定対象外",TRUE,FALSE)</formula>
    </cfRule>
  </conditionalFormatting>
  <conditionalFormatting sqref="DB49">
    <cfRule type="expression" dxfId="3055" priority="3204" stopIfTrue="1">
      <formula>IF(DC$8="判定対象外",TRUE,FALSE)</formula>
    </cfRule>
  </conditionalFormatting>
  <conditionalFormatting sqref="DB49">
    <cfRule type="expression" dxfId="3054" priority="3203" stopIfTrue="1">
      <formula>IF(DC$8="判定対象外",TRUE,FALSE)</formula>
    </cfRule>
  </conditionalFormatting>
  <conditionalFormatting sqref="DB50">
    <cfRule type="expression" dxfId="3053" priority="3202" stopIfTrue="1">
      <formula>IF(DC$8="判定対象外",TRUE,FALSE)</formula>
    </cfRule>
  </conditionalFormatting>
  <conditionalFormatting sqref="DB50">
    <cfRule type="expression" dxfId="3052" priority="3201" stopIfTrue="1">
      <formula>IF(DC$8="判定対象外",TRUE,FALSE)</formula>
    </cfRule>
  </conditionalFormatting>
  <conditionalFormatting sqref="DB53 DB56 DB65 DB68 DB71">
    <cfRule type="expression" dxfId="3051" priority="3200" stopIfTrue="1">
      <formula>IF(DC$8="判定対象外",TRUE,FALSE)</formula>
    </cfRule>
  </conditionalFormatting>
  <conditionalFormatting sqref="DB54 DB57 DB66 DB69">
    <cfRule type="expression" dxfId="3050" priority="3199" stopIfTrue="1">
      <formula>IF(DC$8="判定対象外",TRUE,FALSE)</formula>
    </cfRule>
  </conditionalFormatting>
  <conditionalFormatting sqref="DE57">
    <cfRule type="expression" dxfId="3049" priority="3197" stopIfTrue="1">
      <formula>IF(DE57="-",TRUE,FALSE)</formula>
    </cfRule>
    <cfRule type="expression" dxfId="3048" priority="3198" stopIfTrue="1">
      <formula>IF(OR(DE57="OK"),FALSE,TRUE)</formula>
    </cfRule>
  </conditionalFormatting>
  <conditionalFormatting sqref="DD57">
    <cfRule type="expression" dxfId="3047" priority="3196" stopIfTrue="1">
      <formula>IF(DC$8="判定対象外",TRUE,FALSE)</formula>
    </cfRule>
  </conditionalFormatting>
  <conditionalFormatting sqref="DC57">
    <cfRule type="expression" dxfId="3046" priority="3195" stopIfTrue="1">
      <formula>IF(DC$8="判定対象外",TRUE,FALSE)</formula>
    </cfRule>
  </conditionalFormatting>
  <conditionalFormatting sqref="FY65">
    <cfRule type="expression" dxfId="3045" priority="1216" stopIfTrue="1">
      <formula>IF(FY65="-",TRUE,FALSE)</formula>
    </cfRule>
    <cfRule type="expression" dxfId="3044" priority="1217" stopIfTrue="1">
      <formula>IF(OR(FY65="OK"),FALSE,TRUE)</formula>
    </cfRule>
  </conditionalFormatting>
  <conditionalFormatting sqref="FX65">
    <cfRule type="expression" dxfId="3043" priority="1215" stopIfTrue="1">
      <formula>IF(FW$8="判定対象外",TRUE,FALSE)</formula>
    </cfRule>
  </conditionalFormatting>
  <conditionalFormatting sqref="FW65">
    <cfRule type="expression" dxfId="3042" priority="1214" stopIfTrue="1">
      <formula>IF(FW$8="判定対象外",TRUE,FALSE)</formula>
    </cfRule>
  </conditionalFormatting>
  <conditionalFormatting sqref="DE65:DE70">
    <cfRule type="expression" dxfId="3041" priority="3189" stopIfTrue="1">
      <formula>IF(DE65="-",TRUE,FALSE)</formula>
    </cfRule>
    <cfRule type="expression" dxfId="3040" priority="3190" stopIfTrue="1">
      <formula>IF(OR(DE65="OK"),FALSE,TRUE)</formula>
    </cfRule>
  </conditionalFormatting>
  <conditionalFormatting sqref="DD65:DD70">
    <cfRule type="expression" dxfId="3039" priority="3188" stopIfTrue="1">
      <formula>IF(DC$8="判定対象外",TRUE,FALSE)</formula>
    </cfRule>
  </conditionalFormatting>
  <conditionalFormatting sqref="DC65:DC70">
    <cfRule type="expression" dxfId="3038" priority="3187" stopIfTrue="1">
      <formula>IF(DC$8="判定対象外",TRUE,FALSE)</formula>
    </cfRule>
  </conditionalFormatting>
  <conditionalFormatting sqref="DF29:DF32">
    <cfRule type="expression" dxfId="3037" priority="3176" stopIfTrue="1">
      <formula>IF(DG$8="判定対象外",TRUE,FALSE)</formula>
    </cfRule>
  </conditionalFormatting>
  <conditionalFormatting sqref="DI8:DI10">
    <cfRule type="expression" dxfId="3036" priority="3185" stopIfTrue="1">
      <formula>IF(DI8="-",TRUE,FALSE)</formula>
    </cfRule>
    <cfRule type="expression" dxfId="3035" priority="3186" stopIfTrue="1">
      <formula>IF(OR(DI8="OK"),FALSE,TRUE)</formula>
    </cfRule>
  </conditionalFormatting>
  <conditionalFormatting sqref="DF8:DF10">
    <cfRule type="expression" dxfId="3034" priority="3184" stopIfTrue="1">
      <formula>IF(DG$8="判定対象外",TRUE,FALSE)</formula>
    </cfRule>
  </conditionalFormatting>
  <conditionalFormatting sqref="DG8:DG10">
    <cfRule type="expression" dxfId="3033" priority="3183" stopIfTrue="1">
      <formula>IF(DG$8="判定対象外",TRUE,FALSE)</formula>
    </cfRule>
  </conditionalFormatting>
  <conditionalFormatting sqref="DH8:DH10">
    <cfRule type="expression" dxfId="3032" priority="3182" stopIfTrue="1">
      <formula>IF(DG$8="判定対象外",TRUE,FALSE)</formula>
    </cfRule>
  </conditionalFormatting>
  <conditionalFormatting sqref="DI11:DI34 DI71:DI81 DI36:DI56">
    <cfRule type="expression" dxfId="3031" priority="3179" stopIfTrue="1">
      <formula>IF(DI11="-",TRUE,FALSE)</formula>
    </cfRule>
    <cfRule type="expression" dxfId="3030" priority="3180" stopIfTrue="1">
      <formula>IF(OR(DI11="OK"),FALSE,TRUE)</formula>
    </cfRule>
  </conditionalFormatting>
  <conditionalFormatting sqref="DH11:DH34 DH71:DH81 DH36:DH56">
    <cfRule type="expression" dxfId="3029" priority="3178" stopIfTrue="1">
      <formula>IF(DG$8="判定対象外",TRUE,FALSE)</formula>
    </cfRule>
  </conditionalFormatting>
  <conditionalFormatting sqref="DF72:DF81 DF21:DF34 DF36:DF46">
    <cfRule type="expression" dxfId="3028" priority="3177" stopIfTrue="1">
      <formula>IF(DG$8="判定対象外",TRUE,FALSE)</formula>
    </cfRule>
  </conditionalFormatting>
  <conditionalFormatting sqref="DF42:DF44">
    <cfRule type="expression" dxfId="3027" priority="3175" stopIfTrue="1">
      <formula>IF(DG$8="判定対象外",TRUE,FALSE)</formula>
    </cfRule>
  </conditionalFormatting>
  <conditionalFormatting sqref="DF46">
    <cfRule type="expression" dxfId="3026" priority="3174" stopIfTrue="1">
      <formula>IF(DG$8="判定対象外",TRUE,FALSE)</formula>
    </cfRule>
  </conditionalFormatting>
  <conditionalFormatting sqref="DF42:DF44">
    <cfRule type="expression" dxfId="3025" priority="3173" stopIfTrue="1">
      <formula>IF(DG$8="判定対象外",TRUE,FALSE)</formula>
    </cfRule>
  </conditionalFormatting>
  <conditionalFormatting sqref="DF42:DF44">
    <cfRule type="expression" dxfId="3024" priority="3172" stopIfTrue="1">
      <formula>IF(DG$8="判定対象外",TRUE,FALSE)</formula>
    </cfRule>
  </conditionalFormatting>
  <conditionalFormatting sqref="DF42:DF44">
    <cfRule type="expression" dxfId="3023" priority="3171" stopIfTrue="1">
      <formula>IF(DG$8="判定対象外",TRUE,FALSE)</formula>
    </cfRule>
  </conditionalFormatting>
  <conditionalFormatting sqref="DF42:DF44">
    <cfRule type="expression" dxfId="3022" priority="3170" stopIfTrue="1">
      <formula>IF(DG$8="判定対象外",TRUE,FALSE)</formula>
    </cfRule>
  </conditionalFormatting>
  <conditionalFormatting sqref="DF42:DF44">
    <cfRule type="expression" dxfId="3021" priority="3169" stopIfTrue="1">
      <formula>IF(DG$8="判定対象外",TRUE,FALSE)</formula>
    </cfRule>
  </conditionalFormatting>
  <conditionalFormatting sqref="DF42:DF44">
    <cfRule type="expression" dxfId="3020" priority="3168" stopIfTrue="1">
      <formula>IF(DG$8="判定対象外",TRUE,FALSE)</formula>
    </cfRule>
  </conditionalFormatting>
  <conditionalFormatting sqref="DF42:DF44">
    <cfRule type="expression" dxfId="3019" priority="3167" stopIfTrue="1">
      <formula>IF(DG$8="判定対象外",TRUE,FALSE)</formula>
    </cfRule>
  </conditionalFormatting>
  <conditionalFormatting sqref="DF38">
    <cfRule type="expression" dxfId="3018" priority="3181" stopIfTrue="1">
      <formula>IF(#REF!="判定対象外",TRUE,FALSE)</formula>
    </cfRule>
  </conditionalFormatting>
  <conditionalFormatting sqref="DG11:DG34 DG71:DG81 DG36:DG56">
    <cfRule type="expression" dxfId="3017" priority="3166" stopIfTrue="1">
      <formula>IF(DG$8="判定対象外",TRUE,FALSE)</formula>
    </cfRule>
  </conditionalFormatting>
  <conditionalFormatting sqref="DF48">
    <cfRule type="expression" dxfId="3016" priority="3165" stopIfTrue="1">
      <formula>IF(DG$8="判定対象外",TRUE,FALSE)</formula>
    </cfRule>
  </conditionalFormatting>
  <conditionalFormatting sqref="DF51">
    <cfRule type="expression" dxfId="3015" priority="3164" stopIfTrue="1">
      <formula>IF(DG$8="判定対象外",TRUE,FALSE)</formula>
    </cfRule>
  </conditionalFormatting>
  <conditionalFormatting sqref="DF52 DF55 DF67 DF70">
    <cfRule type="expression" dxfId="3014" priority="3163" stopIfTrue="1">
      <formula>IF(DG$8="判定対象外",TRUE,FALSE)</formula>
    </cfRule>
  </conditionalFormatting>
  <conditionalFormatting sqref="DF11:DF20">
    <cfRule type="expression" dxfId="3013" priority="3162" stopIfTrue="1">
      <formula>IF(DG$8="判定対象外",TRUE,FALSE)</formula>
    </cfRule>
  </conditionalFormatting>
  <conditionalFormatting sqref="DF16:DF18">
    <cfRule type="expression" dxfId="3012" priority="3161" stopIfTrue="1">
      <formula>IF(DG$8="判定対象外",TRUE,FALSE)</formula>
    </cfRule>
  </conditionalFormatting>
  <conditionalFormatting sqref="DF20">
    <cfRule type="expression" dxfId="3011" priority="3160" stopIfTrue="1">
      <formula>IF(DG$8="判定対象外",TRUE,FALSE)</formula>
    </cfRule>
  </conditionalFormatting>
  <conditionalFormatting sqref="DF16:DF20">
    <cfRule type="expression" dxfId="3010" priority="3159" stopIfTrue="1">
      <formula>IF(DG$8="判定対象外",TRUE,FALSE)</formula>
    </cfRule>
  </conditionalFormatting>
  <conditionalFormatting sqref="DF11:DF20">
    <cfRule type="expression" dxfId="3009" priority="3158" stopIfTrue="1">
      <formula>IF(DG$8="判定対象外",TRUE,FALSE)</formula>
    </cfRule>
  </conditionalFormatting>
  <conditionalFormatting sqref="DF20">
    <cfRule type="expression" dxfId="3008" priority="3156" stopIfTrue="1">
      <formula>IF(DG$8="判定対象外",TRUE,FALSE)</formula>
    </cfRule>
  </conditionalFormatting>
  <conditionalFormatting sqref="DF16:DF20">
    <cfRule type="expression" dxfId="3007" priority="3155" stopIfTrue="1">
      <formula>IF(DG$8="判定対象外",TRUE,FALSE)</formula>
    </cfRule>
  </conditionalFormatting>
  <conditionalFormatting sqref="DF11:DF20">
    <cfRule type="expression" dxfId="3006" priority="3154" stopIfTrue="1">
      <formula>IF(DG$8="判定対象外",TRUE,FALSE)</formula>
    </cfRule>
  </conditionalFormatting>
  <conditionalFormatting sqref="DF16:DF18">
    <cfRule type="expression" dxfId="3005" priority="3153" stopIfTrue="1">
      <formula>IF(DG$8="判定対象外",TRUE,FALSE)</formula>
    </cfRule>
  </conditionalFormatting>
  <conditionalFormatting sqref="DF20">
    <cfRule type="expression" dxfId="3004" priority="3152" stopIfTrue="1">
      <formula>IF(DG$8="判定対象外",TRUE,FALSE)</formula>
    </cfRule>
  </conditionalFormatting>
  <conditionalFormatting sqref="DF16:DF20">
    <cfRule type="expression" dxfId="3003" priority="3151" stopIfTrue="1">
      <formula>IF(DG$8="判定対象外",TRUE,FALSE)</formula>
    </cfRule>
  </conditionalFormatting>
  <conditionalFormatting sqref="DF11:DF13">
    <cfRule type="expression" dxfId="3002" priority="3150" stopIfTrue="1">
      <formula>IF(DG$8="判定対象外",TRUE,FALSE)</formula>
    </cfRule>
  </conditionalFormatting>
  <conditionalFormatting sqref="DF15">
    <cfRule type="expression" dxfId="3001" priority="3149" stopIfTrue="1">
      <formula>IF(DG$8="判定対象外",TRUE,FALSE)</formula>
    </cfRule>
  </conditionalFormatting>
  <conditionalFormatting sqref="DF19">
    <cfRule type="expression" dxfId="3000" priority="3148" stopIfTrue="1">
      <formula>IF(DG$8="判定対象外",TRUE,FALSE)</formula>
    </cfRule>
  </conditionalFormatting>
  <conditionalFormatting sqref="DF20">
    <cfRule type="expression" dxfId="2999" priority="3146" stopIfTrue="1">
      <formula>IF(DG$8="判定対象外",TRUE,FALSE)</formula>
    </cfRule>
  </conditionalFormatting>
  <conditionalFormatting sqref="DF20">
    <cfRule type="expression" dxfId="2998" priority="3145" stopIfTrue="1">
      <formula>IF(DG$8="判定対象外",TRUE,FALSE)</formula>
    </cfRule>
  </conditionalFormatting>
  <conditionalFormatting sqref="DF20">
    <cfRule type="expression" dxfId="2997" priority="3144" stopIfTrue="1">
      <formula>IF(DG$8="判定対象外",TRUE,FALSE)</formula>
    </cfRule>
  </conditionalFormatting>
  <conditionalFormatting sqref="DF13">
    <cfRule type="expression" dxfId="2996" priority="3143" stopIfTrue="1">
      <formula>IF(DG$8="判定対象外",TRUE,FALSE)</formula>
    </cfRule>
  </conditionalFormatting>
  <conditionalFormatting sqref="DF47">
    <cfRule type="expression" dxfId="2995" priority="3142" stopIfTrue="1">
      <formula>IF(DG$8="判定対象外",TRUE,FALSE)</formula>
    </cfRule>
  </conditionalFormatting>
  <conditionalFormatting sqref="DF47">
    <cfRule type="expression" dxfId="2994" priority="3141" stopIfTrue="1">
      <formula>IF(DG$8="判定対象外",TRUE,FALSE)</formula>
    </cfRule>
  </conditionalFormatting>
  <conditionalFormatting sqref="DF49">
    <cfRule type="expression" dxfId="2993" priority="3140" stopIfTrue="1">
      <formula>IF(DG$8="判定対象外",TRUE,FALSE)</formula>
    </cfRule>
  </conditionalFormatting>
  <conditionalFormatting sqref="DF49">
    <cfRule type="expression" dxfId="2992" priority="3139" stopIfTrue="1">
      <formula>IF(DG$8="判定対象外",TRUE,FALSE)</formula>
    </cfRule>
  </conditionalFormatting>
  <conditionalFormatting sqref="DF50">
    <cfRule type="expression" dxfId="2991" priority="3138" stopIfTrue="1">
      <formula>IF(DG$8="判定対象外",TRUE,FALSE)</formula>
    </cfRule>
  </conditionalFormatting>
  <conditionalFormatting sqref="DF50">
    <cfRule type="expression" dxfId="2990" priority="3137" stopIfTrue="1">
      <formula>IF(DG$8="判定対象外",TRUE,FALSE)</formula>
    </cfRule>
  </conditionalFormatting>
  <conditionalFormatting sqref="DF54 DF57 DF66 DF69">
    <cfRule type="expression" dxfId="2989" priority="3135" stopIfTrue="1">
      <formula>IF(DG$8="判定対象外",TRUE,FALSE)</formula>
    </cfRule>
  </conditionalFormatting>
  <conditionalFormatting sqref="DI57">
    <cfRule type="expression" dxfId="2988" priority="3133" stopIfTrue="1">
      <formula>IF(DI57="-",TRUE,FALSE)</formula>
    </cfRule>
    <cfRule type="expression" dxfId="2987" priority="3134" stopIfTrue="1">
      <formula>IF(OR(DI57="OK"),FALSE,TRUE)</formula>
    </cfRule>
  </conditionalFormatting>
  <conditionalFormatting sqref="DH57">
    <cfRule type="expression" dxfId="2986" priority="3132" stopIfTrue="1">
      <formula>IF(DG$8="判定対象外",TRUE,FALSE)</formula>
    </cfRule>
  </conditionalFormatting>
  <conditionalFormatting sqref="DG57">
    <cfRule type="expression" dxfId="2985" priority="3131" stopIfTrue="1">
      <formula>IF(DG$8="判定対象外",TRUE,FALSE)</formula>
    </cfRule>
  </conditionalFormatting>
  <conditionalFormatting sqref="DI58:DI64">
    <cfRule type="expression" dxfId="2984" priority="3129" stopIfTrue="1">
      <formula>IF(DI58="-",TRUE,FALSE)</formula>
    </cfRule>
    <cfRule type="expression" dxfId="2983" priority="3130" stopIfTrue="1">
      <formula>IF(OR(DI58="OK"),FALSE,TRUE)</formula>
    </cfRule>
  </conditionalFormatting>
  <conditionalFormatting sqref="DH58:DH64">
    <cfRule type="expression" dxfId="2982" priority="3128" stopIfTrue="1">
      <formula>IF(DG$8="判定対象外",TRUE,FALSE)</formula>
    </cfRule>
  </conditionalFormatting>
  <conditionalFormatting sqref="DG58:DG64">
    <cfRule type="expression" dxfId="2981" priority="3127" stopIfTrue="1">
      <formula>IF(DG$8="判定対象外",TRUE,FALSE)</formula>
    </cfRule>
  </conditionalFormatting>
  <conditionalFormatting sqref="DI65:DI70">
    <cfRule type="expression" dxfId="2980" priority="3125" stopIfTrue="1">
      <formula>IF(DI65="-",TRUE,FALSE)</formula>
    </cfRule>
    <cfRule type="expression" dxfId="2979" priority="3126" stopIfTrue="1">
      <formula>IF(OR(DI65="OK"),FALSE,TRUE)</formula>
    </cfRule>
  </conditionalFormatting>
  <conditionalFormatting sqref="DH65:DH70">
    <cfRule type="expression" dxfId="2978" priority="3124" stopIfTrue="1">
      <formula>IF(DG$8="判定対象外",TRUE,FALSE)</formula>
    </cfRule>
  </conditionalFormatting>
  <conditionalFormatting sqref="DG65:DG70">
    <cfRule type="expression" dxfId="2977" priority="3123" stopIfTrue="1">
      <formula>IF(DG$8="判定対象外",TRUE,FALSE)</formula>
    </cfRule>
  </conditionalFormatting>
  <conditionalFormatting sqref="DF58">
    <cfRule type="expression" dxfId="2976" priority="3112" stopIfTrue="1">
      <formula>IF(DG$8="判定対象外",TRUE,FALSE)</formula>
    </cfRule>
  </conditionalFormatting>
  <conditionalFormatting sqref="CX58">
    <cfRule type="expression" dxfId="2975" priority="3122" stopIfTrue="1">
      <formula>IF(CY$8="判定対象外",TRUE,FALSE)</formula>
    </cfRule>
  </conditionalFormatting>
  <conditionalFormatting sqref="DA58">
    <cfRule type="expression" dxfId="2974" priority="3120" stopIfTrue="1">
      <formula>IF(DA58="-",TRUE,FALSE)</formula>
    </cfRule>
    <cfRule type="expression" dxfId="2973" priority="3121" stopIfTrue="1">
      <formula>IF(OR(DA58="OK"),FALSE,TRUE)</formula>
    </cfRule>
  </conditionalFormatting>
  <conditionalFormatting sqref="CZ58">
    <cfRule type="expression" dxfId="2972" priority="3119" stopIfTrue="1">
      <formula>IF(CY$8="判定対象外",TRUE,FALSE)</formula>
    </cfRule>
  </conditionalFormatting>
  <conditionalFormatting sqref="CY58">
    <cfRule type="expression" dxfId="2971" priority="3118" stopIfTrue="1">
      <formula>IF(CY$8="判定対象外",TRUE,FALSE)</formula>
    </cfRule>
  </conditionalFormatting>
  <conditionalFormatting sqref="DB58">
    <cfRule type="expression" dxfId="2970" priority="3117" stopIfTrue="1">
      <formula>IF(DC$8="判定対象外",TRUE,FALSE)</formula>
    </cfRule>
  </conditionalFormatting>
  <conditionalFormatting sqref="DE58">
    <cfRule type="expression" dxfId="2969" priority="3115" stopIfTrue="1">
      <formula>IF(DE58="-",TRUE,FALSE)</formula>
    </cfRule>
    <cfRule type="expression" dxfId="2968" priority="3116" stopIfTrue="1">
      <formula>IF(OR(DE58="OK"),FALSE,TRUE)</formula>
    </cfRule>
  </conditionalFormatting>
  <conditionalFormatting sqref="DD58">
    <cfRule type="expression" dxfId="2967" priority="3114" stopIfTrue="1">
      <formula>IF(DC$8="判定対象外",TRUE,FALSE)</formula>
    </cfRule>
  </conditionalFormatting>
  <conditionalFormatting sqref="DC58">
    <cfRule type="expression" dxfId="2966" priority="3113" stopIfTrue="1">
      <formula>IF(DC$8="判定対象外",TRUE,FALSE)</formula>
    </cfRule>
  </conditionalFormatting>
  <conditionalFormatting sqref="DB59">
    <cfRule type="expression" dxfId="2965" priority="3106" stopIfTrue="1">
      <formula>IF(DC$8="判定対象外",TRUE,FALSE)</formula>
    </cfRule>
  </conditionalFormatting>
  <conditionalFormatting sqref="DE59">
    <cfRule type="expression" dxfId="2964" priority="3104" stopIfTrue="1">
      <formula>IF(DE59="-",TRUE,FALSE)</formula>
    </cfRule>
    <cfRule type="expression" dxfId="2963" priority="3105" stopIfTrue="1">
      <formula>IF(OR(DE59="OK"),FALSE,TRUE)</formula>
    </cfRule>
  </conditionalFormatting>
  <conditionalFormatting sqref="DD59">
    <cfRule type="expression" dxfId="2962" priority="3103" stopIfTrue="1">
      <formula>IF(DC$8="判定対象外",TRUE,FALSE)</formula>
    </cfRule>
  </conditionalFormatting>
  <conditionalFormatting sqref="DC59">
    <cfRule type="expression" dxfId="2961" priority="3102" stopIfTrue="1">
      <formula>IF(DC$8="判定対象外",TRUE,FALSE)</formula>
    </cfRule>
  </conditionalFormatting>
  <conditionalFormatting sqref="DB60">
    <cfRule type="expression" dxfId="2960" priority="3095" stopIfTrue="1">
      <formula>IF(DC$8="判定対象外",TRUE,FALSE)</formula>
    </cfRule>
  </conditionalFormatting>
  <conditionalFormatting sqref="DE60">
    <cfRule type="expression" dxfId="2959" priority="3093" stopIfTrue="1">
      <formula>IF(DE60="-",TRUE,FALSE)</formula>
    </cfRule>
    <cfRule type="expression" dxfId="2958" priority="3094" stopIfTrue="1">
      <formula>IF(OR(DE60="OK"),FALSE,TRUE)</formula>
    </cfRule>
  </conditionalFormatting>
  <conditionalFormatting sqref="DD60">
    <cfRule type="expression" dxfId="2957" priority="3092" stopIfTrue="1">
      <formula>IF(DC$8="判定対象外",TRUE,FALSE)</formula>
    </cfRule>
  </conditionalFormatting>
  <conditionalFormatting sqref="DC60">
    <cfRule type="expression" dxfId="2956" priority="3091" stopIfTrue="1">
      <formula>IF(DC$8="判定対象外",TRUE,FALSE)</formula>
    </cfRule>
  </conditionalFormatting>
  <conditionalFormatting sqref="DB61">
    <cfRule type="expression" dxfId="2955" priority="3084" stopIfTrue="1">
      <formula>IF(DC$8="判定対象外",TRUE,FALSE)</formula>
    </cfRule>
  </conditionalFormatting>
  <conditionalFormatting sqref="DE61">
    <cfRule type="expression" dxfId="2954" priority="3082" stopIfTrue="1">
      <formula>IF(DE61="-",TRUE,FALSE)</formula>
    </cfRule>
    <cfRule type="expression" dxfId="2953" priority="3083" stopIfTrue="1">
      <formula>IF(OR(DE61="OK"),FALSE,TRUE)</formula>
    </cfRule>
  </conditionalFormatting>
  <conditionalFormatting sqref="DD61">
    <cfRule type="expression" dxfId="2952" priority="3081" stopIfTrue="1">
      <formula>IF(DC$8="判定対象外",TRUE,FALSE)</formula>
    </cfRule>
  </conditionalFormatting>
  <conditionalFormatting sqref="DC61">
    <cfRule type="expression" dxfId="2951" priority="3080" stopIfTrue="1">
      <formula>IF(DC$8="判定対象外",TRUE,FALSE)</formula>
    </cfRule>
  </conditionalFormatting>
  <conditionalFormatting sqref="ET66">
    <cfRule type="expression" dxfId="2950" priority="1869" stopIfTrue="1">
      <formula>IF(EU$8="判定対象外",TRUE,FALSE)</formula>
    </cfRule>
  </conditionalFormatting>
  <conditionalFormatting sqref="EW66">
    <cfRule type="expression" dxfId="2949" priority="1867" stopIfTrue="1">
      <formula>IF(EW66="-",TRUE,FALSE)</formula>
    </cfRule>
    <cfRule type="expression" dxfId="2948" priority="1868" stopIfTrue="1">
      <formula>IF(OR(EW66="OK"),FALSE,TRUE)</formula>
    </cfRule>
  </conditionalFormatting>
  <conditionalFormatting sqref="EV66">
    <cfRule type="expression" dxfId="2947" priority="1866" stopIfTrue="1">
      <formula>IF(EU$8="判定対象外",TRUE,FALSE)</formula>
    </cfRule>
  </conditionalFormatting>
  <conditionalFormatting sqref="EU66">
    <cfRule type="expression" dxfId="2946" priority="1865" stopIfTrue="1">
      <formula>IF(EU$8="判定対象外",TRUE,FALSE)</formula>
    </cfRule>
  </conditionalFormatting>
  <conditionalFormatting sqref="FF68">
    <cfRule type="expression" dxfId="2945" priority="1517" stopIfTrue="1">
      <formula>IF(FG$8="判定対象外",TRUE,FALSE)</formula>
    </cfRule>
  </conditionalFormatting>
  <conditionalFormatting sqref="FI68">
    <cfRule type="expression" dxfId="2944" priority="1515" stopIfTrue="1">
      <formula>IF(FI68="-",TRUE,FALSE)</formula>
    </cfRule>
    <cfRule type="expression" dxfId="2943" priority="1516" stopIfTrue="1">
      <formula>IF(OR(FI68="OK"),FALSE,TRUE)</formula>
    </cfRule>
  </conditionalFormatting>
  <conditionalFormatting sqref="FH68">
    <cfRule type="expression" dxfId="2942" priority="1514" stopIfTrue="1">
      <formula>IF(FG$8="判定対象外",TRUE,FALSE)</formula>
    </cfRule>
  </conditionalFormatting>
  <conditionalFormatting sqref="FG68">
    <cfRule type="expression" dxfId="2941" priority="1513" stopIfTrue="1">
      <formula>IF(FG$8="判定対象外",TRUE,FALSE)</formula>
    </cfRule>
  </conditionalFormatting>
  <conditionalFormatting sqref="DB62">
    <cfRule type="expression" dxfId="2940" priority="3062" stopIfTrue="1">
      <formula>IF(DC$8="判定対象外",TRUE,FALSE)</formula>
    </cfRule>
  </conditionalFormatting>
  <conditionalFormatting sqref="DE62">
    <cfRule type="expression" dxfId="2939" priority="3060" stopIfTrue="1">
      <formula>IF(DE62="-",TRUE,FALSE)</formula>
    </cfRule>
    <cfRule type="expression" dxfId="2938" priority="3061" stopIfTrue="1">
      <formula>IF(OR(DE62="OK"),FALSE,TRUE)</formula>
    </cfRule>
  </conditionalFormatting>
  <conditionalFormatting sqref="DD62">
    <cfRule type="expression" dxfId="2937" priority="3059" stopIfTrue="1">
      <formula>IF(DC$8="判定対象外",TRUE,FALSE)</formula>
    </cfRule>
  </conditionalFormatting>
  <conditionalFormatting sqref="DC62">
    <cfRule type="expression" dxfId="2936" priority="3058" stopIfTrue="1">
      <formula>IF(DC$8="判定対象外",TRUE,FALSE)</formula>
    </cfRule>
  </conditionalFormatting>
  <conditionalFormatting sqref="FZ69">
    <cfRule type="expression" dxfId="2935" priority="1102" stopIfTrue="1">
      <formula>IF(GA$8="判定対象外",TRUE,FALSE)</formula>
    </cfRule>
  </conditionalFormatting>
  <conditionalFormatting sqref="DR65">
    <cfRule type="expression" dxfId="2934" priority="2763" stopIfTrue="1">
      <formula>IF(DS$8="判定対象外",TRUE,FALSE)</formula>
    </cfRule>
  </conditionalFormatting>
  <conditionalFormatting sqref="CX64">
    <cfRule type="expression" dxfId="2933" priority="3056" stopIfTrue="1">
      <formula>IF(CY$8="判定対象外",TRUE,FALSE)</formula>
    </cfRule>
  </conditionalFormatting>
  <conditionalFormatting sqref="DA64">
    <cfRule type="expression" dxfId="2932" priority="3054" stopIfTrue="1">
      <formula>IF(DA64="-",TRUE,FALSE)</formula>
    </cfRule>
    <cfRule type="expression" dxfId="2931" priority="3055" stopIfTrue="1">
      <formula>IF(OR(DA64="OK"),FALSE,TRUE)</formula>
    </cfRule>
  </conditionalFormatting>
  <conditionalFormatting sqref="CZ64">
    <cfRule type="expression" dxfId="2930" priority="3053" stopIfTrue="1">
      <formula>IF(CY$8="判定対象外",TRUE,FALSE)</formula>
    </cfRule>
  </conditionalFormatting>
  <conditionalFormatting sqref="CY64">
    <cfRule type="expression" dxfId="2929" priority="3052" stopIfTrue="1">
      <formula>IF(CY$8="判定対象外",TRUE,FALSE)</formula>
    </cfRule>
  </conditionalFormatting>
  <conditionalFormatting sqref="DE64">
    <cfRule type="expression" dxfId="2928" priority="3050" stopIfTrue="1">
      <formula>IF(DE64="-",TRUE,FALSE)</formula>
    </cfRule>
    <cfRule type="expression" dxfId="2927" priority="3051" stopIfTrue="1">
      <formula>IF(OR(DE64="OK"),FALSE,TRUE)</formula>
    </cfRule>
  </conditionalFormatting>
  <conditionalFormatting sqref="DD64">
    <cfRule type="expression" dxfId="2926" priority="3049" stopIfTrue="1">
      <formula>IF(DC$8="判定対象外",TRUE,FALSE)</formula>
    </cfRule>
  </conditionalFormatting>
  <conditionalFormatting sqref="DC64">
    <cfRule type="expression" dxfId="2925" priority="3048" stopIfTrue="1">
      <formula>IF(DC$8="判定対象外",TRUE,FALSE)</formula>
    </cfRule>
  </conditionalFormatting>
  <conditionalFormatting sqref="CX63">
    <cfRule type="expression" dxfId="2924" priority="3045" stopIfTrue="1">
      <formula>IF(CY$8="判定対象外",TRUE,FALSE)</formula>
    </cfRule>
  </conditionalFormatting>
  <conditionalFormatting sqref="DA63">
    <cfRule type="expression" dxfId="2923" priority="3043" stopIfTrue="1">
      <formula>IF(DA63="-",TRUE,FALSE)</formula>
    </cfRule>
    <cfRule type="expression" dxfId="2922" priority="3044" stopIfTrue="1">
      <formula>IF(OR(DA63="OK"),FALSE,TRUE)</formula>
    </cfRule>
  </conditionalFormatting>
  <conditionalFormatting sqref="CZ63">
    <cfRule type="expression" dxfId="2921" priority="3042" stopIfTrue="1">
      <formula>IF(CY$8="判定対象外",TRUE,FALSE)</formula>
    </cfRule>
  </conditionalFormatting>
  <conditionalFormatting sqref="CY63">
    <cfRule type="expression" dxfId="2920" priority="3041" stopIfTrue="1">
      <formula>IF(CY$8="判定対象外",TRUE,FALSE)</formula>
    </cfRule>
  </conditionalFormatting>
  <conditionalFormatting sqref="DB63">
    <cfRule type="expression" dxfId="2919" priority="3040" stopIfTrue="1">
      <formula>IF(DC$8="判定対象外",TRUE,FALSE)</formula>
    </cfRule>
  </conditionalFormatting>
  <conditionalFormatting sqref="DE63">
    <cfRule type="expression" dxfId="2918" priority="3038" stopIfTrue="1">
      <formula>IF(DE63="-",TRUE,FALSE)</formula>
    </cfRule>
    <cfRule type="expression" dxfId="2917" priority="3039" stopIfTrue="1">
      <formula>IF(OR(DE63="OK"),FALSE,TRUE)</formula>
    </cfRule>
  </conditionalFormatting>
  <conditionalFormatting sqref="DD63">
    <cfRule type="expression" dxfId="2916" priority="3037" stopIfTrue="1">
      <formula>IF(DC$8="判定対象外",TRUE,FALSE)</formula>
    </cfRule>
  </conditionalFormatting>
  <conditionalFormatting sqref="DC63">
    <cfRule type="expression" dxfId="2915" priority="3036" stopIfTrue="1">
      <formula>IF(DC$8="判定対象外",TRUE,FALSE)</formula>
    </cfRule>
  </conditionalFormatting>
  <conditionalFormatting sqref="DF63">
    <cfRule type="expression" dxfId="2914" priority="3035" stopIfTrue="1">
      <formula>IF(DG$8="判定対象外",TRUE,FALSE)</formula>
    </cfRule>
  </conditionalFormatting>
  <conditionalFormatting sqref="DR62">
    <cfRule type="expression" dxfId="2913" priority="2796" stopIfTrue="1">
      <formula>IF(DS$8="判定対象外",TRUE,FALSE)</formula>
    </cfRule>
  </conditionalFormatting>
  <conditionalFormatting sqref="DJ62">
    <cfRule type="expression" dxfId="2912" priority="2806" stopIfTrue="1">
      <formula>IF(DK$8="判定対象外",TRUE,FALSE)</formula>
    </cfRule>
  </conditionalFormatting>
  <conditionalFormatting sqref="DM62">
    <cfRule type="expression" dxfId="2911" priority="2804" stopIfTrue="1">
      <formula>IF(DM62="-",TRUE,FALSE)</formula>
    </cfRule>
    <cfRule type="expression" dxfId="2910" priority="2805" stopIfTrue="1">
      <formula>IF(OR(DM62="OK"),FALSE,TRUE)</formula>
    </cfRule>
  </conditionalFormatting>
  <conditionalFormatting sqref="DL62">
    <cfRule type="expression" dxfId="2909" priority="2803" stopIfTrue="1">
      <formula>IF(DK$8="判定対象外",TRUE,FALSE)</formula>
    </cfRule>
  </conditionalFormatting>
  <conditionalFormatting sqref="DK62">
    <cfRule type="expression" dxfId="2908" priority="2802" stopIfTrue="1">
      <formula>IF(DK$8="判定対象外",TRUE,FALSE)</formula>
    </cfRule>
  </conditionalFormatting>
  <conditionalFormatting sqref="GL70">
    <cfRule type="expression" dxfId="2907" priority="624" stopIfTrue="1">
      <formula>IF(GM$8="判定対象外",TRUE,FALSE)</formula>
    </cfRule>
  </conditionalFormatting>
  <conditionalFormatting sqref="DR61">
    <cfRule type="expression" dxfId="2906" priority="2807" stopIfTrue="1">
      <formula>IF(DS$8="判定対象外",TRUE,FALSE)</formula>
    </cfRule>
  </conditionalFormatting>
  <conditionalFormatting sqref="DJ61">
    <cfRule type="expression" dxfId="2905" priority="2817" stopIfTrue="1">
      <formula>IF(DK$8="判定対象外",TRUE,FALSE)</formula>
    </cfRule>
  </conditionalFormatting>
  <conditionalFormatting sqref="DM61">
    <cfRule type="expression" dxfId="2904" priority="2815" stopIfTrue="1">
      <formula>IF(DM61="-",TRUE,FALSE)</formula>
    </cfRule>
    <cfRule type="expression" dxfId="2903" priority="2816" stopIfTrue="1">
      <formula>IF(OR(DM61="OK"),FALSE,TRUE)</formula>
    </cfRule>
  </conditionalFormatting>
  <conditionalFormatting sqref="DL61">
    <cfRule type="expression" dxfId="2902" priority="2814" stopIfTrue="1">
      <formula>IF(DK$8="判定対象外",TRUE,FALSE)</formula>
    </cfRule>
  </conditionalFormatting>
  <conditionalFormatting sqref="DK61">
    <cfRule type="expression" dxfId="2901" priority="2813" stopIfTrue="1">
      <formula>IF(DK$8="判定対象外",TRUE,FALSE)</formula>
    </cfRule>
  </conditionalFormatting>
  <conditionalFormatting sqref="DR60">
    <cfRule type="expression" dxfId="2900" priority="2818" stopIfTrue="1">
      <formula>IF(DS$8="判定対象外",TRUE,FALSE)</formula>
    </cfRule>
  </conditionalFormatting>
  <conditionalFormatting sqref="DR53 DR56 DR68 DR71">
    <cfRule type="expression" dxfId="2899" priority="2864" stopIfTrue="1">
      <formula>IF(DS$8="判定対象外",TRUE,FALSE)</formula>
    </cfRule>
  </conditionalFormatting>
  <conditionalFormatting sqref="DJ60">
    <cfRule type="expression" dxfId="2898" priority="2828" stopIfTrue="1">
      <formula>IF(DK$8="判定対象外",TRUE,FALSE)</formula>
    </cfRule>
  </conditionalFormatting>
  <conditionalFormatting sqref="DM60">
    <cfRule type="expression" dxfId="2897" priority="2826" stopIfTrue="1">
      <formula>IF(DM60="-",TRUE,FALSE)</formula>
    </cfRule>
    <cfRule type="expression" dxfId="2896" priority="2827" stopIfTrue="1">
      <formula>IF(OR(DM60="OK"),FALSE,TRUE)</formula>
    </cfRule>
  </conditionalFormatting>
  <conditionalFormatting sqref="DL60">
    <cfRule type="expression" dxfId="2895" priority="2825" stopIfTrue="1">
      <formula>IF(DK$8="判定対象外",TRUE,FALSE)</formula>
    </cfRule>
  </conditionalFormatting>
  <conditionalFormatting sqref="DK60">
    <cfRule type="expression" dxfId="2894" priority="2824" stopIfTrue="1">
      <formula>IF(DK$8="判定対象外",TRUE,FALSE)</formula>
    </cfRule>
  </conditionalFormatting>
  <conditionalFormatting sqref="DR19">
    <cfRule type="expression" dxfId="2893" priority="2875" stopIfTrue="1">
      <formula>IF(DS$8="判定対象外",TRUE,FALSE)</formula>
    </cfRule>
  </conditionalFormatting>
  <conditionalFormatting sqref="DR59">
    <cfRule type="expression" dxfId="2892" priority="2829" stopIfTrue="1">
      <formula>IF(DS$8="判定対象外",TRUE,FALSE)</formula>
    </cfRule>
  </conditionalFormatting>
  <conditionalFormatting sqref="DJ59">
    <cfRule type="expression" dxfId="2891" priority="2839" stopIfTrue="1">
      <formula>IF(DK$8="判定対象外",TRUE,FALSE)</formula>
    </cfRule>
  </conditionalFormatting>
  <conditionalFormatting sqref="DM59">
    <cfRule type="expression" dxfId="2890" priority="2837" stopIfTrue="1">
      <formula>IF(DM59="-",TRUE,FALSE)</formula>
    </cfRule>
    <cfRule type="expression" dxfId="2889" priority="2838" stopIfTrue="1">
      <formula>IF(OR(DM59="OK"),FALSE,TRUE)</formula>
    </cfRule>
  </conditionalFormatting>
  <conditionalFormatting sqref="DL59">
    <cfRule type="expression" dxfId="2888" priority="2836" stopIfTrue="1">
      <formula>IF(DK$8="判定対象外",TRUE,FALSE)</formula>
    </cfRule>
  </conditionalFormatting>
  <conditionalFormatting sqref="DK59">
    <cfRule type="expression" dxfId="2887" priority="2835" stopIfTrue="1">
      <formula>IF(DK$8="判定対象外",TRUE,FALSE)</formula>
    </cfRule>
  </conditionalFormatting>
  <conditionalFormatting sqref="DR16:DR18">
    <cfRule type="expression" dxfId="2886" priority="2885" stopIfTrue="1">
      <formula>IF(DS$8="判定対象外",TRUE,FALSE)</formula>
    </cfRule>
  </conditionalFormatting>
  <conditionalFormatting sqref="DM8:DM10">
    <cfRule type="expression" dxfId="2885" priority="3033" stopIfTrue="1">
      <formula>IF(DM8="-",TRUE,FALSE)</formula>
    </cfRule>
    <cfRule type="expression" dxfId="2884" priority="3034" stopIfTrue="1">
      <formula>IF(OR(DM8="OK"),FALSE,TRUE)</formula>
    </cfRule>
  </conditionalFormatting>
  <conditionalFormatting sqref="DJ8:DJ10">
    <cfRule type="expression" dxfId="2883" priority="3032" stopIfTrue="1">
      <formula>IF(DK$8="判定対象外",TRUE,FALSE)</formula>
    </cfRule>
  </conditionalFormatting>
  <conditionalFormatting sqref="DK8:DK10">
    <cfRule type="expression" dxfId="2882" priority="3031" stopIfTrue="1">
      <formula>IF(DK$8="判定対象外",TRUE,FALSE)</formula>
    </cfRule>
  </conditionalFormatting>
  <conditionalFormatting sqref="DL8:DL10">
    <cfRule type="expression" dxfId="2881" priority="3030" stopIfTrue="1">
      <formula>IF(DK$8="判定対象外",TRUE,FALSE)</formula>
    </cfRule>
  </conditionalFormatting>
  <conditionalFormatting sqref="DM11:DM34 DM71:DM81 DM36:DM56">
    <cfRule type="expression" dxfId="2880" priority="3027" stopIfTrue="1">
      <formula>IF(DM11="-",TRUE,FALSE)</formula>
    </cfRule>
    <cfRule type="expression" dxfId="2879" priority="3028" stopIfTrue="1">
      <formula>IF(OR(DM11="OK"),FALSE,TRUE)</formula>
    </cfRule>
  </conditionalFormatting>
  <conditionalFormatting sqref="DL11:DL34 DL71:DL81 DL36:DL56">
    <cfRule type="expression" dxfId="2878" priority="3026" stopIfTrue="1">
      <formula>IF(DK$8="判定対象外",TRUE,FALSE)</formula>
    </cfRule>
  </conditionalFormatting>
  <conditionalFormatting sqref="DJ72:DJ81 DJ21:DJ34 DJ36:DJ46">
    <cfRule type="expression" dxfId="2877" priority="3025" stopIfTrue="1">
      <formula>IF(DK$8="判定対象外",TRUE,FALSE)</formula>
    </cfRule>
  </conditionalFormatting>
  <conditionalFormatting sqref="DJ29:DJ32">
    <cfRule type="expression" dxfId="2876" priority="3024" stopIfTrue="1">
      <formula>IF(DK$8="判定対象外",TRUE,FALSE)</formula>
    </cfRule>
  </conditionalFormatting>
  <conditionalFormatting sqref="DJ42:DJ44">
    <cfRule type="expression" dxfId="2875" priority="3023" stopIfTrue="1">
      <formula>IF(DK$8="判定対象外",TRUE,FALSE)</formula>
    </cfRule>
  </conditionalFormatting>
  <conditionalFormatting sqref="DJ46">
    <cfRule type="expression" dxfId="2874" priority="3022" stopIfTrue="1">
      <formula>IF(DK$8="判定対象外",TRUE,FALSE)</formula>
    </cfRule>
  </conditionalFormatting>
  <conditionalFormatting sqref="DJ42:DJ44">
    <cfRule type="expression" dxfId="2873" priority="3021" stopIfTrue="1">
      <formula>IF(DK$8="判定対象外",TRUE,FALSE)</formula>
    </cfRule>
  </conditionalFormatting>
  <conditionalFormatting sqref="DJ42:DJ44">
    <cfRule type="expression" dxfId="2872" priority="3020" stopIfTrue="1">
      <formula>IF(DK$8="判定対象外",TRUE,FALSE)</formula>
    </cfRule>
  </conditionalFormatting>
  <conditionalFormatting sqref="DJ42:DJ44">
    <cfRule type="expression" dxfId="2871" priority="3019" stopIfTrue="1">
      <formula>IF(DK$8="判定対象外",TRUE,FALSE)</formula>
    </cfRule>
  </conditionalFormatting>
  <conditionalFormatting sqref="DJ42:DJ44">
    <cfRule type="expression" dxfId="2870" priority="3018" stopIfTrue="1">
      <formula>IF(DK$8="判定対象外",TRUE,FALSE)</formula>
    </cfRule>
  </conditionalFormatting>
  <conditionalFormatting sqref="DJ42:DJ44">
    <cfRule type="expression" dxfId="2869" priority="3017" stopIfTrue="1">
      <formula>IF(DK$8="判定対象外",TRUE,FALSE)</formula>
    </cfRule>
  </conditionalFormatting>
  <conditionalFormatting sqref="DJ42:DJ44">
    <cfRule type="expression" dxfId="2868" priority="3016" stopIfTrue="1">
      <formula>IF(DK$8="判定対象外",TRUE,FALSE)</formula>
    </cfRule>
  </conditionalFormatting>
  <conditionalFormatting sqref="DJ42:DJ44">
    <cfRule type="expression" dxfId="2867" priority="3015" stopIfTrue="1">
      <formula>IF(DK$8="判定対象外",TRUE,FALSE)</formula>
    </cfRule>
  </conditionalFormatting>
  <conditionalFormatting sqref="DJ38">
    <cfRule type="expression" dxfId="2866" priority="3029" stopIfTrue="1">
      <formula>IF(#REF!="判定対象外",TRUE,FALSE)</formula>
    </cfRule>
  </conditionalFormatting>
  <conditionalFormatting sqref="DK11:DK34 DK71:DK81 DK36:DK56">
    <cfRule type="expression" dxfId="2865" priority="3014" stopIfTrue="1">
      <formula>IF(DK$8="判定対象外",TRUE,FALSE)</formula>
    </cfRule>
  </conditionalFormatting>
  <conditionalFormatting sqref="DJ48">
    <cfRule type="expression" dxfId="2864" priority="3013" stopIfTrue="1">
      <formula>IF(DK$8="判定対象外",TRUE,FALSE)</formula>
    </cfRule>
  </conditionalFormatting>
  <conditionalFormatting sqref="DJ51">
    <cfRule type="expression" dxfId="2863" priority="3012" stopIfTrue="1">
      <formula>IF(DK$8="判定対象外",TRUE,FALSE)</formula>
    </cfRule>
  </conditionalFormatting>
  <conditionalFormatting sqref="DJ52 DJ55 DJ67 DJ70">
    <cfRule type="expression" dxfId="2862" priority="3011" stopIfTrue="1">
      <formula>IF(DK$8="判定対象外",TRUE,FALSE)</formula>
    </cfRule>
  </conditionalFormatting>
  <conditionalFormatting sqref="DJ11:DJ20">
    <cfRule type="expression" dxfId="2861" priority="3010" stopIfTrue="1">
      <formula>IF(DK$8="判定対象外",TRUE,FALSE)</formula>
    </cfRule>
  </conditionalFormatting>
  <conditionalFormatting sqref="DJ16:DJ18">
    <cfRule type="expression" dxfId="2860" priority="3009" stopIfTrue="1">
      <formula>IF(DK$8="判定対象外",TRUE,FALSE)</formula>
    </cfRule>
  </conditionalFormatting>
  <conditionalFormatting sqref="DJ20">
    <cfRule type="expression" dxfId="2859" priority="3008" stopIfTrue="1">
      <formula>IF(DK$8="判定対象外",TRUE,FALSE)</formula>
    </cfRule>
  </conditionalFormatting>
  <conditionalFormatting sqref="DJ16:DJ20">
    <cfRule type="expression" dxfId="2858" priority="3007" stopIfTrue="1">
      <formula>IF(DK$8="判定対象外",TRUE,FALSE)</formula>
    </cfRule>
  </conditionalFormatting>
  <conditionalFormatting sqref="DJ11:DJ20">
    <cfRule type="expression" dxfId="2857" priority="3006" stopIfTrue="1">
      <formula>IF(DK$8="判定対象外",TRUE,FALSE)</formula>
    </cfRule>
  </conditionalFormatting>
  <conditionalFormatting sqref="DJ16:DJ18">
    <cfRule type="expression" dxfId="2856" priority="3005" stopIfTrue="1">
      <formula>IF(DK$8="判定対象外",TRUE,FALSE)</formula>
    </cfRule>
  </conditionalFormatting>
  <conditionalFormatting sqref="DJ20">
    <cfRule type="expression" dxfId="2855" priority="3004" stopIfTrue="1">
      <formula>IF(DK$8="判定対象外",TRUE,FALSE)</formula>
    </cfRule>
  </conditionalFormatting>
  <conditionalFormatting sqref="DJ16:DJ20">
    <cfRule type="expression" dxfId="2854" priority="3003" stopIfTrue="1">
      <formula>IF(DK$8="判定対象外",TRUE,FALSE)</formula>
    </cfRule>
  </conditionalFormatting>
  <conditionalFormatting sqref="DJ11:DJ20">
    <cfRule type="expression" dxfId="2853" priority="3002" stopIfTrue="1">
      <formula>IF(DK$8="判定対象外",TRUE,FALSE)</formula>
    </cfRule>
  </conditionalFormatting>
  <conditionalFormatting sqref="DJ16:DJ18">
    <cfRule type="expression" dxfId="2852" priority="3001" stopIfTrue="1">
      <formula>IF(DK$8="判定対象外",TRUE,FALSE)</formula>
    </cfRule>
  </conditionalFormatting>
  <conditionalFormatting sqref="DJ20">
    <cfRule type="expression" dxfId="2851" priority="3000" stopIfTrue="1">
      <formula>IF(DK$8="判定対象外",TRUE,FALSE)</formula>
    </cfRule>
  </conditionalFormatting>
  <conditionalFormatting sqref="DJ16:DJ20">
    <cfRule type="expression" dxfId="2850" priority="2999" stopIfTrue="1">
      <formula>IF(DK$8="判定対象外",TRUE,FALSE)</formula>
    </cfRule>
  </conditionalFormatting>
  <conditionalFormatting sqref="DJ11:DJ13">
    <cfRule type="expression" dxfId="2849" priority="2998" stopIfTrue="1">
      <formula>IF(DK$8="判定対象外",TRUE,FALSE)</formula>
    </cfRule>
  </conditionalFormatting>
  <conditionalFormatting sqref="DJ15">
    <cfRule type="expression" dxfId="2848" priority="2997" stopIfTrue="1">
      <formula>IF(DK$8="判定対象外",TRUE,FALSE)</formula>
    </cfRule>
  </conditionalFormatting>
  <conditionalFormatting sqref="DJ19">
    <cfRule type="expression" dxfId="2847" priority="2996" stopIfTrue="1">
      <formula>IF(DK$8="判定対象外",TRUE,FALSE)</formula>
    </cfRule>
  </conditionalFormatting>
  <conditionalFormatting sqref="DJ19">
    <cfRule type="expression" dxfId="2846" priority="2995" stopIfTrue="1">
      <formula>IF(DK$8="判定対象外",TRUE,FALSE)</formula>
    </cfRule>
  </conditionalFormatting>
  <conditionalFormatting sqref="DJ20">
    <cfRule type="expression" dxfId="2845" priority="2994" stopIfTrue="1">
      <formula>IF(DK$8="判定対象外",TRUE,FALSE)</formula>
    </cfRule>
  </conditionalFormatting>
  <conditionalFormatting sqref="DJ20">
    <cfRule type="expression" dxfId="2844" priority="2993" stopIfTrue="1">
      <formula>IF(DK$8="判定対象外",TRUE,FALSE)</formula>
    </cfRule>
  </conditionalFormatting>
  <conditionalFormatting sqref="DJ20">
    <cfRule type="expression" dxfId="2843" priority="2992" stopIfTrue="1">
      <formula>IF(DK$8="判定対象外",TRUE,FALSE)</formula>
    </cfRule>
  </conditionalFormatting>
  <conditionalFormatting sqref="DJ13">
    <cfRule type="expression" dxfId="2842" priority="2991" stopIfTrue="1">
      <formula>IF(DK$8="判定対象外",TRUE,FALSE)</formula>
    </cfRule>
  </conditionalFormatting>
  <conditionalFormatting sqref="DJ47">
    <cfRule type="expression" dxfId="2841" priority="2990" stopIfTrue="1">
      <formula>IF(DK$8="判定対象外",TRUE,FALSE)</formula>
    </cfRule>
  </conditionalFormatting>
  <conditionalFormatting sqref="DJ47">
    <cfRule type="expression" dxfId="2840" priority="2989" stopIfTrue="1">
      <formula>IF(DK$8="判定対象外",TRUE,FALSE)</formula>
    </cfRule>
  </conditionalFormatting>
  <conditionalFormatting sqref="DJ49">
    <cfRule type="expression" dxfId="2839" priority="2988" stopIfTrue="1">
      <formula>IF(DK$8="判定対象外",TRUE,FALSE)</formula>
    </cfRule>
  </conditionalFormatting>
  <conditionalFormatting sqref="DJ49">
    <cfRule type="expression" dxfId="2838" priority="2987" stopIfTrue="1">
      <formula>IF(DK$8="判定対象外",TRUE,FALSE)</formula>
    </cfRule>
  </conditionalFormatting>
  <conditionalFormatting sqref="DJ50">
    <cfRule type="expression" dxfId="2837" priority="2986" stopIfTrue="1">
      <formula>IF(DK$8="判定対象外",TRUE,FALSE)</formula>
    </cfRule>
  </conditionalFormatting>
  <conditionalFormatting sqref="DJ50">
    <cfRule type="expression" dxfId="2836" priority="2985" stopIfTrue="1">
      <formula>IF(DK$8="判定対象外",TRUE,FALSE)</formula>
    </cfRule>
  </conditionalFormatting>
  <conditionalFormatting sqref="DJ53 DJ56 DJ68 DJ71">
    <cfRule type="expression" dxfId="2835" priority="2984" stopIfTrue="1">
      <formula>IF(DK$8="判定対象外",TRUE,FALSE)</formula>
    </cfRule>
  </conditionalFormatting>
  <conditionalFormatting sqref="DJ54 DJ57 DJ66 DJ69">
    <cfRule type="expression" dxfId="2834" priority="2983" stopIfTrue="1">
      <formula>IF(DK$8="判定対象外",TRUE,FALSE)</formula>
    </cfRule>
  </conditionalFormatting>
  <conditionalFormatting sqref="DM57">
    <cfRule type="expression" dxfId="2833" priority="2981" stopIfTrue="1">
      <formula>IF(DM57="-",TRUE,FALSE)</formula>
    </cfRule>
    <cfRule type="expression" dxfId="2832" priority="2982" stopIfTrue="1">
      <formula>IF(OR(DM57="OK"),FALSE,TRUE)</formula>
    </cfRule>
  </conditionalFormatting>
  <conditionalFormatting sqref="DL57">
    <cfRule type="expression" dxfId="2831" priority="2980" stopIfTrue="1">
      <formula>IF(DK$8="判定対象外",TRUE,FALSE)</formula>
    </cfRule>
  </conditionalFormatting>
  <conditionalFormatting sqref="DK57">
    <cfRule type="expression" dxfId="2830" priority="2979" stopIfTrue="1">
      <formula>IF(DK$8="判定対象外",TRUE,FALSE)</formula>
    </cfRule>
  </conditionalFormatting>
  <conditionalFormatting sqref="DM66:DM70">
    <cfRule type="expression" dxfId="2829" priority="2977" stopIfTrue="1">
      <formula>IF(DM66="-",TRUE,FALSE)</formula>
    </cfRule>
    <cfRule type="expression" dxfId="2828" priority="2978" stopIfTrue="1">
      <formula>IF(OR(DM66="OK"),FALSE,TRUE)</formula>
    </cfRule>
  </conditionalFormatting>
  <conditionalFormatting sqref="DL66:DL70">
    <cfRule type="expression" dxfId="2827" priority="2976" stopIfTrue="1">
      <formula>IF(DK$8="判定対象外",TRUE,FALSE)</formula>
    </cfRule>
  </conditionalFormatting>
  <conditionalFormatting sqref="DK66:DK70">
    <cfRule type="expression" dxfId="2826" priority="2975" stopIfTrue="1">
      <formula>IF(DK$8="判定対象外",TRUE,FALSE)</formula>
    </cfRule>
  </conditionalFormatting>
  <conditionalFormatting sqref="DQ8:DQ10">
    <cfRule type="expression" dxfId="2825" priority="2973" stopIfTrue="1">
      <formula>IF(DQ8="-",TRUE,FALSE)</formula>
    </cfRule>
    <cfRule type="expression" dxfId="2824" priority="2974" stopIfTrue="1">
      <formula>IF(OR(DQ8="OK"),FALSE,TRUE)</formula>
    </cfRule>
  </conditionalFormatting>
  <conditionalFormatting sqref="DN8:DN10">
    <cfRule type="expression" dxfId="2823" priority="2972" stopIfTrue="1">
      <formula>IF(DO$8="判定対象外",TRUE,FALSE)</formula>
    </cfRule>
  </conditionalFormatting>
  <conditionalFormatting sqref="DO8:DO10">
    <cfRule type="expression" dxfId="2822" priority="2971" stopIfTrue="1">
      <formula>IF(DO$8="判定対象外",TRUE,FALSE)</formula>
    </cfRule>
  </conditionalFormatting>
  <conditionalFormatting sqref="DP8:DP10">
    <cfRule type="expression" dxfId="2821" priority="2970" stopIfTrue="1">
      <formula>IF(DO$8="判定対象外",TRUE,FALSE)</formula>
    </cfRule>
  </conditionalFormatting>
  <conditionalFormatting sqref="DQ11:DQ34 DQ71:DQ81 DQ36:DQ56">
    <cfRule type="expression" dxfId="2820" priority="2967" stopIfTrue="1">
      <formula>IF(DQ11="-",TRUE,FALSE)</formula>
    </cfRule>
    <cfRule type="expression" dxfId="2819" priority="2968" stopIfTrue="1">
      <formula>IF(OR(DQ11="OK"),FALSE,TRUE)</formula>
    </cfRule>
  </conditionalFormatting>
  <conditionalFormatting sqref="DP11:DP34 DP71:DP81 DP36:DP56">
    <cfRule type="expression" dxfId="2818" priority="2966" stopIfTrue="1">
      <formula>IF(DO$8="判定対象外",TRUE,FALSE)</formula>
    </cfRule>
  </conditionalFormatting>
  <conditionalFormatting sqref="DN72:DN81 DN21:DN34 DN36:DN46">
    <cfRule type="expression" dxfId="2817" priority="2965" stopIfTrue="1">
      <formula>IF(DO$8="判定対象外",TRUE,FALSE)</formula>
    </cfRule>
  </conditionalFormatting>
  <conditionalFormatting sqref="DN29:DN32">
    <cfRule type="expression" dxfId="2816" priority="2964" stopIfTrue="1">
      <formula>IF(DO$8="判定対象外",TRUE,FALSE)</formula>
    </cfRule>
  </conditionalFormatting>
  <conditionalFormatting sqref="DN42:DN44">
    <cfRule type="expression" dxfId="2815" priority="2963" stopIfTrue="1">
      <formula>IF(DO$8="判定対象外",TRUE,FALSE)</formula>
    </cfRule>
  </conditionalFormatting>
  <conditionalFormatting sqref="DN46">
    <cfRule type="expression" dxfId="2814" priority="2962" stopIfTrue="1">
      <formula>IF(DO$8="判定対象外",TRUE,FALSE)</formula>
    </cfRule>
  </conditionalFormatting>
  <conditionalFormatting sqref="DN42:DN44">
    <cfRule type="expression" dxfId="2813" priority="2961" stopIfTrue="1">
      <formula>IF(DO$8="判定対象外",TRUE,FALSE)</formula>
    </cfRule>
  </conditionalFormatting>
  <conditionalFormatting sqref="DN42:DN44">
    <cfRule type="expression" dxfId="2812" priority="2960" stopIfTrue="1">
      <formula>IF(DO$8="判定対象外",TRUE,FALSE)</formula>
    </cfRule>
  </conditionalFormatting>
  <conditionalFormatting sqref="DN42:DN44">
    <cfRule type="expression" dxfId="2811" priority="2959" stopIfTrue="1">
      <formula>IF(DO$8="判定対象外",TRUE,FALSE)</formula>
    </cfRule>
  </conditionalFormatting>
  <conditionalFormatting sqref="DN42:DN44">
    <cfRule type="expression" dxfId="2810" priority="2958" stopIfTrue="1">
      <formula>IF(DO$8="判定対象外",TRUE,FALSE)</formula>
    </cfRule>
  </conditionalFormatting>
  <conditionalFormatting sqref="DN42:DN44">
    <cfRule type="expression" dxfId="2809" priority="2957" stopIfTrue="1">
      <formula>IF(DO$8="判定対象外",TRUE,FALSE)</formula>
    </cfRule>
  </conditionalFormatting>
  <conditionalFormatting sqref="DN42:DN44">
    <cfRule type="expression" dxfId="2808" priority="2956" stopIfTrue="1">
      <formula>IF(DO$8="判定対象外",TRUE,FALSE)</formula>
    </cfRule>
  </conditionalFormatting>
  <conditionalFormatting sqref="DN42:DN44">
    <cfRule type="expression" dxfId="2807" priority="2955" stopIfTrue="1">
      <formula>IF(DO$8="判定対象外",TRUE,FALSE)</formula>
    </cfRule>
  </conditionalFormatting>
  <conditionalFormatting sqref="DN38">
    <cfRule type="expression" dxfId="2806" priority="2969" stopIfTrue="1">
      <formula>IF(#REF!="判定対象外",TRUE,FALSE)</formula>
    </cfRule>
  </conditionalFormatting>
  <conditionalFormatting sqref="DO11:DO34 DO71:DO81 DO36:DO56">
    <cfRule type="expression" dxfId="2805" priority="2954" stopIfTrue="1">
      <formula>IF(DO$8="判定対象外",TRUE,FALSE)</formula>
    </cfRule>
  </conditionalFormatting>
  <conditionalFormatting sqref="DN48">
    <cfRule type="expression" dxfId="2804" priority="2953" stopIfTrue="1">
      <formula>IF(DO$8="判定対象外",TRUE,FALSE)</formula>
    </cfRule>
  </conditionalFormatting>
  <conditionalFormatting sqref="DN51">
    <cfRule type="expression" dxfId="2803" priority="2952" stopIfTrue="1">
      <formula>IF(DO$8="判定対象外",TRUE,FALSE)</formula>
    </cfRule>
  </conditionalFormatting>
  <conditionalFormatting sqref="DN52 DN55 DN67 DN70">
    <cfRule type="expression" dxfId="2802" priority="2951" stopIfTrue="1">
      <formula>IF(DO$8="判定対象外",TRUE,FALSE)</formula>
    </cfRule>
  </conditionalFormatting>
  <conditionalFormatting sqref="DN11:DN20">
    <cfRule type="expression" dxfId="2801" priority="2950" stopIfTrue="1">
      <formula>IF(DO$8="判定対象外",TRUE,FALSE)</formula>
    </cfRule>
  </conditionalFormatting>
  <conditionalFormatting sqref="DN16:DN18">
    <cfRule type="expression" dxfId="2800" priority="2949" stopIfTrue="1">
      <formula>IF(DO$8="判定対象外",TRUE,FALSE)</formula>
    </cfRule>
  </conditionalFormatting>
  <conditionalFormatting sqref="DN20">
    <cfRule type="expression" dxfId="2799" priority="2948" stopIfTrue="1">
      <formula>IF(DO$8="判定対象外",TRUE,FALSE)</formula>
    </cfRule>
  </conditionalFormatting>
  <conditionalFormatting sqref="DN16:DN20">
    <cfRule type="expression" dxfId="2798" priority="2947" stopIfTrue="1">
      <formula>IF(DO$8="判定対象外",TRUE,FALSE)</formula>
    </cfRule>
  </conditionalFormatting>
  <conditionalFormatting sqref="DN11:DN20">
    <cfRule type="expression" dxfId="2797" priority="2946" stopIfTrue="1">
      <formula>IF(DO$8="判定対象外",TRUE,FALSE)</formula>
    </cfRule>
  </conditionalFormatting>
  <conditionalFormatting sqref="DN16:DN18">
    <cfRule type="expression" dxfId="2796" priority="2945" stopIfTrue="1">
      <formula>IF(DO$8="判定対象外",TRUE,FALSE)</formula>
    </cfRule>
  </conditionalFormatting>
  <conditionalFormatting sqref="DN20">
    <cfRule type="expression" dxfId="2795" priority="2944" stopIfTrue="1">
      <formula>IF(DO$8="判定対象外",TRUE,FALSE)</formula>
    </cfRule>
  </conditionalFormatting>
  <conditionalFormatting sqref="DN16:DN20">
    <cfRule type="expression" dxfId="2794" priority="2943" stopIfTrue="1">
      <formula>IF(DO$8="判定対象外",TRUE,FALSE)</formula>
    </cfRule>
  </conditionalFormatting>
  <conditionalFormatting sqref="DN11:DN20">
    <cfRule type="expression" dxfId="2793" priority="2942" stopIfTrue="1">
      <formula>IF(DO$8="判定対象外",TRUE,FALSE)</formula>
    </cfRule>
  </conditionalFormatting>
  <conditionalFormatting sqref="DN16:DN18">
    <cfRule type="expression" dxfId="2792" priority="2941" stopIfTrue="1">
      <formula>IF(DO$8="判定対象外",TRUE,FALSE)</formula>
    </cfRule>
  </conditionalFormatting>
  <conditionalFormatting sqref="DN20">
    <cfRule type="expression" dxfId="2791" priority="2940" stopIfTrue="1">
      <formula>IF(DO$8="判定対象外",TRUE,FALSE)</formula>
    </cfRule>
  </conditionalFormatting>
  <conditionalFormatting sqref="DN16:DN20">
    <cfRule type="expression" dxfId="2790" priority="2939" stopIfTrue="1">
      <formula>IF(DO$8="判定対象外",TRUE,FALSE)</formula>
    </cfRule>
  </conditionalFormatting>
  <conditionalFormatting sqref="DN11:DN13">
    <cfRule type="expression" dxfId="2789" priority="2938" stopIfTrue="1">
      <formula>IF(DO$8="判定対象外",TRUE,FALSE)</formula>
    </cfRule>
  </conditionalFormatting>
  <conditionalFormatting sqref="DN15">
    <cfRule type="expression" dxfId="2788" priority="2937" stopIfTrue="1">
      <formula>IF(DO$8="判定対象外",TRUE,FALSE)</formula>
    </cfRule>
  </conditionalFormatting>
  <conditionalFormatting sqref="DN19">
    <cfRule type="expression" dxfId="2787" priority="2936" stopIfTrue="1">
      <formula>IF(DO$8="判定対象外",TRUE,FALSE)</formula>
    </cfRule>
  </conditionalFormatting>
  <conditionalFormatting sqref="DN19">
    <cfRule type="expression" dxfId="2786" priority="2935" stopIfTrue="1">
      <formula>IF(DO$8="判定対象外",TRUE,FALSE)</formula>
    </cfRule>
  </conditionalFormatting>
  <conditionalFormatting sqref="DN20">
    <cfRule type="expression" dxfId="2785" priority="2934" stopIfTrue="1">
      <formula>IF(DO$8="判定対象外",TRUE,FALSE)</formula>
    </cfRule>
  </conditionalFormatting>
  <conditionalFormatting sqref="DN20">
    <cfRule type="expression" dxfId="2784" priority="2933" stopIfTrue="1">
      <formula>IF(DO$8="判定対象外",TRUE,FALSE)</formula>
    </cfRule>
  </conditionalFormatting>
  <conditionalFormatting sqref="DN20">
    <cfRule type="expression" dxfId="2783" priority="2932" stopIfTrue="1">
      <formula>IF(DO$8="判定対象外",TRUE,FALSE)</formula>
    </cfRule>
  </conditionalFormatting>
  <conditionalFormatting sqref="DN13">
    <cfRule type="expression" dxfId="2782" priority="2931" stopIfTrue="1">
      <formula>IF(DO$8="判定対象外",TRUE,FALSE)</formula>
    </cfRule>
  </conditionalFormatting>
  <conditionalFormatting sqref="DN47">
    <cfRule type="expression" dxfId="2781" priority="2930" stopIfTrue="1">
      <formula>IF(DO$8="判定対象外",TRUE,FALSE)</formula>
    </cfRule>
  </conditionalFormatting>
  <conditionalFormatting sqref="DN47">
    <cfRule type="expression" dxfId="2780" priority="2929" stopIfTrue="1">
      <formula>IF(DO$8="判定対象外",TRUE,FALSE)</formula>
    </cfRule>
  </conditionalFormatting>
  <conditionalFormatting sqref="DN49">
    <cfRule type="expression" dxfId="2779" priority="2928" stopIfTrue="1">
      <formula>IF(DO$8="判定対象外",TRUE,FALSE)</formula>
    </cfRule>
  </conditionalFormatting>
  <conditionalFormatting sqref="DN49">
    <cfRule type="expression" dxfId="2778" priority="2927" stopIfTrue="1">
      <formula>IF(DO$8="判定対象外",TRUE,FALSE)</formula>
    </cfRule>
  </conditionalFormatting>
  <conditionalFormatting sqref="DN50">
    <cfRule type="expression" dxfId="2777" priority="2926" stopIfTrue="1">
      <formula>IF(DO$8="判定対象外",TRUE,FALSE)</formula>
    </cfRule>
  </conditionalFormatting>
  <conditionalFormatting sqref="DN50">
    <cfRule type="expression" dxfId="2776" priority="2925" stopIfTrue="1">
      <formula>IF(DO$8="判定対象外",TRUE,FALSE)</formula>
    </cfRule>
  </conditionalFormatting>
  <conditionalFormatting sqref="DN53 DN56 DN68 DN71">
    <cfRule type="expression" dxfId="2775" priority="2924" stopIfTrue="1">
      <formula>IF(DO$8="判定対象外",TRUE,FALSE)</formula>
    </cfRule>
  </conditionalFormatting>
  <conditionalFormatting sqref="DN54 DN57 DN66 DN69">
    <cfRule type="expression" dxfId="2774" priority="2923" stopIfTrue="1">
      <formula>IF(DO$8="判定対象外",TRUE,FALSE)</formula>
    </cfRule>
  </conditionalFormatting>
  <conditionalFormatting sqref="DQ57">
    <cfRule type="expression" dxfId="2773" priority="2921" stopIfTrue="1">
      <formula>IF(DQ57="-",TRUE,FALSE)</formula>
    </cfRule>
    <cfRule type="expression" dxfId="2772" priority="2922" stopIfTrue="1">
      <formula>IF(OR(DQ57="OK"),FALSE,TRUE)</formula>
    </cfRule>
  </conditionalFormatting>
  <conditionalFormatting sqref="DP57">
    <cfRule type="expression" dxfId="2771" priority="2920" stopIfTrue="1">
      <formula>IF(DO$8="判定対象外",TRUE,FALSE)</formula>
    </cfRule>
  </conditionalFormatting>
  <conditionalFormatting sqref="DO57">
    <cfRule type="expression" dxfId="2770" priority="2919" stopIfTrue="1">
      <formula>IF(DO$8="判定対象外",TRUE,FALSE)</formula>
    </cfRule>
  </conditionalFormatting>
  <conditionalFormatting sqref="DQ66:DQ70">
    <cfRule type="expression" dxfId="2769" priority="2917" stopIfTrue="1">
      <formula>IF(DQ66="-",TRUE,FALSE)</formula>
    </cfRule>
    <cfRule type="expression" dxfId="2768" priority="2918" stopIfTrue="1">
      <formula>IF(OR(DQ66="OK"),FALSE,TRUE)</formula>
    </cfRule>
  </conditionalFormatting>
  <conditionalFormatting sqref="DP66:DP70">
    <cfRule type="expression" dxfId="2767" priority="2916" stopIfTrue="1">
      <formula>IF(DO$8="判定対象外",TRUE,FALSE)</formula>
    </cfRule>
  </conditionalFormatting>
  <conditionalFormatting sqref="DO66:DO70">
    <cfRule type="expression" dxfId="2766" priority="2915" stopIfTrue="1">
      <formula>IF(DO$8="判定対象外",TRUE,FALSE)</formula>
    </cfRule>
  </conditionalFormatting>
  <conditionalFormatting sqref="DR29:DR32">
    <cfRule type="expression" dxfId="2765" priority="2904" stopIfTrue="1">
      <formula>IF(DS$8="判定対象外",TRUE,FALSE)</formula>
    </cfRule>
  </conditionalFormatting>
  <conditionalFormatting sqref="DU8:DU10">
    <cfRule type="expression" dxfId="2764" priority="2913" stopIfTrue="1">
      <formula>IF(DU8="-",TRUE,FALSE)</formula>
    </cfRule>
    <cfRule type="expression" dxfId="2763" priority="2914" stopIfTrue="1">
      <formula>IF(OR(DU8="OK"),FALSE,TRUE)</formula>
    </cfRule>
  </conditionalFormatting>
  <conditionalFormatting sqref="DR8:DR10">
    <cfRule type="expression" dxfId="2762" priority="2912" stopIfTrue="1">
      <formula>IF(DS$8="判定対象外",TRUE,FALSE)</formula>
    </cfRule>
  </conditionalFormatting>
  <conditionalFormatting sqref="DS8:DS10">
    <cfRule type="expression" dxfId="2761" priority="2911" stopIfTrue="1">
      <formula>IF(DS$8="判定対象外",TRUE,FALSE)</formula>
    </cfRule>
  </conditionalFormatting>
  <conditionalFormatting sqref="DT8:DT10">
    <cfRule type="expression" dxfId="2760" priority="2910" stopIfTrue="1">
      <formula>IF(DS$8="判定対象外",TRUE,FALSE)</formula>
    </cfRule>
  </conditionalFormatting>
  <conditionalFormatting sqref="DU11:DU34 DU71:DU81 DU36:DU56">
    <cfRule type="expression" dxfId="2759" priority="2907" stopIfTrue="1">
      <formula>IF(DU11="-",TRUE,FALSE)</formula>
    </cfRule>
    <cfRule type="expression" dxfId="2758" priority="2908" stopIfTrue="1">
      <formula>IF(OR(DU11="OK"),FALSE,TRUE)</formula>
    </cfRule>
  </conditionalFormatting>
  <conditionalFormatting sqref="DT11:DT34 DT71:DT81 DT36:DT56">
    <cfRule type="expression" dxfId="2757" priority="2906" stopIfTrue="1">
      <formula>IF(DS$8="判定対象外",TRUE,FALSE)</formula>
    </cfRule>
  </conditionalFormatting>
  <conditionalFormatting sqref="DR72:DR81 DR21:DR34 DR36:DR46">
    <cfRule type="expression" dxfId="2756" priority="2905" stopIfTrue="1">
      <formula>IF(DS$8="判定対象外",TRUE,FALSE)</formula>
    </cfRule>
  </conditionalFormatting>
  <conditionalFormatting sqref="DR42:DR44">
    <cfRule type="expression" dxfId="2755" priority="2903" stopIfTrue="1">
      <formula>IF(DS$8="判定対象外",TRUE,FALSE)</formula>
    </cfRule>
  </conditionalFormatting>
  <conditionalFormatting sqref="DR46">
    <cfRule type="expression" dxfId="2754" priority="2902" stopIfTrue="1">
      <formula>IF(DS$8="判定対象外",TRUE,FALSE)</formula>
    </cfRule>
  </conditionalFormatting>
  <conditionalFormatting sqref="DR42:DR44">
    <cfRule type="expression" dxfId="2753" priority="2901" stopIfTrue="1">
      <formula>IF(DS$8="判定対象外",TRUE,FALSE)</formula>
    </cfRule>
  </conditionalFormatting>
  <conditionalFormatting sqref="DR42:DR44">
    <cfRule type="expression" dxfId="2752" priority="2900" stopIfTrue="1">
      <formula>IF(DS$8="判定対象外",TRUE,FALSE)</formula>
    </cfRule>
  </conditionalFormatting>
  <conditionalFormatting sqref="DR42:DR44">
    <cfRule type="expression" dxfId="2751" priority="2899" stopIfTrue="1">
      <formula>IF(DS$8="判定対象外",TRUE,FALSE)</formula>
    </cfRule>
  </conditionalFormatting>
  <conditionalFormatting sqref="DR42:DR44">
    <cfRule type="expression" dxfId="2750" priority="2898" stopIfTrue="1">
      <formula>IF(DS$8="判定対象外",TRUE,FALSE)</formula>
    </cfRule>
  </conditionalFormatting>
  <conditionalFormatting sqref="DR42:DR44">
    <cfRule type="expression" dxfId="2749" priority="2897" stopIfTrue="1">
      <formula>IF(DS$8="判定対象外",TRUE,FALSE)</formula>
    </cfRule>
  </conditionalFormatting>
  <conditionalFormatting sqref="DR42:DR44">
    <cfRule type="expression" dxfId="2748" priority="2896" stopIfTrue="1">
      <formula>IF(DS$8="判定対象外",TRUE,FALSE)</formula>
    </cfRule>
  </conditionalFormatting>
  <conditionalFormatting sqref="DR42:DR44">
    <cfRule type="expression" dxfId="2747" priority="2895" stopIfTrue="1">
      <formula>IF(DS$8="判定対象外",TRUE,FALSE)</formula>
    </cfRule>
  </conditionalFormatting>
  <conditionalFormatting sqref="DR38">
    <cfRule type="expression" dxfId="2746" priority="2909" stopIfTrue="1">
      <formula>IF(#REF!="判定対象外",TRUE,FALSE)</formula>
    </cfRule>
  </conditionalFormatting>
  <conditionalFormatting sqref="DS11:DS34 DS71:DS81 DS36:DS56">
    <cfRule type="expression" dxfId="2745" priority="2894" stopIfTrue="1">
      <formula>IF(DS$8="判定対象外",TRUE,FALSE)</formula>
    </cfRule>
  </conditionalFormatting>
  <conditionalFormatting sqref="DR48">
    <cfRule type="expression" dxfId="2744" priority="2893" stopIfTrue="1">
      <formula>IF(DS$8="判定対象外",TRUE,FALSE)</formula>
    </cfRule>
  </conditionalFormatting>
  <conditionalFormatting sqref="DR51">
    <cfRule type="expression" dxfId="2743" priority="2892" stopIfTrue="1">
      <formula>IF(DS$8="判定対象外",TRUE,FALSE)</formula>
    </cfRule>
  </conditionalFormatting>
  <conditionalFormatting sqref="DR52 DR55 DR67 DR70">
    <cfRule type="expression" dxfId="2742" priority="2891" stopIfTrue="1">
      <formula>IF(DS$8="判定対象外",TRUE,FALSE)</formula>
    </cfRule>
  </conditionalFormatting>
  <conditionalFormatting sqref="DR11:DR20">
    <cfRule type="expression" dxfId="2741" priority="2890" stopIfTrue="1">
      <formula>IF(DS$8="判定対象外",TRUE,FALSE)</formula>
    </cfRule>
  </conditionalFormatting>
  <conditionalFormatting sqref="DR16:DR18">
    <cfRule type="expression" dxfId="2740" priority="2889" stopIfTrue="1">
      <formula>IF(DS$8="判定対象外",TRUE,FALSE)</formula>
    </cfRule>
  </conditionalFormatting>
  <conditionalFormatting sqref="DR20">
    <cfRule type="expression" dxfId="2739" priority="2888" stopIfTrue="1">
      <formula>IF(DS$8="判定対象外",TRUE,FALSE)</formula>
    </cfRule>
  </conditionalFormatting>
  <conditionalFormatting sqref="DR16:DR20">
    <cfRule type="expression" dxfId="2738" priority="2887" stopIfTrue="1">
      <formula>IF(DS$8="判定対象外",TRUE,FALSE)</formula>
    </cfRule>
  </conditionalFormatting>
  <conditionalFormatting sqref="DR11:DR20">
    <cfRule type="expression" dxfId="2737" priority="2886" stopIfTrue="1">
      <formula>IF(DS$8="判定対象外",TRUE,FALSE)</formula>
    </cfRule>
  </conditionalFormatting>
  <conditionalFormatting sqref="DR20">
    <cfRule type="expression" dxfId="2736" priority="2884" stopIfTrue="1">
      <formula>IF(DS$8="判定対象外",TRUE,FALSE)</formula>
    </cfRule>
  </conditionalFormatting>
  <conditionalFormatting sqref="DR16:DR20">
    <cfRule type="expression" dxfId="2735" priority="2883" stopIfTrue="1">
      <formula>IF(DS$8="判定対象外",TRUE,FALSE)</formula>
    </cfRule>
  </conditionalFormatting>
  <conditionalFormatting sqref="DR11:DR20">
    <cfRule type="expression" dxfId="2734" priority="2882" stopIfTrue="1">
      <formula>IF(DS$8="判定対象外",TRUE,FALSE)</formula>
    </cfRule>
  </conditionalFormatting>
  <conditionalFormatting sqref="DR16:DR18">
    <cfRule type="expression" dxfId="2733" priority="2881" stopIfTrue="1">
      <formula>IF(DS$8="判定対象外",TRUE,FALSE)</formula>
    </cfRule>
  </conditionalFormatting>
  <conditionalFormatting sqref="DR20">
    <cfRule type="expression" dxfId="2732" priority="2880" stopIfTrue="1">
      <formula>IF(DS$8="判定対象外",TRUE,FALSE)</formula>
    </cfRule>
  </conditionalFormatting>
  <conditionalFormatting sqref="DR16:DR20">
    <cfRule type="expression" dxfId="2731" priority="2879" stopIfTrue="1">
      <formula>IF(DS$8="判定対象外",TRUE,FALSE)</formula>
    </cfRule>
  </conditionalFormatting>
  <conditionalFormatting sqref="DR11:DR13">
    <cfRule type="expression" dxfId="2730" priority="2878" stopIfTrue="1">
      <formula>IF(DS$8="判定対象外",TRUE,FALSE)</formula>
    </cfRule>
  </conditionalFormatting>
  <conditionalFormatting sqref="DR15">
    <cfRule type="expression" dxfId="2729" priority="2877" stopIfTrue="1">
      <formula>IF(DS$8="判定対象外",TRUE,FALSE)</formula>
    </cfRule>
  </conditionalFormatting>
  <conditionalFormatting sqref="DR19">
    <cfRule type="expression" dxfId="2728" priority="2876" stopIfTrue="1">
      <formula>IF(DS$8="判定対象外",TRUE,FALSE)</formula>
    </cfRule>
  </conditionalFormatting>
  <conditionalFormatting sqref="DR20">
    <cfRule type="expression" dxfId="2727" priority="2874" stopIfTrue="1">
      <formula>IF(DS$8="判定対象外",TRUE,FALSE)</formula>
    </cfRule>
  </conditionalFormatting>
  <conditionalFormatting sqref="DR20">
    <cfRule type="expression" dxfId="2726" priority="2873" stopIfTrue="1">
      <formula>IF(DS$8="判定対象外",TRUE,FALSE)</formula>
    </cfRule>
  </conditionalFormatting>
  <conditionalFormatting sqref="DR20">
    <cfRule type="expression" dxfId="2725" priority="2872" stopIfTrue="1">
      <formula>IF(DS$8="判定対象外",TRUE,FALSE)</formula>
    </cfRule>
  </conditionalFormatting>
  <conditionalFormatting sqref="DR13">
    <cfRule type="expression" dxfId="2724" priority="2871" stopIfTrue="1">
      <formula>IF(DS$8="判定対象外",TRUE,FALSE)</formula>
    </cfRule>
  </conditionalFormatting>
  <conditionalFormatting sqref="DR47">
    <cfRule type="expression" dxfId="2723" priority="2870" stopIfTrue="1">
      <formula>IF(DS$8="判定対象外",TRUE,FALSE)</formula>
    </cfRule>
  </conditionalFormatting>
  <conditionalFormatting sqref="DR47">
    <cfRule type="expression" dxfId="2722" priority="2869" stopIfTrue="1">
      <formula>IF(DS$8="判定対象外",TRUE,FALSE)</formula>
    </cfRule>
  </conditionalFormatting>
  <conditionalFormatting sqref="DR49">
    <cfRule type="expression" dxfId="2721" priority="2868" stopIfTrue="1">
      <formula>IF(DS$8="判定対象外",TRUE,FALSE)</formula>
    </cfRule>
  </conditionalFormatting>
  <conditionalFormatting sqref="DR49">
    <cfRule type="expression" dxfId="2720" priority="2867" stopIfTrue="1">
      <formula>IF(DS$8="判定対象外",TRUE,FALSE)</formula>
    </cfRule>
  </conditionalFormatting>
  <conditionalFormatting sqref="DR50">
    <cfRule type="expression" dxfId="2719" priority="2866" stopIfTrue="1">
      <formula>IF(DS$8="判定対象外",TRUE,FALSE)</formula>
    </cfRule>
  </conditionalFormatting>
  <conditionalFormatting sqref="DR50">
    <cfRule type="expression" dxfId="2718" priority="2865" stopIfTrue="1">
      <formula>IF(DS$8="判定対象外",TRUE,FALSE)</formula>
    </cfRule>
  </conditionalFormatting>
  <conditionalFormatting sqref="DR54 DR57 DR66 DR69">
    <cfRule type="expression" dxfId="2717" priority="2863" stopIfTrue="1">
      <formula>IF(DS$8="判定対象外",TRUE,FALSE)</formula>
    </cfRule>
  </conditionalFormatting>
  <conditionalFormatting sqref="DU57">
    <cfRule type="expression" dxfId="2716" priority="2861" stopIfTrue="1">
      <formula>IF(DU57="-",TRUE,FALSE)</formula>
    </cfRule>
    <cfRule type="expression" dxfId="2715" priority="2862" stopIfTrue="1">
      <formula>IF(OR(DU57="OK"),FALSE,TRUE)</formula>
    </cfRule>
  </conditionalFormatting>
  <conditionalFormatting sqref="DT57">
    <cfRule type="expression" dxfId="2714" priority="2860" stopIfTrue="1">
      <formula>IF(DS$8="判定対象外",TRUE,FALSE)</formula>
    </cfRule>
  </conditionalFormatting>
  <conditionalFormatting sqref="DS57">
    <cfRule type="expression" dxfId="2713" priority="2859" stopIfTrue="1">
      <formula>IF(DS$8="判定対象外",TRUE,FALSE)</formula>
    </cfRule>
  </conditionalFormatting>
  <conditionalFormatting sqref="DU58:DU64">
    <cfRule type="expression" dxfId="2712" priority="2857" stopIfTrue="1">
      <formula>IF(DU58="-",TRUE,FALSE)</formula>
    </cfRule>
    <cfRule type="expression" dxfId="2711" priority="2858" stopIfTrue="1">
      <formula>IF(OR(DU58="OK"),FALSE,TRUE)</formula>
    </cfRule>
  </conditionalFormatting>
  <conditionalFormatting sqref="DT58:DT64">
    <cfRule type="expression" dxfId="2710" priority="2856" stopIfTrue="1">
      <formula>IF(DS$8="判定対象外",TRUE,FALSE)</formula>
    </cfRule>
  </conditionalFormatting>
  <conditionalFormatting sqref="DS58:DS64">
    <cfRule type="expression" dxfId="2709" priority="2855" stopIfTrue="1">
      <formula>IF(DS$8="判定対象外",TRUE,FALSE)</formula>
    </cfRule>
  </conditionalFormatting>
  <conditionalFormatting sqref="DU65:DU70">
    <cfRule type="expression" dxfId="2708" priority="2853" stopIfTrue="1">
      <formula>IF(DU65="-",TRUE,FALSE)</formula>
    </cfRule>
    <cfRule type="expression" dxfId="2707" priority="2854" stopIfTrue="1">
      <formula>IF(OR(DU65="OK"),FALSE,TRUE)</formula>
    </cfRule>
  </conditionalFormatting>
  <conditionalFormatting sqref="DT65:DT70">
    <cfRule type="expression" dxfId="2706" priority="2852" stopIfTrue="1">
      <formula>IF(DS$8="判定対象外",TRUE,FALSE)</formula>
    </cfRule>
  </conditionalFormatting>
  <conditionalFormatting sqref="DS65:DS70">
    <cfRule type="expression" dxfId="2705" priority="2851" stopIfTrue="1">
      <formula>IF(DS$8="判定対象外",TRUE,FALSE)</formula>
    </cfRule>
  </conditionalFormatting>
  <conditionalFormatting sqref="DR58">
    <cfRule type="expression" dxfId="2704" priority="2840" stopIfTrue="1">
      <formula>IF(DS$8="判定対象外",TRUE,FALSE)</formula>
    </cfRule>
  </conditionalFormatting>
  <conditionalFormatting sqref="DJ58">
    <cfRule type="expression" dxfId="2703" priority="2850" stopIfTrue="1">
      <formula>IF(DK$8="判定対象外",TRUE,FALSE)</formula>
    </cfRule>
  </conditionalFormatting>
  <conditionalFormatting sqref="DM58">
    <cfRule type="expression" dxfId="2702" priority="2848" stopIfTrue="1">
      <formula>IF(DM58="-",TRUE,FALSE)</formula>
    </cfRule>
    <cfRule type="expression" dxfId="2701" priority="2849" stopIfTrue="1">
      <formula>IF(OR(DM58="OK"),FALSE,TRUE)</formula>
    </cfRule>
  </conditionalFormatting>
  <conditionalFormatting sqref="DL58">
    <cfRule type="expression" dxfId="2700" priority="2847" stopIfTrue="1">
      <formula>IF(DK$8="判定対象外",TRUE,FALSE)</formula>
    </cfRule>
  </conditionalFormatting>
  <conditionalFormatting sqref="DK58">
    <cfRule type="expression" dxfId="2699" priority="2846" stopIfTrue="1">
      <formula>IF(DK$8="判定対象外",TRUE,FALSE)</formula>
    </cfRule>
  </conditionalFormatting>
  <conditionalFormatting sqref="DN58">
    <cfRule type="expression" dxfId="2698" priority="2845" stopIfTrue="1">
      <formula>IF(DO$8="判定対象外",TRUE,FALSE)</formula>
    </cfRule>
  </conditionalFormatting>
  <conditionalFormatting sqref="DQ58">
    <cfRule type="expression" dxfId="2697" priority="2843" stopIfTrue="1">
      <formula>IF(DQ58="-",TRUE,FALSE)</formula>
    </cfRule>
    <cfRule type="expression" dxfId="2696" priority="2844" stopIfTrue="1">
      <formula>IF(OR(DQ58="OK"),FALSE,TRUE)</formula>
    </cfRule>
  </conditionalFormatting>
  <conditionalFormatting sqref="DP58">
    <cfRule type="expression" dxfId="2695" priority="2842" stopIfTrue="1">
      <formula>IF(DO$8="判定対象外",TRUE,FALSE)</formula>
    </cfRule>
  </conditionalFormatting>
  <conditionalFormatting sqref="DO58">
    <cfRule type="expression" dxfId="2694" priority="2841" stopIfTrue="1">
      <formula>IF(DO$8="判定対象外",TRUE,FALSE)</formula>
    </cfRule>
  </conditionalFormatting>
  <conditionalFormatting sqref="DN59">
    <cfRule type="expression" dxfId="2693" priority="2834" stopIfTrue="1">
      <formula>IF(DO$8="判定対象外",TRUE,FALSE)</formula>
    </cfRule>
  </conditionalFormatting>
  <conditionalFormatting sqref="DQ59">
    <cfRule type="expression" dxfId="2692" priority="2832" stopIfTrue="1">
      <formula>IF(DQ59="-",TRUE,FALSE)</formula>
    </cfRule>
    <cfRule type="expression" dxfId="2691" priority="2833" stopIfTrue="1">
      <formula>IF(OR(DQ59="OK"),FALSE,TRUE)</formula>
    </cfRule>
  </conditionalFormatting>
  <conditionalFormatting sqref="DP59">
    <cfRule type="expression" dxfId="2690" priority="2831" stopIfTrue="1">
      <formula>IF(DO$8="判定対象外",TRUE,FALSE)</formula>
    </cfRule>
  </conditionalFormatting>
  <conditionalFormatting sqref="DO59">
    <cfRule type="expression" dxfId="2689" priority="2830" stopIfTrue="1">
      <formula>IF(DO$8="判定対象外",TRUE,FALSE)</formula>
    </cfRule>
  </conditionalFormatting>
  <conditionalFormatting sqref="DN60">
    <cfRule type="expression" dxfId="2688" priority="2823" stopIfTrue="1">
      <formula>IF(DO$8="判定対象外",TRUE,FALSE)</formula>
    </cfRule>
  </conditionalFormatting>
  <conditionalFormatting sqref="DQ60">
    <cfRule type="expression" dxfId="2687" priority="2821" stopIfTrue="1">
      <formula>IF(DQ60="-",TRUE,FALSE)</formula>
    </cfRule>
    <cfRule type="expression" dxfId="2686" priority="2822" stopIfTrue="1">
      <formula>IF(OR(DQ60="OK"),FALSE,TRUE)</formula>
    </cfRule>
  </conditionalFormatting>
  <conditionalFormatting sqref="DP60">
    <cfRule type="expression" dxfId="2685" priority="2820" stopIfTrue="1">
      <formula>IF(DO$8="判定対象外",TRUE,FALSE)</formula>
    </cfRule>
  </conditionalFormatting>
  <conditionalFormatting sqref="DO60">
    <cfRule type="expression" dxfId="2684" priority="2819" stopIfTrue="1">
      <formula>IF(DO$8="判定対象外",TRUE,FALSE)</formula>
    </cfRule>
  </conditionalFormatting>
  <conditionalFormatting sqref="DN61">
    <cfRule type="expression" dxfId="2683" priority="2812" stopIfTrue="1">
      <formula>IF(DO$8="判定対象外",TRUE,FALSE)</formula>
    </cfRule>
  </conditionalFormatting>
  <conditionalFormatting sqref="DQ61">
    <cfRule type="expression" dxfId="2682" priority="2810" stopIfTrue="1">
      <formula>IF(DQ61="-",TRUE,FALSE)</formula>
    </cfRule>
    <cfRule type="expression" dxfId="2681" priority="2811" stopIfTrue="1">
      <formula>IF(OR(DQ61="OK"),FALSE,TRUE)</formula>
    </cfRule>
  </conditionalFormatting>
  <conditionalFormatting sqref="DP61">
    <cfRule type="expression" dxfId="2680" priority="2809" stopIfTrue="1">
      <formula>IF(DO$8="判定対象外",TRUE,FALSE)</formula>
    </cfRule>
  </conditionalFormatting>
  <conditionalFormatting sqref="DO61">
    <cfRule type="expression" dxfId="2679" priority="2808" stopIfTrue="1">
      <formula>IF(DO$8="判定対象外",TRUE,FALSE)</formula>
    </cfRule>
  </conditionalFormatting>
  <conditionalFormatting sqref="DN62">
    <cfRule type="expression" dxfId="2678" priority="2801" stopIfTrue="1">
      <formula>IF(DO$8="判定対象外",TRUE,FALSE)</formula>
    </cfRule>
  </conditionalFormatting>
  <conditionalFormatting sqref="DQ62">
    <cfRule type="expression" dxfId="2677" priority="2799" stopIfTrue="1">
      <formula>IF(DQ62="-",TRUE,FALSE)</formula>
    </cfRule>
    <cfRule type="expression" dxfId="2676" priority="2800" stopIfTrue="1">
      <formula>IF(OR(DQ62="OK"),FALSE,TRUE)</formula>
    </cfRule>
  </conditionalFormatting>
  <conditionalFormatting sqref="DP62">
    <cfRule type="expression" dxfId="2675" priority="2798" stopIfTrue="1">
      <formula>IF(DO$8="判定対象外",TRUE,FALSE)</formula>
    </cfRule>
  </conditionalFormatting>
  <conditionalFormatting sqref="DO62">
    <cfRule type="expression" dxfId="2674" priority="2797" stopIfTrue="1">
      <formula>IF(DO$8="判定対象外",TRUE,FALSE)</formula>
    </cfRule>
  </conditionalFormatting>
  <conditionalFormatting sqref="FR69">
    <cfRule type="expression" dxfId="2673" priority="1112" stopIfTrue="1">
      <formula>IF(FS$8="判定対象外",TRUE,FALSE)</formula>
    </cfRule>
  </conditionalFormatting>
  <conditionalFormatting sqref="FU69">
    <cfRule type="expression" dxfId="2672" priority="1110" stopIfTrue="1">
      <formula>IF(FU69="-",TRUE,FALSE)</formula>
    </cfRule>
    <cfRule type="expression" dxfId="2671" priority="1111" stopIfTrue="1">
      <formula>IF(OR(FU69="OK"),FALSE,TRUE)</formula>
    </cfRule>
  </conditionalFormatting>
  <conditionalFormatting sqref="FT69">
    <cfRule type="expression" dxfId="2670" priority="1109" stopIfTrue="1">
      <formula>IF(FS$8="判定対象外",TRUE,FALSE)</formula>
    </cfRule>
  </conditionalFormatting>
  <conditionalFormatting sqref="FS69">
    <cfRule type="expression" dxfId="2669" priority="1108" stopIfTrue="1">
      <formula>IF(FS$8="判定対象外",TRUE,FALSE)</formula>
    </cfRule>
  </conditionalFormatting>
  <conditionalFormatting sqref="GD70">
    <cfRule type="expression" dxfId="2668" priority="634" stopIfTrue="1">
      <formula>IF(GE$8="判定対象外",TRUE,FALSE)</formula>
    </cfRule>
  </conditionalFormatting>
  <conditionalFormatting sqref="GG70">
    <cfRule type="expression" dxfId="2667" priority="632" stopIfTrue="1">
      <formula>IF(GG70="-",TRUE,FALSE)</formula>
    </cfRule>
    <cfRule type="expression" dxfId="2666" priority="633" stopIfTrue="1">
      <formula>IF(OR(GG70="OK"),FALSE,TRUE)</formula>
    </cfRule>
  </conditionalFormatting>
  <conditionalFormatting sqref="GF70">
    <cfRule type="expression" dxfId="2665" priority="631" stopIfTrue="1">
      <formula>IF(GE$8="判定対象外",TRUE,FALSE)</formula>
    </cfRule>
  </conditionalFormatting>
  <conditionalFormatting sqref="GE70">
    <cfRule type="expression" dxfId="2664" priority="630" stopIfTrue="1">
      <formula>IF(GE$8="判定対象外",TRUE,FALSE)</formula>
    </cfRule>
  </conditionalFormatting>
  <conditionalFormatting sqref="DN63">
    <cfRule type="expression" dxfId="2663" priority="2779" stopIfTrue="1">
      <formula>IF(DO$8="判定対象外",TRUE,FALSE)</formula>
    </cfRule>
  </conditionalFormatting>
  <conditionalFormatting sqref="DQ63">
    <cfRule type="expression" dxfId="2662" priority="2777" stopIfTrue="1">
      <formula>IF(DQ63="-",TRUE,FALSE)</formula>
    </cfRule>
    <cfRule type="expression" dxfId="2661" priority="2778" stopIfTrue="1">
      <formula>IF(OR(DQ63="OK"),FALSE,TRUE)</formula>
    </cfRule>
  </conditionalFormatting>
  <conditionalFormatting sqref="DP63">
    <cfRule type="expression" dxfId="2660" priority="2776" stopIfTrue="1">
      <formula>IF(DO$8="判定対象外",TRUE,FALSE)</formula>
    </cfRule>
  </conditionalFormatting>
  <conditionalFormatting sqref="DO63">
    <cfRule type="expression" dxfId="2659" priority="2775" stopIfTrue="1">
      <formula>IF(DO$8="判定対象外",TRUE,FALSE)</formula>
    </cfRule>
  </conditionalFormatting>
  <conditionalFormatting sqref="ED66">
    <cfRule type="expression" dxfId="2658" priority="2469" stopIfTrue="1">
      <formula>IF(EE$8="判定対象外",TRUE,FALSE)</formula>
    </cfRule>
  </conditionalFormatting>
  <conditionalFormatting sqref="DJ65">
    <cfRule type="expression" dxfId="2657" priority="2773" stopIfTrue="1">
      <formula>IF(DK$8="判定対象外",TRUE,FALSE)</formula>
    </cfRule>
  </conditionalFormatting>
  <conditionalFormatting sqref="DM65">
    <cfRule type="expression" dxfId="2656" priority="2771" stopIfTrue="1">
      <formula>IF(DM65="-",TRUE,FALSE)</formula>
    </cfRule>
    <cfRule type="expression" dxfId="2655" priority="2772" stopIfTrue="1">
      <formula>IF(OR(DM65="OK"),FALSE,TRUE)</formula>
    </cfRule>
  </conditionalFormatting>
  <conditionalFormatting sqref="DL65">
    <cfRule type="expression" dxfId="2654" priority="2770" stopIfTrue="1">
      <formula>IF(DK$8="判定対象外",TRUE,FALSE)</formula>
    </cfRule>
  </conditionalFormatting>
  <conditionalFormatting sqref="DK65">
    <cfRule type="expression" dxfId="2653" priority="2769" stopIfTrue="1">
      <formula>IF(DK$8="判定対象外",TRUE,FALSE)</formula>
    </cfRule>
  </conditionalFormatting>
  <conditionalFormatting sqref="DQ65">
    <cfRule type="expression" dxfId="2652" priority="2767" stopIfTrue="1">
      <formula>IF(DQ65="-",TRUE,FALSE)</formula>
    </cfRule>
    <cfRule type="expression" dxfId="2651" priority="2768" stopIfTrue="1">
      <formula>IF(OR(DQ65="OK"),FALSE,TRUE)</formula>
    </cfRule>
  </conditionalFormatting>
  <conditionalFormatting sqref="DP65">
    <cfRule type="expression" dxfId="2650" priority="2766" stopIfTrue="1">
      <formula>IF(DO$8="判定対象外",TRUE,FALSE)</formula>
    </cfRule>
  </conditionalFormatting>
  <conditionalFormatting sqref="DO65">
    <cfRule type="expression" dxfId="2649" priority="2765" stopIfTrue="1">
      <formula>IF(DO$8="判定対象外",TRUE,FALSE)</formula>
    </cfRule>
  </conditionalFormatting>
  <conditionalFormatting sqref="DJ64">
    <cfRule type="expression" dxfId="2648" priority="2762" stopIfTrue="1">
      <formula>IF(DK$8="判定対象外",TRUE,FALSE)</formula>
    </cfRule>
  </conditionalFormatting>
  <conditionalFormatting sqref="DM64">
    <cfRule type="expression" dxfId="2647" priority="2760" stopIfTrue="1">
      <formula>IF(DM64="-",TRUE,FALSE)</formula>
    </cfRule>
    <cfRule type="expression" dxfId="2646" priority="2761" stopIfTrue="1">
      <formula>IF(OR(DM64="OK"),FALSE,TRUE)</formula>
    </cfRule>
  </conditionalFormatting>
  <conditionalFormatting sqref="DL64">
    <cfRule type="expression" dxfId="2645" priority="2759" stopIfTrue="1">
      <formula>IF(DK$8="判定対象外",TRUE,FALSE)</formula>
    </cfRule>
  </conditionalFormatting>
  <conditionalFormatting sqref="DK64">
    <cfRule type="expression" dxfId="2644" priority="2758" stopIfTrue="1">
      <formula>IF(DK$8="判定対象外",TRUE,FALSE)</formula>
    </cfRule>
  </conditionalFormatting>
  <conditionalFormatting sqref="DN64">
    <cfRule type="expression" dxfId="2643" priority="2757" stopIfTrue="1">
      <formula>IF(DO$8="判定対象外",TRUE,FALSE)</formula>
    </cfRule>
  </conditionalFormatting>
  <conditionalFormatting sqref="DQ64">
    <cfRule type="expression" dxfId="2642" priority="2755" stopIfTrue="1">
      <formula>IF(DQ64="-",TRUE,FALSE)</formula>
    </cfRule>
    <cfRule type="expression" dxfId="2641" priority="2756" stopIfTrue="1">
      <formula>IF(OR(DQ64="OK"),FALSE,TRUE)</formula>
    </cfRule>
  </conditionalFormatting>
  <conditionalFormatting sqref="DP64">
    <cfRule type="expression" dxfId="2640" priority="2754" stopIfTrue="1">
      <formula>IF(DO$8="判定対象外",TRUE,FALSE)</formula>
    </cfRule>
  </conditionalFormatting>
  <conditionalFormatting sqref="DO64">
    <cfRule type="expression" dxfId="2639" priority="2753" stopIfTrue="1">
      <formula>IF(DO$8="判定対象外",TRUE,FALSE)</formula>
    </cfRule>
  </conditionalFormatting>
  <conditionalFormatting sqref="DR64">
    <cfRule type="expression" dxfId="2638" priority="2752" stopIfTrue="1">
      <formula>IF(DS$8="判定対象外",TRUE,FALSE)</formula>
    </cfRule>
  </conditionalFormatting>
  <conditionalFormatting sqref="ED63">
    <cfRule type="expression" dxfId="2637" priority="2502" stopIfTrue="1">
      <formula>IF(EE$8="判定対象外",TRUE,FALSE)</formula>
    </cfRule>
  </conditionalFormatting>
  <conditionalFormatting sqref="DV63">
    <cfRule type="expression" dxfId="2636" priority="2512" stopIfTrue="1">
      <formula>IF(DW$8="判定対象外",TRUE,FALSE)</formula>
    </cfRule>
  </conditionalFormatting>
  <conditionalFormatting sqref="DY63">
    <cfRule type="expression" dxfId="2635" priority="2510" stopIfTrue="1">
      <formula>IF(DY63="-",TRUE,FALSE)</formula>
    </cfRule>
    <cfRule type="expression" dxfId="2634" priority="2511" stopIfTrue="1">
      <formula>IF(OR(DY63="OK"),FALSE,TRUE)</formula>
    </cfRule>
  </conditionalFormatting>
  <conditionalFormatting sqref="DX63">
    <cfRule type="expression" dxfId="2633" priority="2509" stopIfTrue="1">
      <formula>IF(DW$8="判定対象外",TRUE,FALSE)</formula>
    </cfRule>
  </conditionalFormatting>
  <conditionalFormatting sqref="DW63">
    <cfRule type="expression" dxfId="2632" priority="2508" stopIfTrue="1">
      <formula>IF(DW$8="判定対象外",TRUE,FALSE)</formula>
    </cfRule>
  </conditionalFormatting>
  <conditionalFormatting sqref="ED62">
    <cfRule type="expression" dxfId="2631" priority="2513" stopIfTrue="1">
      <formula>IF(EE$8="判定対象外",TRUE,FALSE)</formula>
    </cfRule>
  </conditionalFormatting>
  <conditionalFormatting sqref="DV62">
    <cfRule type="expression" dxfId="2630" priority="2523" stopIfTrue="1">
      <formula>IF(DW$8="判定対象外",TRUE,FALSE)</formula>
    </cfRule>
  </conditionalFormatting>
  <conditionalFormatting sqref="DY62">
    <cfRule type="expression" dxfId="2629" priority="2521" stopIfTrue="1">
      <formula>IF(DY62="-",TRUE,FALSE)</formula>
    </cfRule>
    <cfRule type="expression" dxfId="2628" priority="2522" stopIfTrue="1">
      <formula>IF(OR(DY62="OK"),FALSE,TRUE)</formula>
    </cfRule>
  </conditionalFormatting>
  <conditionalFormatting sqref="DX62">
    <cfRule type="expression" dxfId="2627" priority="2520" stopIfTrue="1">
      <formula>IF(DW$8="判定対象外",TRUE,FALSE)</formula>
    </cfRule>
  </conditionalFormatting>
  <conditionalFormatting sqref="DW62">
    <cfRule type="expression" dxfId="2626" priority="2519" stopIfTrue="1">
      <formula>IF(DW$8="判定対象外",TRUE,FALSE)</formula>
    </cfRule>
  </conditionalFormatting>
  <conditionalFormatting sqref="ED61">
    <cfRule type="expression" dxfId="2625" priority="2524" stopIfTrue="1">
      <formula>IF(EE$8="判定対象外",TRUE,FALSE)</formula>
    </cfRule>
  </conditionalFormatting>
  <conditionalFormatting sqref="DV61">
    <cfRule type="expression" dxfId="2624" priority="2534" stopIfTrue="1">
      <formula>IF(DW$8="判定対象外",TRUE,FALSE)</formula>
    </cfRule>
  </conditionalFormatting>
  <conditionalFormatting sqref="DY61">
    <cfRule type="expression" dxfId="2623" priority="2532" stopIfTrue="1">
      <formula>IF(DY61="-",TRUE,FALSE)</formula>
    </cfRule>
    <cfRule type="expression" dxfId="2622" priority="2533" stopIfTrue="1">
      <formula>IF(OR(DY61="OK"),FALSE,TRUE)</formula>
    </cfRule>
  </conditionalFormatting>
  <conditionalFormatting sqref="DX61">
    <cfRule type="expression" dxfId="2621" priority="2531" stopIfTrue="1">
      <formula>IF(DW$8="判定対象外",TRUE,FALSE)</formula>
    </cfRule>
  </conditionalFormatting>
  <conditionalFormatting sqref="DW61">
    <cfRule type="expression" dxfId="2620" priority="2530" stopIfTrue="1">
      <formula>IF(DW$8="判定対象外",TRUE,FALSE)</formula>
    </cfRule>
  </conditionalFormatting>
  <conditionalFormatting sqref="ED60">
    <cfRule type="expression" dxfId="2619" priority="2535" stopIfTrue="1">
      <formula>IF(EE$8="判定対象外",TRUE,FALSE)</formula>
    </cfRule>
  </conditionalFormatting>
  <conditionalFormatting sqref="ED53 ED56 ED68 ED71">
    <cfRule type="expression" dxfId="2618" priority="2581" stopIfTrue="1">
      <formula>IF(EE$8="判定対象外",TRUE,FALSE)</formula>
    </cfRule>
  </conditionalFormatting>
  <conditionalFormatting sqref="DV60">
    <cfRule type="expression" dxfId="2617" priority="2545" stopIfTrue="1">
      <formula>IF(DW$8="判定対象外",TRUE,FALSE)</formula>
    </cfRule>
  </conditionalFormatting>
  <conditionalFormatting sqref="DY60">
    <cfRule type="expression" dxfId="2616" priority="2543" stopIfTrue="1">
      <formula>IF(DY60="-",TRUE,FALSE)</formula>
    </cfRule>
    <cfRule type="expression" dxfId="2615" priority="2544" stopIfTrue="1">
      <formula>IF(OR(DY60="OK"),FALSE,TRUE)</formula>
    </cfRule>
  </conditionalFormatting>
  <conditionalFormatting sqref="DX60">
    <cfRule type="expression" dxfId="2614" priority="2542" stopIfTrue="1">
      <formula>IF(DW$8="判定対象外",TRUE,FALSE)</formula>
    </cfRule>
  </conditionalFormatting>
  <conditionalFormatting sqref="DW60">
    <cfRule type="expression" dxfId="2613" priority="2541" stopIfTrue="1">
      <formula>IF(DW$8="判定対象外",TRUE,FALSE)</formula>
    </cfRule>
  </conditionalFormatting>
  <conditionalFormatting sqref="ED19">
    <cfRule type="expression" dxfId="2612" priority="2592" stopIfTrue="1">
      <formula>IF(EE$8="判定対象外",TRUE,FALSE)</formula>
    </cfRule>
  </conditionalFormatting>
  <conditionalFormatting sqref="ED59">
    <cfRule type="expression" dxfId="2611" priority="2546" stopIfTrue="1">
      <formula>IF(EE$8="判定対象外",TRUE,FALSE)</formula>
    </cfRule>
  </conditionalFormatting>
  <conditionalFormatting sqref="DV59">
    <cfRule type="expression" dxfId="2610" priority="2556" stopIfTrue="1">
      <formula>IF(DW$8="判定対象外",TRUE,FALSE)</formula>
    </cfRule>
  </conditionalFormatting>
  <conditionalFormatting sqref="DY59">
    <cfRule type="expression" dxfId="2609" priority="2554" stopIfTrue="1">
      <formula>IF(DY59="-",TRUE,FALSE)</formula>
    </cfRule>
    <cfRule type="expression" dxfId="2608" priority="2555" stopIfTrue="1">
      <formula>IF(OR(DY59="OK"),FALSE,TRUE)</formula>
    </cfRule>
  </conditionalFormatting>
  <conditionalFormatting sqref="DX59">
    <cfRule type="expression" dxfId="2607" priority="2553" stopIfTrue="1">
      <formula>IF(DW$8="判定対象外",TRUE,FALSE)</formula>
    </cfRule>
  </conditionalFormatting>
  <conditionalFormatting sqref="DW59">
    <cfRule type="expression" dxfId="2606" priority="2552" stopIfTrue="1">
      <formula>IF(DW$8="判定対象外",TRUE,FALSE)</formula>
    </cfRule>
  </conditionalFormatting>
  <conditionalFormatting sqref="ED16:ED18">
    <cfRule type="expression" dxfId="2605" priority="2602" stopIfTrue="1">
      <formula>IF(EE$8="判定対象外",TRUE,FALSE)</formula>
    </cfRule>
  </conditionalFormatting>
  <conditionalFormatting sqref="DY8:DY10">
    <cfRule type="expression" dxfId="2604" priority="2750" stopIfTrue="1">
      <formula>IF(DY8="-",TRUE,FALSE)</formula>
    </cfRule>
    <cfRule type="expression" dxfId="2603" priority="2751" stopIfTrue="1">
      <formula>IF(OR(DY8="OK"),FALSE,TRUE)</formula>
    </cfRule>
  </conditionalFormatting>
  <conditionalFormatting sqref="DV8:DV10">
    <cfRule type="expression" dxfId="2602" priority="2749" stopIfTrue="1">
      <formula>IF(DW$8="判定対象外",TRUE,FALSE)</formula>
    </cfRule>
  </conditionalFormatting>
  <conditionalFormatting sqref="DW8:DW10">
    <cfRule type="expression" dxfId="2601" priority="2748" stopIfTrue="1">
      <formula>IF(DW$8="判定対象外",TRUE,FALSE)</formula>
    </cfRule>
  </conditionalFormatting>
  <conditionalFormatting sqref="DX8:DX10">
    <cfRule type="expression" dxfId="2600" priority="2747" stopIfTrue="1">
      <formula>IF(DW$8="判定対象外",TRUE,FALSE)</formula>
    </cfRule>
  </conditionalFormatting>
  <conditionalFormatting sqref="DY11:DY34 DY71:DY81 DY36:DY56">
    <cfRule type="expression" dxfId="2599" priority="2744" stopIfTrue="1">
      <formula>IF(DY11="-",TRUE,FALSE)</formula>
    </cfRule>
    <cfRule type="expression" dxfId="2598" priority="2745" stopIfTrue="1">
      <formula>IF(OR(DY11="OK"),FALSE,TRUE)</formula>
    </cfRule>
  </conditionalFormatting>
  <conditionalFormatting sqref="DX11:DX34 DX71:DX81 DX36:DX56">
    <cfRule type="expression" dxfId="2597" priority="2743" stopIfTrue="1">
      <formula>IF(DW$8="判定対象外",TRUE,FALSE)</formula>
    </cfRule>
  </conditionalFormatting>
  <conditionalFormatting sqref="DV72:DV81 DV21:DV34 DV36:DV46">
    <cfRule type="expression" dxfId="2596" priority="2742" stopIfTrue="1">
      <formula>IF(DW$8="判定対象外",TRUE,FALSE)</formula>
    </cfRule>
  </conditionalFormatting>
  <conditionalFormatting sqref="DV29:DV32">
    <cfRule type="expression" dxfId="2595" priority="2741" stopIfTrue="1">
      <formula>IF(DW$8="判定対象外",TRUE,FALSE)</formula>
    </cfRule>
  </conditionalFormatting>
  <conditionalFormatting sqref="DV42:DV44">
    <cfRule type="expression" dxfId="2594" priority="2740" stopIfTrue="1">
      <formula>IF(DW$8="判定対象外",TRUE,FALSE)</formula>
    </cfRule>
  </conditionalFormatting>
  <conditionalFormatting sqref="DV46">
    <cfRule type="expression" dxfId="2593" priority="2739" stopIfTrue="1">
      <formula>IF(DW$8="判定対象外",TRUE,FALSE)</formula>
    </cfRule>
  </conditionalFormatting>
  <conditionalFormatting sqref="DV42:DV44">
    <cfRule type="expression" dxfId="2592" priority="2738" stopIfTrue="1">
      <formula>IF(DW$8="判定対象外",TRUE,FALSE)</formula>
    </cfRule>
  </conditionalFormatting>
  <conditionalFormatting sqref="DV42:DV44">
    <cfRule type="expression" dxfId="2591" priority="2737" stopIfTrue="1">
      <formula>IF(DW$8="判定対象外",TRUE,FALSE)</formula>
    </cfRule>
  </conditionalFormatting>
  <conditionalFormatting sqref="DV42:DV44">
    <cfRule type="expression" dxfId="2590" priority="2736" stopIfTrue="1">
      <formula>IF(DW$8="判定対象外",TRUE,FALSE)</formula>
    </cfRule>
  </conditionalFormatting>
  <conditionalFormatting sqref="DV42:DV44">
    <cfRule type="expression" dxfId="2589" priority="2735" stopIfTrue="1">
      <formula>IF(DW$8="判定対象外",TRUE,FALSE)</formula>
    </cfRule>
  </conditionalFormatting>
  <conditionalFormatting sqref="DV42:DV44">
    <cfRule type="expression" dxfId="2588" priority="2734" stopIfTrue="1">
      <formula>IF(DW$8="判定対象外",TRUE,FALSE)</formula>
    </cfRule>
  </conditionalFormatting>
  <conditionalFormatting sqref="DV42:DV44">
    <cfRule type="expression" dxfId="2587" priority="2733" stopIfTrue="1">
      <formula>IF(DW$8="判定対象外",TRUE,FALSE)</formula>
    </cfRule>
  </conditionalFormatting>
  <conditionalFormatting sqref="DV42:DV44">
    <cfRule type="expression" dxfId="2586" priority="2732" stopIfTrue="1">
      <formula>IF(DW$8="判定対象外",TRUE,FALSE)</formula>
    </cfRule>
  </conditionalFormatting>
  <conditionalFormatting sqref="DV38">
    <cfRule type="expression" dxfId="2585" priority="2746" stopIfTrue="1">
      <formula>IF(#REF!="判定対象外",TRUE,FALSE)</formula>
    </cfRule>
  </conditionalFormatting>
  <conditionalFormatting sqref="DW11:DW34 DW71:DW81 DW36:DW56">
    <cfRule type="expression" dxfId="2584" priority="2731" stopIfTrue="1">
      <formula>IF(DW$8="判定対象外",TRUE,FALSE)</formula>
    </cfRule>
  </conditionalFormatting>
  <conditionalFormatting sqref="DV48">
    <cfRule type="expression" dxfId="2583" priority="2730" stopIfTrue="1">
      <formula>IF(DW$8="判定対象外",TRUE,FALSE)</formula>
    </cfRule>
  </conditionalFormatting>
  <conditionalFormatting sqref="DV51">
    <cfRule type="expression" dxfId="2582" priority="2729" stopIfTrue="1">
      <formula>IF(DW$8="判定対象外",TRUE,FALSE)</formula>
    </cfRule>
  </conditionalFormatting>
  <conditionalFormatting sqref="DV52 DV55 DV67 DV70">
    <cfRule type="expression" dxfId="2581" priority="2728" stopIfTrue="1">
      <formula>IF(DW$8="判定対象外",TRUE,FALSE)</formula>
    </cfRule>
  </conditionalFormatting>
  <conditionalFormatting sqref="DV11:DV20">
    <cfRule type="expression" dxfId="2580" priority="2727" stopIfTrue="1">
      <formula>IF(DW$8="判定対象外",TRUE,FALSE)</formula>
    </cfRule>
  </conditionalFormatting>
  <conditionalFormatting sqref="DV16:DV18">
    <cfRule type="expression" dxfId="2579" priority="2726" stopIfTrue="1">
      <formula>IF(DW$8="判定対象外",TRUE,FALSE)</formula>
    </cfRule>
  </conditionalFormatting>
  <conditionalFormatting sqref="DV20">
    <cfRule type="expression" dxfId="2578" priority="2725" stopIfTrue="1">
      <formula>IF(DW$8="判定対象外",TRUE,FALSE)</formula>
    </cfRule>
  </conditionalFormatting>
  <conditionalFormatting sqref="DV16:DV20">
    <cfRule type="expression" dxfId="2577" priority="2724" stopIfTrue="1">
      <formula>IF(DW$8="判定対象外",TRUE,FALSE)</formula>
    </cfRule>
  </conditionalFormatting>
  <conditionalFormatting sqref="DV11:DV20">
    <cfRule type="expression" dxfId="2576" priority="2723" stopIfTrue="1">
      <formula>IF(DW$8="判定対象外",TRUE,FALSE)</formula>
    </cfRule>
  </conditionalFormatting>
  <conditionalFormatting sqref="DV16:DV18">
    <cfRule type="expression" dxfId="2575" priority="2722" stopIfTrue="1">
      <formula>IF(DW$8="判定対象外",TRUE,FALSE)</formula>
    </cfRule>
  </conditionalFormatting>
  <conditionalFormatting sqref="DV20">
    <cfRule type="expression" dxfId="2574" priority="2721" stopIfTrue="1">
      <formula>IF(DW$8="判定対象外",TRUE,FALSE)</formula>
    </cfRule>
  </conditionalFormatting>
  <conditionalFormatting sqref="DV16:DV20">
    <cfRule type="expression" dxfId="2573" priority="2720" stopIfTrue="1">
      <formula>IF(DW$8="判定対象外",TRUE,FALSE)</formula>
    </cfRule>
  </conditionalFormatting>
  <conditionalFormatting sqref="DV11:DV20">
    <cfRule type="expression" dxfId="2572" priority="2719" stopIfTrue="1">
      <formula>IF(DW$8="判定対象外",TRUE,FALSE)</formula>
    </cfRule>
  </conditionalFormatting>
  <conditionalFormatting sqref="DV16:DV18">
    <cfRule type="expression" dxfId="2571" priority="2718" stopIfTrue="1">
      <formula>IF(DW$8="判定対象外",TRUE,FALSE)</formula>
    </cfRule>
  </conditionalFormatting>
  <conditionalFormatting sqref="DV20">
    <cfRule type="expression" dxfId="2570" priority="2717" stopIfTrue="1">
      <formula>IF(DW$8="判定対象外",TRUE,FALSE)</formula>
    </cfRule>
  </conditionalFormatting>
  <conditionalFormatting sqref="DV16:DV20">
    <cfRule type="expression" dxfId="2569" priority="2716" stopIfTrue="1">
      <formula>IF(DW$8="判定対象外",TRUE,FALSE)</formula>
    </cfRule>
  </conditionalFormatting>
  <conditionalFormatting sqref="DV11:DV13">
    <cfRule type="expression" dxfId="2568" priority="2715" stopIfTrue="1">
      <formula>IF(DW$8="判定対象外",TRUE,FALSE)</formula>
    </cfRule>
  </conditionalFormatting>
  <conditionalFormatting sqref="DV15">
    <cfRule type="expression" dxfId="2567" priority="2714" stopIfTrue="1">
      <formula>IF(DW$8="判定対象外",TRUE,FALSE)</formula>
    </cfRule>
  </conditionalFormatting>
  <conditionalFormatting sqref="DV19">
    <cfRule type="expression" dxfId="2566" priority="2713" stopIfTrue="1">
      <formula>IF(DW$8="判定対象外",TRUE,FALSE)</formula>
    </cfRule>
  </conditionalFormatting>
  <conditionalFormatting sqref="DV19">
    <cfRule type="expression" dxfId="2565" priority="2712" stopIfTrue="1">
      <formula>IF(DW$8="判定対象外",TRUE,FALSE)</formula>
    </cfRule>
  </conditionalFormatting>
  <conditionalFormatting sqref="DV20">
    <cfRule type="expression" dxfId="2564" priority="2711" stopIfTrue="1">
      <formula>IF(DW$8="判定対象外",TRUE,FALSE)</formula>
    </cfRule>
  </conditionalFormatting>
  <conditionalFormatting sqref="DV20">
    <cfRule type="expression" dxfId="2563" priority="2710" stopIfTrue="1">
      <formula>IF(DW$8="判定対象外",TRUE,FALSE)</formula>
    </cfRule>
  </conditionalFormatting>
  <conditionalFormatting sqref="DV20">
    <cfRule type="expression" dxfId="2562" priority="2709" stopIfTrue="1">
      <formula>IF(DW$8="判定対象外",TRUE,FALSE)</formula>
    </cfRule>
  </conditionalFormatting>
  <conditionalFormatting sqref="DV13">
    <cfRule type="expression" dxfId="2561" priority="2708" stopIfTrue="1">
      <formula>IF(DW$8="判定対象外",TRUE,FALSE)</formula>
    </cfRule>
  </conditionalFormatting>
  <conditionalFormatting sqref="DV47">
    <cfRule type="expression" dxfId="2560" priority="2707" stopIfTrue="1">
      <formula>IF(DW$8="判定対象外",TRUE,FALSE)</formula>
    </cfRule>
  </conditionalFormatting>
  <conditionalFormatting sqref="DV47">
    <cfRule type="expression" dxfId="2559" priority="2706" stopIfTrue="1">
      <formula>IF(DW$8="判定対象外",TRUE,FALSE)</formula>
    </cfRule>
  </conditionalFormatting>
  <conditionalFormatting sqref="DV49">
    <cfRule type="expression" dxfId="2558" priority="2705" stopIfTrue="1">
      <formula>IF(DW$8="判定対象外",TRUE,FALSE)</formula>
    </cfRule>
  </conditionalFormatting>
  <conditionalFormatting sqref="DV49">
    <cfRule type="expression" dxfId="2557" priority="2704" stopIfTrue="1">
      <formula>IF(DW$8="判定対象外",TRUE,FALSE)</formula>
    </cfRule>
  </conditionalFormatting>
  <conditionalFormatting sqref="DV50">
    <cfRule type="expression" dxfId="2556" priority="2703" stopIfTrue="1">
      <formula>IF(DW$8="判定対象外",TRUE,FALSE)</formula>
    </cfRule>
  </conditionalFormatting>
  <conditionalFormatting sqref="DV50">
    <cfRule type="expression" dxfId="2555" priority="2702" stopIfTrue="1">
      <formula>IF(DW$8="判定対象外",TRUE,FALSE)</formula>
    </cfRule>
  </conditionalFormatting>
  <conditionalFormatting sqref="DV53 DV56 DV68 DV71">
    <cfRule type="expression" dxfId="2554" priority="2701" stopIfTrue="1">
      <formula>IF(DW$8="判定対象外",TRUE,FALSE)</formula>
    </cfRule>
  </conditionalFormatting>
  <conditionalFormatting sqref="DV54 DV57 DV69">
    <cfRule type="expression" dxfId="2553" priority="2700" stopIfTrue="1">
      <formula>IF(DW$8="判定対象外",TRUE,FALSE)</formula>
    </cfRule>
  </conditionalFormatting>
  <conditionalFormatting sqref="DY57">
    <cfRule type="expression" dxfId="2552" priority="2698" stopIfTrue="1">
      <formula>IF(DY57="-",TRUE,FALSE)</formula>
    </cfRule>
    <cfRule type="expression" dxfId="2551" priority="2699" stopIfTrue="1">
      <formula>IF(OR(DY57="OK"),FALSE,TRUE)</formula>
    </cfRule>
  </conditionalFormatting>
  <conditionalFormatting sqref="DX57">
    <cfRule type="expression" dxfId="2550" priority="2697" stopIfTrue="1">
      <formula>IF(DW$8="判定対象外",TRUE,FALSE)</formula>
    </cfRule>
  </conditionalFormatting>
  <conditionalFormatting sqref="DW57">
    <cfRule type="expression" dxfId="2549" priority="2696" stopIfTrue="1">
      <formula>IF(DW$8="判定対象外",TRUE,FALSE)</formula>
    </cfRule>
  </conditionalFormatting>
  <conditionalFormatting sqref="DY67:DY70">
    <cfRule type="expression" dxfId="2548" priority="2694" stopIfTrue="1">
      <formula>IF(DY67="-",TRUE,FALSE)</formula>
    </cfRule>
    <cfRule type="expression" dxfId="2547" priority="2695" stopIfTrue="1">
      <formula>IF(OR(DY67="OK"),FALSE,TRUE)</formula>
    </cfRule>
  </conditionalFormatting>
  <conditionalFormatting sqref="DX67:DX70">
    <cfRule type="expression" dxfId="2546" priority="2693" stopIfTrue="1">
      <formula>IF(DW$8="判定対象外",TRUE,FALSE)</formula>
    </cfRule>
  </conditionalFormatting>
  <conditionalFormatting sqref="DW67:DW70">
    <cfRule type="expression" dxfId="2545" priority="2692" stopIfTrue="1">
      <formula>IF(DW$8="判定対象外",TRUE,FALSE)</formula>
    </cfRule>
  </conditionalFormatting>
  <conditionalFormatting sqref="EC8:EC10">
    <cfRule type="expression" dxfId="2544" priority="2690" stopIfTrue="1">
      <formula>IF(EC8="-",TRUE,FALSE)</formula>
    </cfRule>
    <cfRule type="expression" dxfId="2543" priority="2691" stopIfTrue="1">
      <formula>IF(OR(EC8="OK"),FALSE,TRUE)</formula>
    </cfRule>
  </conditionalFormatting>
  <conditionalFormatting sqref="DZ8:DZ10">
    <cfRule type="expression" dxfId="2542" priority="2689" stopIfTrue="1">
      <formula>IF(EA$8="判定対象外",TRUE,FALSE)</formula>
    </cfRule>
  </conditionalFormatting>
  <conditionalFormatting sqref="EA8:EA10">
    <cfRule type="expression" dxfId="2541" priority="2688" stopIfTrue="1">
      <formula>IF(EA$8="判定対象外",TRUE,FALSE)</formula>
    </cfRule>
  </conditionalFormatting>
  <conditionalFormatting sqref="EB8:EB10">
    <cfRule type="expression" dxfId="2540" priority="2687" stopIfTrue="1">
      <formula>IF(EA$8="判定対象外",TRUE,FALSE)</formula>
    </cfRule>
  </conditionalFormatting>
  <conditionalFormatting sqref="EC11:EC34 EC71:EC81 EC36:EC56">
    <cfRule type="expression" dxfId="2539" priority="2684" stopIfTrue="1">
      <formula>IF(EC11="-",TRUE,FALSE)</formula>
    </cfRule>
    <cfRule type="expression" dxfId="2538" priority="2685" stopIfTrue="1">
      <formula>IF(OR(EC11="OK"),FALSE,TRUE)</formula>
    </cfRule>
  </conditionalFormatting>
  <conditionalFormatting sqref="EB11:EB34 EB71:EB81 EB36:EB56">
    <cfRule type="expression" dxfId="2537" priority="2683" stopIfTrue="1">
      <formula>IF(EA$8="判定対象外",TRUE,FALSE)</formula>
    </cfRule>
  </conditionalFormatting>
  <conditionalFormatting sqref="DZ72:DZ81 DZ21:DZ34 DZ36:DZ46">
    <cfRule type="expression" dxfId="2536" priority="2682" stopIfTrue="1">
      <formula>IF(EA$8="判定対象外",TRUE,FALSE)</formula>
    </cfRule>
  </conditionalFormatting>
  <conditionalFormatting sqref="DZ29:DZ32">
    <cfRule type="expression" dxfId="2535" priority="2681" stopIfTrue="1">
      <formula>IF(EA$8="判定対象外",TRUE,FALSE)</formula>
    </cfRule>
  </conditionalFormatting>
  <conditionalFormatting sqref="DZ42:DZ44">
    <cfRule type="expression" dxfId="2534" priority="2680" stopIfTrue="1">
      <formula>IF(EA$8="判定対象外",TRUE,FALSE)</formula>
    </cfRule>
  </conditionalFormatting>
  <conditionalFormatting sqref="DZ46">
    <cfRule type="expression" dxfId="2533" priority="2679" stopIfTrue="1">
      <formula>IF(EA$8="判定対象外",TRUE,FALSE)</formula>
    </cfRule>
  </conditionalFormatting>
  <conditionalFormatting sqref="DZ42:DZ44">
    <cfRule type="expression" dxfId="2532" priority="2678" stopIfTrue="1">
      <formula>IF(EA$8="判定対象外",TRUE,FALSE)</formula>
    </cfRule>
  </conditionalFormatting>
  <conditionalFormatting sqref="DZ42:DZ44">
    <cfRule type="expression" dxfId="2531" priority="2677" stopIfTrue="1">
      <formula>IF(EA$8="判定対象外",TRUE,FALSE)</formula>
    </cfRule>
  </conditionalFormatting>
  <conditionalFormatting sqref="DZ42:DZ44">
    <cfRule type="expression" dxfId="2530" priority="2676" stopIfTrue="1">
      <formula>IF(EA$8="判定対象外",TRUE,FALSE)</formula>
    </cfRule>
  </conditionalFormatting>
  <conditionalFormatting sqref="DZ42:DZ44">
    <cfRule type="expression" dxfId="2529" priority="2675" stopIfTrue="1">
      <formula>IF(EA$8="判定対象外",TRUE,FALSE)</formula>
    </cfRule>
  </conditionalFormatting>
  <conditionalFormatting sqref="DZ42:DZ44">
    <cfRule type="expression" dxfId="2528" priority="2674" stopIfTrue="1">
      <formula>IF(EA$8="判定対象外",TRUE,FALSE)</formula>
    </cfRule>
  </conditionalFormatting>
  <conditionalFormatting sqref="DZ42:DZ44">
    <cfRule type="expression" dxfId="2527" priority="2673" stopIfTrue="1">
      <formula>IF(EA$8="判定対象外",TRUE,FALSE)</formula>
    </cfRule>
  </conditionalFormatting>
  <conditionalFormatting sqref="DZ42:DZ44">
    <cfRule type="expression" dxfId="2526" priority="2672" stopIfTrue="1">
      <formula>IF(EA$8="判定対象外",TRUE,FALSE)</formula>
    </cfRule>
  </conditionalFormatting>
  <conditionalFormatting sqref="DZ38">
    <cfRule type="expression" dxfId="2525" priority="2686" stopIfTrue="1">
      <formula>IF(#REF!="判定対象外",TRUE,FALSE)</formula>
    </cfRule>
  </conditionalFormatting>
  <conditionalFormatting sqref="EA11:EA34 EA71:EA81 EA36:EA56">
    <cfRule type="expression" dxfId="2524" priority="2671" stopIfTrue="1">
      <formula>IF(EA$8="判定対象外",TRUE,FALSE)</formula>
    </cfRule>
  </conditionalFormatting>
  <conditionalFormatting sqref="DZ48">
    <cfRule type="expression" dxfId="2523" priority="2670" stopIfTrue="1">
      <formula>IF(EA$8="判定対象外",TRUE,FALSE)</formula>
    </cfRule>
  </conditionalFormatting>
  <conditionalFormatting sqref="DZ51">
    <cfRule type="expression" dxfId="2522" priority="2669" stopIfTrue="1">
      <formula>IF(EA$8="判定対象外",TRUE,FALSE)</formula>
    </cfRule>
  </conditionalFormatting>
  <conditionalFormatting sqref="DZ52 DZ55 DZ67 DZ70">
    <cfRule type="expression" dxfId="2521" priority="2668" stopIfTrue="1">
      <formula>IF(EA$8="判定対象外",TRUE,FALSE)</formula>
    </cfRule>
  </conditionalFormatting>
  <conditionalFormatting sqref="DZ11:DZ20">
    <cfRule type="expression" dxfId="2520" priority="2667" stopIfTrue="1">
      <formula>IF(EA$8="判定対象外",TRUE,FALSE)</formula>
    </cfRule>
  </conditionalFormatting>
  <conditionalFormatting sqref="DZ16:DZ18">
    <cfRule type="expression" dxfId="2519" priority="2666" stopIfTrue="1">
      <formula>IF(EA$8="判定対象外",TRUE,FALSE)</formula>
    </cfRule>
  </conditionalFormatting>
  <conditionalFormatting sqref="DZ20">
    <cfRule type="expression" dxfId="2518" priority="2665" stopIfTrue="1">
      <formula>IF(EA$8="判定対象外",TRUE,FALSE)</formula>
    </cfRule>
  </conditionalFormatting>
  <conditionalFormatting sqref="DZ16:DZ20">
    <cfRule type="expression" dxfId="2517" priority="2664" stopIfTrue="1">
      <formula>IF(EA$8="判定対象外",TRUE,FALSE)</formula>
    </cfRule>
  </conditionalFormatting>
  <conditionalFormatting sqref="DZ11:DZ20">
    <cfRule type="expression" dxfId="2516" priority="2663" stopIfTrue="1">
      <formula>IF(EA$8="判定対象外",TRUE,FALSE)</formula>
    </cfRule>
  </conditionalFormatting>
  <conditionalFormatting sqref="DZ16:DZ18">
    <cfRule type="expression" dxfId="2515" priority="2662" stopIfTrue="1">
      <formula>IF(EA$8="判定対象外",TRUE,FALSE)</formula>
    </cfRule>
  </conditionalFormatting>
  <conditionalFormatting sqref="DZ20">
    <cfRule type="expression" dxfId="2514" priority="2661" stopIfTrue="1">
      <formula>IF(EA$8="判定対象外",TRUE,FALSE)</formula>
    </cfRule>
  </conditionalFormatting>
  <conditionalFormatting sqref="DZ16:DZ20">
    <cfRule type="expression" dxfId="2513" priority="2660" stopIfTrue="1">
      <formula>IF(EA$8="判定対象外",TRUE,FALSE)</formula>
    </cfRule>
  </conditionalFormatting>
  <conditionalFormatting sqref="DZ11:DZ20">
    <cfRule type="expression" dxfId="2512" priority="2659" stopIfTrue="1">
      <formula>IF(EA$8="判定対象外",TRUE,FALSE)</formula>
    </cfRule>
  </conditionalFormatting>
  <conditionalFormatting sqref="DZ16:DZ18">
    <cfRule type="expression" dxfId="2511" priority="2658" stopIfTrue="1">
      <formula>IF(EA$8="判定対象外",TRUE,FALSE)</formula>
    </cfRule>
  </conditionalFormatting>
  <conditionalFormatting sqref="DZ20">
    <cfRule type="expression" dxfId="2510" priority="2657" stopIfTrue="1">
      <formula>IF(EA$8="判定対象外",TRUE,FALSE)</formula>
    </cfRule>
  </conditionalFormatting>
  <conditionalFormatting sqref="DZ16:DZ20">
    <cfRule type="expression" dxfId="2509" priority="2656" stopIfTrue="1">
      <formula>IF(EA$8="判定対象外",TRUE,FALSE)</formula>
    </cfRule>
  </conditionalFormatting>
  <conditionalFormatting sqref="DZ11:DZ13">
    <cfRule type="expression" dxfId="2508" priority="2655" stopIfTrue="1">
      <formula>IF(EA$8="判定対象外",TRUE,FALSE)</formula>
    </cfRule>
  </conditionalFormatting>
  <conditionalFormatting sqref="DZ15">
    <cfRule type="expression" dxfId="2507" priority="2654" stopIfTrue="1">
      <formula>IF(EA$8="判定対象外",TRUE,FALSE)</formula>
    </cfRule>
  </conditionalFormatting>
  <conditionalFormatting sqref="DZ19">
    <cfRule type="expression" dxfId="2506" priority="2653" stopIfTrue="1">
      <formula>IF(EA$8="判定対象外",TRUE,FALSE)</formula>
    </cfRule>
  </conditionalFormatting>
  <conditionalFormatting sqref="DZ19">
    <cfRule type="expression" dxfId="2505" priority="2652" stopIfTrue="1">
      <formula>IF(EA$8="判定対象外",TRUE,FALSE)</formula>
    </cfRule>
  </conditionalFormatting>
  <conditionalFormatting sqref="DZ20">
    <cfRule type="expression" dxfId="2504" priority="2651" stopIfTrue="1">
      <formula>IF(EA$8="判定対象外",TRUE,FALSE)</formula>
    </cfRule>
  </conditionalFormatting>
  <conditionalFormatting sqref="DZ20">
    <cfRule type="expression" dxfId="2503" priority="2650" stopIfTrue="1">
      <formula>IF(EA$8="判定対象外",TRUE,FALSE)</formula>
    </cfRule>
  </conditionalFormatting>
  <conditionalFormatting sqref="DZ20">
    <cfRule type="expression" dxfId="2502" priority="2649" stopIfTrue="1">
      <formula>IF(EA$8="判定対象外",TRUE,FALSE)</formula>
    </cfRule>
  </conditionalFormatting>
  <conditionalFormatting sqref="DZ13">
    <cfRule type="expression" dxfId="2501" priority="2648" stopIfTrue="1">
      <formula>IF(EA$8="判定対象外",TRUE,FALSE)</formula>
    </cfRule>
  </conditionalFormatting>
  <conditionalFormatting sqref="DZ47">
    <cfRule type="expression" dxfId="2500" priority="2647" stopIfTrue="1">
      <formula>IF(EA$8="判定対象外",TRUE,FALSE)</formula>
    </cfRule>
  </conditionalFormatting>
  <conditionalFormatting sqref="DZ47">
    <cfRule type="expression" dxfId="2499" priority="2646" stopIfTrue="1">
      <formula>IF(EA$8="判定対象外",TRUE,FALSE)</formula>
    </cfRule>
  </conditionalFormatting>
  <conditionalFormatting sqref="DZ49">
    <cfRule type="expression" dxfId="2498" priority="2645" stopIfTrue="1">
      <formula>IF(EA$8="判定対象外",TRUE,FALSE)</formula>
    </cfRule>
  </conditionalFormatting>
  <conditionalFormatting sqref="DZ49">
    <cfRule type="expression" dxfId="2497" priority="2644" stopIfTrue="1">
      <formula>IF(EA$8="判定対象外",TRUE,FALSE)</formula>
    </cfRule>
  </conditionalFormatting>
  <conditionalFormatting sqref="DZ50">
    <cfRule type="expression" dxfId="2496" priority="2643" stopIfTrue="1">
      <formula>IF(EA$8="判定対象外",TRUE,FALSE)</formula>
    </cfRule>
  </conditionalFormatting>
  <conditionalFormatting sqref="DZ50">
    <cfRule type="expression" dxfId="2495" priority="2642" stopIfTrue="1">
      <formula>IF(EA$8="判定対象外",TRUE,FALSE)</formula>
    </cfRule>
  </conditionalFormatting>
  <conditionalFormatting sqref="DZ53 DZ56 DZ68 DZ71">
    <cfRule type="expression" dxfId="2494" priority="2641" stopIfTrue="1">
      <formula>IF(EA$8="判定対象外",TRUE,FALSE)</formula>
    </cfRule>
  </conditionalFormatting>
  <conditionalFormatting sqref="DZ54 DZ57 DZ69">
    <cfRule type="expression" dxfId="2493" priority="2640" stopIfTrue="1">
      <formula>IF(EA$8="判定対象外",TRUE,FALSE)</formula>
    </cfRule>
  </conditionalFormatting>
  <conditionalFormatting sqref="EC57">
    <cfRule type="expression" dxfId="2492" priority="2638" stopIfTrue="1">
      <formula>IF(EC57="-",TRUE,FALSE)</formula>
    </cfRule>
    <cfRule type="expression" dxfId="2491" priority="2639" stopIfTrue="1">
      <formula>IF(OR(EC57="OK"),FALSE,TRUE)</formula>
    </cfRule>
  </conditionalFormatting>
  <conditionalFormatting sqref="EB57">
    <cfRule type="expression" dxfId="2490" priority="2637" stopIfTrue="1">
      <formula>IF(EA$8="判定対象外",TRUE,FALSE)</formula>
    </cfRule>
  </conditionalFormatting>
  <conditionalFormatting sqref="EA57">
    <cfRule type="expression" dxfId="2489" priority="2636" stopIfTrue="1">
      <formula>IF(EA$8="判定対象外",TRUE,FALSE)</formula>
    </cfRule>
  </conditionalFormatting>
  <conditionalFormatting sqref="EC67:EC70">
    <cfRule type="expression" dxfId="2488" priority="2634" stopIfTrue="1">
      <formula>IF(EC67="-",TRUE,FALSE)</formula>
    </cfRule>
    <cfRule type="expression" dxfId="2487" priority="2635" stopIfTrue="1">
      <formula>IF(OR(EC67="OK"),FALSE,TRUE)</formula>
    </cfRule>
  </conditionalFormatting>
  <conditionalFormatting sqref="EB67:EB70">
    <cfRule type="expression" dxfId="2486" priority="2633" stopIfTrue="1">
      <formula>IF(EA$8="判定対象外",TRUE,FALSE)</formula>
    </cfRule>
  </conditionalFormatting>
  <conditionalFormatting sqref="EA67:EA70">
    <cfRule type="expression" dxfId="2485" priority="2632" stopIfTrue="1">
      <formula>IF(EA$8="判定対象外",TRUE,FALSE)</formula>
    </cfRule>
  </conditionalFormatting>
  <conditionalFormatting sqref="ED29:ED32">
    <cfRule type="expression" dxfId="2484" priority="2621" stopIfTrue="1">
      <formula>IF(EE$8="判定対象外",TRUE,FALSE)</formula>
    </cfRule>
  </conditionalFormatting>
  <conditionalFormatting sqref="EG8:EG10">
    <cfRule type="expression" dxfId="2483" priority="2630" stopIfTrue="1">
      <formula>IF(EG8="-",TRUE,FALSE)</formula>
    </cfRule>
    <cfRule type="expression" dxfId="2482" priority="2631" stopIfTrue="1">
      <formula>IF(OR(EG8="OK"),FALSE,TRUE)</formula>
    </cfRule>
  </conditionalFormatting>
  <conditionalFormatting sqref="ED8:ED10">
    <cfRule type="expression" dxfId="2481" priority="2629" stopIfTrue="1">
      <formula>IF(EE$8="判定対象外",TRUE,FALSE)</formula>
    </cfRule>
  </conditionalFormatting>
  <conditionalFormatting sqref="EE8:EE10">
    <cfRule type="expression" dxfId="2480" priority="2628" stopIfTrue="1">
      <formula>IF(EE$8="判定対象外",TRUE,FALSE)</formula>
    </cfRule>
  </conditionalFormatting>
  <conditionalFormatting sqref="EF8:EF10">
    <cfRule type="expression" dxfId="2479" priority="2627" stopIfTrue="1">
      <formula>IF(EE$8="判定対象外",TRUE,FALSE)</formula>
    </cfRule>
  </conditionalFormatting>
  <conditionalFormatting sqref="EG11:EG34 EG71:EG81 EG36:EG56">
    <cfRule type="expression" dxfId="2478" priority="2624" stopIfTrue="1">
      <formula>IF(EG11="-",TRUE,FALSE)</formula>
    </cfRule>
    <cfRule type="expression" dxfId="2477" priority="2625" stopIfTrue="1">
      <formula>IF(OR(EG11="OK"),FALSE,TRUE)</formula>
    </cfRule>
  </conditionalFormatting>
  <conditionalFormatting sqref="EF11:EF34 EF71:EF81 EF36:EF56">
    <cfRule type="expression" dxfId="2476" priority="2623" stopIfTrue="1">
      <formula>IF(EE$8="判定対象外",TRUE,FALSE)</formula>
    </cfRule>
  </conditionalFormatting>
  <conditionalFormatting sqref="ED72:ED81 ED21:ED34 ED36:ED46">
    <cfRule type="expression" dxfId="2475" priority="2622" stopIfTrue="1">
      <formula>IF(EE$8="判定対象外",TRUE,FALSE)</formula>
    </cfRule>
  </conditionalFormatting>
  <conditionalFormatting sqref="ED42:ED44">
    <cfRule type="expression" dxfId="2474" priority="2620" stopIfTrue="1">
      <formula>IF(EE$8="判定対象外",TRUE,FALSE)</formula>
    </cfRule>
  </conditionalFormatting>
  <conditionalFormatting sqref="ED46">
    <cfRule type="expression" dxfId="2473" priority="2619" stopIfTrue="1">
      <formula>IF(EE$8="判定対象外",TRUE,FALSE)</formula>
    </cfRule>
  </conditionalFormatting>
  <conditionalFormatting sqref="ED42:ED44">
    <cfRule type="expression" dxfId="2472" priority="2618" stopIfTrue="1">
      <formula>IF(EE$8="判定対象外",TRUE,FALSE)</formula>
    </cfRule>
  </conditionalFormatting>
  <conditionalFormatting sqref="ED42:ED44">
    <cfRule type="expression" dxfId="2471" priority="2617" stopIfTrue="1">
      <formula>IF(EE$8="判定対象外",TRUE,FALSE)</formula>
    </cfRule>
  </conditionalFormatting>
  <conditionalFormatting sqref="ED42:ED44">
    <cfRule type="expression" dxfId="2470" priority="2616" stopIfTrue="1">
      <formula>IF(EE$8="判定対象外",TRUE,FALSE)</formula>
    </cfRule>
  </conditionalFormatting>
  <conditionalFormatting sqref="ED42:ED44">
    <cfRule type="expression" dxfId="2469" priority="2615" stopIfTrue="1">
      <formula>IF(EE$8="判定対象外",TRUE,FALSE)</formula>
    </cfRule>
  </conditionalFormatting>
  <conditionalFormatting sqref="ED42:ED44">
    <cfRule type="expression" dxfId="2468" priority="2614" stopIfTrue="1">
      <formula>IF(EE$8="判定対象外",TRUE,FALSE)</formula>
    </cfRule>
  </conditionalFormatting>
  <conditionalFormatting sqref="ED42:ED44">
    <cfRule type="expression" dxfId="2467" priority="2613" stopIfTrue="1">
      <formula>IF(EE$8="判定対象外",TRUE,FALSE)</formula>
    </cfRule>
  </conditionalFormatting>
  <conditionalFormatting sqref="ED42:ED44">
    <cfRule type="expression" dxfId="2466" priority="2612" stopIfTrue="1">
      <formula>IF(EE$8="判定対象外",TRUE,FALSE)</formula>
    </cfRule>
  </conditionalFormatting>
  <conditionalFormatting sqref="ED38">
    <cfRule type="expression" dxfId="2465" priority="2626" stopIfTrue="1">
      <formula>IF(#REF!="判定対象外",TRUE,FALSE)</formula>
    </cfRule>
  </conditionalFormatting>
  <conditionalFormatting sqref="EE11:EE34 EE71:EE81 EE36:EE56">
    <cfRule type="expression" dxfId="2464" priority="2611" stopIfTrue="1">
      <formula>IF(EE$8="判定対象外",TRUE,FALSE)</formula>
    </cfRule>
  </conditionalFormatting>
  <conditionalFormatting sqref="ED48">
    <cfRule type="expression" dxfId="2463" priority="2610" stopIfTrue="1">
      <formula>IF(EE$8="判定対象外",TRUE,FALSE)</formula>
    </cfRule>
  </conditionalFormatting>
  <conditionalFormatting sqref="ED51">
    <cfRule type="expression" dxfId="2462" priority="2609" stopIfTrue="1">
      <formula>IF(EE$8="判定対象外",TRUE,FALSE)</formula>
    </cfRule>
  </conditionalFormatting>
  <conditionalFormatting sqref="ED52 ED55 ED67 ED70">
    <cfRule type="expression" dxfId="2461" priority="2608" stopIfTrue="1">
      <formula>IF(EE$8="判定対象外",TRUE,FALSE)</formula>
    </cfRule>
  </conditionalFormatting>
  <conditionalFormatting sqref="ED11:ED20">
    <cfRule type="expression" dxfId="2460" priority="2607" stopIfTrue="1">
      <formula>IF(EE$8="判定対象外",TRUE,FALSE)</formula>
    </cfRule>
  </conditionalFormatting>
  <conditionalFormatting sqref="ED16:ED18">
    <cfRule type="expression" dxfId="2459" priority="2606" stopIfTrue="1">
      <formula>IF(EE$8="判定対象外",TRUE,FALSE)</formula>
    </cfRule>
  </conditionalFormatting>
  <conditionalFormatting sqref="ED20">
    <cfRule type="expression" dxfId="2458" priority="2605" stopIfTrue="1">
      <formula>IF(EE$8="判定対象外",TRUE,FALSE)</formula>
    </cfRule>
  </conditionalFormatting>
  <conditionalFormatting sqref="ED16:ED20">
    <cfRule type="expression" dxfId="2457" priority="2604" stopIfTrue="1">
      <formula>IF(EE$8="判定対象外",TRUE,FALSE)</formula>
    </cfRule>
  </conditionalFormatting>
  <conditionalFormatting sqref="ED11:ED20">
    <cfRule type="expression" dxfId="2456" priority="2603" stopIfTrue="1">
      <formula>IF(EE$8="判定対象外",TRUE,FALSE)</formula>
    </cfRule>
  </conditionalFormatting>
  <conditionalFormatting sqref="ED20">
    <cfRule type="expression" dxfId="2455" priority="2601" stopIfTrue="1">
      <formula>IF(EE$8="判定対象外",TRUE,FALSE)</formula>
    </cfRule>
  </conditionalFormatting>
  <conditionalFormatting sqref="ED16:ED20">
    <cfRule type="expression" dxfId="2454" priority="2600" stopIfTrue="1">
      <formula>IF(EE$8="判定対象外",TRUE,FALSE)</formula>
    </cfRule>
  </conditionalFormatting>
  <conditionalFormatting sqref="ED11:ED20">
    <cfRule type="expression" dxfId="2453" priority="2599" stopIfTrue="1">
      <formula>IF(EE$8="判定対象外",TRUE,FALSE)</formula>
    </cfRule>
  </conditionalFormatting>
  <conditionalFormatting sqref="ED16:ED18">
    <cfRule type="expression" dxfId="2452" priority="2598" stopIfTrue="1">
      <formula>IF(EE$8="判定対象外",TRUE,FALSE)</formula>
    </cfRule>
  </conditionalFormatting>
  <conditionalFormatting sqref="ED20">
    <cfRule type="expression" dxfId="2451" priority="2597" stopIfTrue="1">
      <formula>IF(EE$8="判定対象外",TRUE,FALSE)</formula>
    </cfRule>
  </conditionalFormatting>
  <conditionalFormatting sqref="ED16:ED20">
    <cfRule type="expression" dxfId="2450" priority="2596" stopIfTrue="1">
      <formula>IF(EE$8="判定対象外",TRUE,FALSE)</formula>
    </cfRule>
  </conditionalFormatting>
  <conditionalFormatting sqref="ED11:ED13">
    <cfRule type="expression" dxfId="2449" priority="2595" stopIfTrue="1">
      <formula>IF(EE$8="判定対象外",TRUE,FALSE)</formula>
    </cfRule>
  </conditionalFormatting>
  <conditionalFormatting sqref="ED15">
    <cfRule type="expression" dxfId="2448" priority="2594" stopIfTrue="1">
      <formula>IF(EE$8="判定対象外",TRUE,FALSE)</formula>
    </cfRule>
  </conditionalFormatting>
  <conditionalFormatting sqref="ED19">
    <cfRule type="expression" dxfId="2447" priority="2593" stopIfTrue="1">
      <formula>IF(EE$8="判定対象外",TRUE,FALSE)</formula>
    </cfRule>
  </conditionalFormatting>
  <conditionalFormatting sqref="ED20">
    <cfRule type="expression" dxfId="2446" priority="2591" stopIfTrue="1">
      <formula>IF(EE$8="判定対象外",TRUE,FALSE)</formula>
    </cfRule>
  </conditionalFormatting>
  <conditionalFormatting sqref="ED20">
    <cfRule type="expression" dxfId="2445" priority="2590" stopIfTrue="1">
      <formula>IF(EE$8="判定対象外",TRUE,FALSE)</formula>
    </cfRule>
  </conditionalFormatting>
  <conditionalFormatting sqref="ED20">
    <cfRule type="expression" dxfId="2444" priority="2589" stopIfTrue="1">
      <formula>IF(EE$8="判定対象外",TRUE,FALSE)</formula>
    </cfRule>
  </conditionalFormatting>
  <conditionalFormatting sqref="ED13">
    <cfRule type="expression" dxfId="2443" priority="2588" stopIfTrue="1">
      <formula>IF(EE$8="判定対象外",TRUE,FALSE)</formula>
    </cfRule>
  </conditionalFormatting>
  <conditionalFormatting sqref="ED47">
    <cfRule type="expression" dxfId="2442" priority="2587" stopIfTrue="1">
      <formula>IF(EE$8="判定対象外",TRUE,FALSE)</formula>
    </cfRule>
  </conditionalFormatting>
  <conditionalFormatting sqref="ED47">
    <cfRule type="expression" dxfId="2441" priority="2586" stopIfTrue="1">
      <formula>IF(EE$8="判定対象外",TRUE,FALSE)</formula>
    </cfRule>
  </conditionalFormatting>
  <conditionalFormatting sqref="ED49">
    <cfRule type="expression" dxfId="2440" priority="2585" stopIfTrue="1">
      <formula>IF(EE$8="判定対象外",TRUE,FALSE)</formula>
    </cfRule>
  </conditionalFormatting>
  <conditionalFormatting sqref="ED49">
    <cfRule type="expression" dxfId="2439" priority="2584" stopIfTrue="1">
      <formula>IF(EE$8="判定対象外",TRUE,FALSE)</formula>
    </cfRule>
  </conditionalFormatting>
  <conditionalFormatting sqref="ED50">
    <cfRule type="expression" dxfId="2438" priority="2583" stopIfTrue="1">
      <formula>IF(EE$8="判定対象外",TRUE,FALSE)</formula>
    </cfRule>
  </conditionalFormatting>
  <conditionalFormatting sqref="ED50">
    <cfRule type="expression" dxfId="2437" priority="2582" stopIfTrue="1">
      <formula>IF(EE$8="判定対象外",TRUE,FALSE)</formula>
    </cfRule>
  </conditionalFormatting>
  <conditionalFormatting sqref="ED54 ED57 ED69">
    <cfRule type="expression" dxfId="2436" priority="2580" stopIfTrue="1">
      <formula>IF(EE$8="判定対象外",TRUE,FALSE)</formula>
    </cfRule>
  </conditionalFormatting>
  <conditionalFormatting sqref="EG57">
    <cfRule type="expression" dxfId="2435" priority="2578" stopIfTrue="1">
      <formula>IF(EG57="-",TRUE,FALSE)</formula>
    </cfRule>
    <cfRule type="expression" dxfId="2434" priority="2579" stopIfTrue="1">
      <formula>IF(OR(EG57="OK"),FALSE,TRUE)</formula>
    </cfRule>
  </conditionalFormatting>
  <conditionalFormatting sqref="EF57">
    <cfRule type="expression" dxfId="2433" priority="2577" stopIfTrue="1">
      <formula>IF(EE$8="判定対象外",TRUE,FALSE)</formula>
    </cfRule>
  </conditionalFormatting>
  <conditionalFormatting sqref="EE57">
    <cfRule type="expression" dxfId="2432" priority="2576" stopIfTrue="1">
      <formula>IF(EE$8="判定対象外",TRUE,FALSE)</formula>
    </cfRule>
  </conditionalFormatting>
  <conditionalFormatting sqref="EG58:EG64">
    <cfRule type="expression" dxfId="2431" priority="2574" stopIfTrue="1">
      <formula>IF(EG58="-",TRUE,FALSE)</formula>
    </cfRule>
    <cfRule type="expression" dxfId="2430" priority="2575" stopIfTrue="1">
      <formula>IF(OR(EG58="OK"),FALSE,TRUE)</formula>
    </cfRule>
  </conditionalFormatting>
  <conditionalFormatting sqref="EF58:EF64">
    <cfRule type="expression" dxfId="2429" priority="2573" stopIfTrue="1">
      <formula>IF(EE$8="判定対象外",TRUE,FALSE)</formula>
    </cfRule>
  </conditionalFormatting>
  <conditionalFormatting sqref="EE58:EE64">
    <cfRule type="expression" dxfId="2428" priority="2572" stopIfTrue="1">
      <formula>IF(EE$8="判定対象外",TRUE,FALSE)</formula>
    </cfRule>
  </conditionalFormatting>
  <conditionalFormatting sqref="EG65:EG70">
    <cfRule type="expression" dxfId="2427" priority="2570" stopIfTrue="1">
      <formula>IF(EG65="-",TRUE,FALSE)</formula>
    </cfRule>
    <cfRule type="expression" dxfId="2426" priority="2571" stopIfTrue="1">
      <formula>IF(OR(EG65="OK"),FALSE,TRUE)</formula>
    </cfRule>
  </conditionalFormatting>
  <conditionalFormatting sqref="EF65:EF70">
    <cfRule type="expression" dxfId="2425" priority="2569" stopIfTrue="1">
      <formula>IF(EE$8="判定対象外",TRUE,FALSE)</formula>
    </cfRule>
  </conditionalFormatting>
  <conditionalFormatting sqref="EE65:EE70">
    <cfRule type="expression" dxfId="2424" priority="2568" stopIfTrue="1">
      <formula>IF(EE$8="判定対象外",TRUE,FALSE)</formula>
    </cfRule>
  </conditionalFormatting>
  <conditionalFormatting sqref="ED58">
    <cfRule type="expression" dxfId="2423" priority="2557" stopIfTrue="1">
      <formula>IF(EE$8="判定対象外",TRUE,FALSE)</formula>
    </cfRule>
  </conditionalFormatting>
  <conditionalFormatting sqref="DV58">
    <cfRule type="expression" dxfId="2422" priority="2567" stopIfTrue="1">
      <formula>IF(DW$8="判定対象外",TRUE,FALSE)</formula>
    </cfRule>
  </conditionalFormatting>
  <conditionalFormatting sqref="DY58">
    <cfRule type="expression" dxfId="2421" priority="2565" stopIfTrue="1">
      <formula>IF(DY58="-",TRUE,FALSE)</formula>
    </cfRule>
    <cfRule type="expression" dxfId="2420" priority="2566" stopIfTrue="1">
      <formula>IF(OR(DY58="OK"),FALSE,TRUE)</formula>
    </cfRule>
  </conditionalFormatting>
  <conditionalFormatting sqref="DX58">
    <cfRule type="expression" dxfId="2419" priority="2564" stopIfTrue="1">
      <formula>IF(DW$8="判定対象外",TRUE,FALSE)</formula>
    </cfRule>
  </conditionalFormatting>
  <conditionalFormatting sqref="DW58">
    <cfRule type="expression" dxfId="2418" priority="2563" stopIfTrue="1">
      <formula>IF(DW$8="判定対象外",TRUE,FALSE)</formula>
    </cfRule>
  </conditionalFormatting>
  <conditionalFormatting sqref="DZ58">
    <cfRule type="expression" dxfId="2417" priority="2562" stopIfTrue="1">
      <formula>IF(EA$8="判定対象外",TRUE,FALSE)</formula>
    </cfRule>
  </conditionalFormatting>
  <conditionalFormatting sqref="EC58">
    <cfRule type="expression" dxfId="2416" priority="2560" stopIfTrue="1">
      <formula>IF(EC58="-",TRUE,FALSE)</formula>
    </cfRule>
    <cfRule type="expression" dxfId="2415" priority="2561" stopIfTrue="1">
      <formula>IF(OR(EC58="OK"),FALSE,TRUE)</formula>
    </cfRule>
  </conditionalFormatting>
  <conditionalFormatting sqref="EB58">
    <cfRule type="expression" dxfId="2414" priority="2559" stopIfTrue="1">
      <formula>IF(EA$8="判定対象外",TRUE,FALSE)</formula>
    </cfRule>
  </conditionalFormatting>
  <conditionalFormatting sqref="EA58">
    <cfRule type="expression" dxfId="2413" priority="2558" stopIfTrue="1">
      <formula>IF(EA$8="判定対象外",TRUE,FALSE)</formula>
    </cfRule>
  </conditionalFormatting>
  <conditionalFormatting sqref="DZ59">
    <cfRule type="expression" dxfId="2412" priority="2551" stopIfTrue="1">
      <formula>IF(EA$8="判定対象外",TRUE,FALSE)</formula>
    </cfRule>
  </conditionalFormatting>
  <conditionalFormatting sqref="EC59">
    <cfRule type="expression" dxfId="2411" priority="2549" stopIfTrue="1">
      <formula>IF(EC59="-",TRUE,FALSE)</formula>
    </cfRule>
    <cfRule type="expression" dxfId="2410" priority="2550" stopIfTrue="1">
      <formula>IF(OR(EC59="OK"),FALSE,TRUE)</formula>
    </cfRule>
  </conditionalFormatting>
  <conditionalFormatting sqref="EB59">
    <cfRule type="expression" dxfId="2409" priority="2548" stopIfTrue="1">
      <formula>IF(EA$8="判定対象外",TRUE,FALSE)</formula>
    </cfRule>
  </conditionalFormatting>
  <conditionalFormatting sqref="EA59">
    <cfRule type="expression" dxfId="2408" priority="2547" stopIfTrue="1">
      <formula>IF(EA$8="判定対象外",TRUE,FALSE)</formula>
    </cfRule>
  </conditionalFormatting>
  <conditionalFormatting sqref="DZ60">
    <cfRule type="expression" dxfId="2407" priority="2540" stopIfTrue="1">
      <formula>IF(EA$8="判定対象外",TRUE,FALSE)</formula>
    </cfRule>
  </conditionalFormatting>
  <conditionalFormatting sqref="EC60">
    <cfRule type="expression" dxfId="2406" priority="2538" stopIfTrue="1">
      <formula>IF(EC60="-",TRUE,FALSE)</formula>
    </cfRule>
    <cfRule type="expression" dxfId="2405" priority="2539" stopIfTrue="1">
      <formula>IF(OR(EC60="OK"),FALSE,TRUE)</formula>
    </cfRule>
  </conditionalFormatting>
  <conditionalFormatting sqref="EB60">
    <cfRule type="expression" dxfId="2404" priority="2537" stopIfTrue="1">
      <formula>IF(EA$8="判定対象外",TRUE,FALSE)</formula>
    </cfRule>
  </conditionalFormatting>
  <conditionalFormatting sqref="EA60">
    <cfRule type="expression" dxfId="2403" priority="2536" stopIfTrue="1">
      <formula>IF(EA$8="判定対象外",TRUE,FALSE)</formula>
    </cfRule>
  </conditionalFormatting>
  <conditionalFormatting sqref="DZ61">
    <cfRule type="expression" dxfId="2402" priority="2529" stopIfTrue="1">
      <formula>IF(EA$8="判定対象外",TRUE,FALSE)</formula>
    </cfRule>
  </conditionalFormatting>
  <conditionalFormatting sqref="EC61">
    <cfRule type="expression" dxfId="2401" priority="2527" stopIfTrue="1">
      <formula>IF(EC61="-",TRUE,FALSE)</formula>
    </cfRule>
    <cfRule type="expression" dxfId="2400" priority="2528" stopIfTrue="1">
      <formula>IF(OR(EC61="OK"),FALSE,TRUE)</formula>
    </cfRule>
  </conditionalFormatting>
  <conditionalFormatting sqref="EB61">
    <cfRule type="expression" dxfId="2399" priority="2526" stopIfTrue="1">
      <formula>IF(EA$8="判定対象外",TRUE,FALSE)</formula>
    </cfRule>
  </conditionalFormatting>
  <conditionalFormatting sqref="EA61">
    <cfRule type="expression" dxfId="2398" priority="2525" stopIfTrue="1">
      <formula>IF(EA$8="判定対象外",TRUE,FALSE)</formula>
    </cfRule>
  </conditionalFormatting>
  <conditionalFormatting sqref="DZ62">
    <cfRule type="expression" dxfId="2397" priority="2518" stopIfTrue="1">
      <formula>IF(EA$8="判定対象外",TRUE,FALSE)</formula>
    </cfRule>
  </conditionalFormatting>
  <conditionalFormatting sqref="EC62">
    <cfRule type="expression" dxfId="2396" priority="2516" stopIfTrue="1">
      <formula>IF(EC62="-",TRUE,FALSE)</formula>
    </cfRule>
    <cfRule type="expression" dxfId="2395" priority="2517" stopIfTrue="1">
      <formula>IF(OR(EC62="OK"),FALSE,TRUE)</formula>
    </cfRule>
  </conditionalFormatting>
  <conditionalFormatting sqref="EB62">
    <cfRule type="expression" dxfId="2394" priority="2515" stopIfTrue="1">
      <formula>IF(EA$8="判定対象外",TRUE,FALSE)</formula>
    </cfRule>
  </conditionalFormatting>
  <conditionalFormatting sqref="EA62">
    <cfRule type="expression" dxfId="2393" priority="2514" stopIfTrue="1">
      <formula>IF(EA$8="判定対象外",TRUE,FALSE)</formula>
    </cfRule>
  </conditionalFormatting>
  <conditionalFormatting sqref="DZ63">
    <cfRule type="expression" dxfId="2392" priority="2507" stopIfTrue="1">
      <formula>IF(EA$8="判定対象外",TRUE,FALSE)</formula>
    </cfRule>
  </conditionalFormatting>
  <conditionalFormatting sqref="EC63">
    <cfRule type="expression" dxfId="2391" priority="2505" stopIfTrue="1">
      <formula>IF(EC63="-",TRUE,FALSE)</formula>
    </cfRule>
    <cfRule type="expression" dxfId="2390" priority="2506" stopIfTrue="1">
      <formula>IF(OR(EC63="OK"),FALSE,TRUE)</formula>
    </cfRule>
  </conditionalFormatting>
  <conditionalFormatting sqref="EB63">
    <cfRule type="expression" dxfId="2389" priority="2504" stopIfTrue="1">
      <formula>IF(EA$8="判定対象外",TRUE,FALSE)</formula>
    </cfRule>
  </conditionalFormatting>
  <conditionalFormatting sqref="EA63">
    <cfRule type="expression" dxfId="2388" priority="2503" stopIfTrue="1">
      <formula>IF(EA$8="判定対象外",TRUE,FALSE)</formula>
    </cfRule>
  </conditionalFormatting>
  <conditionalFormatting sqref="DZ64">
    <cfRule type="expression" dxfId="2387" priority="2485" stopIfTrue="1">
      <formula>IF(EA$8="判定対象外",TRUE,FALSE)</formula>
    </cfRule>
  </conditionalFormatting>
  <conditionalFormatting sqref="EC64">
    <cfRule type="expression" dxfId="2386" priority="2483" stopIfTrue="1">
      <formula>IF(EC64="-",TRUE,FALSE)</formula>
    </cfRule>
    <cfRule type="expression" dxfId="2385" priority="2484" stopIfTrue="1">
      <formula>IF(OR(EC64="OK"),FALSE,TRUE)</formula>
    </cfRule>
  </conditionalFormatting>
  <conditionalFormatting sqref="EB64">
    <cfRule type="expression" dxfId="2384" priority="2482" stopIfTrue="1">
      <formula>IF(EA$8="判定対象外",TRUE,FALSE)</formula>
    </cfRule>
  </conditionalFormatting>
  <conditionalFormatting sqref="EA64">
    <cfRule type="expression" dxfId="2383" priority="2481" stopIfTrue="1">
      <formula>IF(EA$8="判定対象外",TRUE,FALSE)</formula>
    </cfRule>
  </conditionalFormatting>
  <conditionalFormatting sqref="EP67">
    <cfRule type="expression" dxfId="2382" priority="2164" stopIfTrue="1">
      <formula>IF(EQ$8="判定対象外",TRUE,FALSE)</formula>
    </cfRule>
  </conditionalFormatting>
  <conditionalFormatting sqref="DV66">
    <cfRule type="expression" dxfId="2381" priority="2479" stopIfTrue="1">
      <formula>IF(DW$8="判定対象外",TRUE,FALSE)</formula>
    </cfRule>
  </conditionalFormatting>
  <conditionalFormatting sqref="DY66">
    <cfRule type="expression" dxfId="2380" priority="2477" stopIfTrue="1">
      <formula>IF(DY66="-",TRUE,FALSE)</formula>
    </cfRule>
    <cfRule type="expression" dxfId="2379" priority="2478" stopIfTrue="1">
      <formula>IF(OR(DY66="OK"),FALSE,TRUE)</formula>
    </cfRule>
  </conditionalFormatting>
  <conditionalFormatting sqref="DX66">
    <cfRule type="expression" dxfId="2378" priority="2476" stopIfTrue="1">
      <formula>IF(DW$8="判定対象外",TRUE,FALSE)</formula>
    </cfRule>
  </conditionalFormatting>
  <conditionalFormatting sqref="DW66">
    <cfRule type="expression" dxfId="2377" priority="2475" stopIfTrue="1">
      <formula>IF(DW$8="判定対象外",TRUE,FALSE)</formula>
    </cfRule>
  </conditionalFormatting>
  <conditionalFormatting sqref="EC66">
    <cfRule type="expression" dxfId="2376" priority="2473" stopIfTrue="1">
      <formula>IF(EC66="-",TRUE,FALSE)</formula>
    </cfRule>
    <cfRule type="expression" dxfId="2375" priority="2474" stopIfTrue="1">
      <formula>IF(OR(EC66="OK"),FALSE,TRUE)</formula>
    </cfRule>
  </conditionalFormatting>
  <conditionalFormatting sqref="EB66">
    <cfRule type="expression" dxfId="2374" priority="2472" stopIfTrue="1">
      <formula>IF(EA$8="判定対象外",TRUE,FALSE)</formula>
    </cfRule>
  </conditionalFormatting>
  <conditionalFormatting sqref="EA66">
    <cfRule type="expression" dxfId="2373" priority="2471" stopIfTrue="1">
      <formula>IF(EA$8="判定対象外",TRUE,FALSE)</formula>
    </cfRule>
  </conditionalFormatting>
  <conditionalFormatting sqref="DV65">
    <cfRule type="expression" dxfId="2372" priority="2468" stopIfTrue="1">
      <formula>IF(DW$8="判定対象外",TRUE,FALSE)</formula>
    </cfRule>
  </conditionalFormatting>
  <conditionalFormatting sqref="DY65">
    <cfRule type="expression" dxfId="2371" priority="2466" stopIfTrue="1">
      <formula>IF(DY65="-",TRUE,FALSE)</formula>
    </cfRule>
    <cfRule type="expression" dxfId="2370" priority="2467" stopIfTrue="1">
      <formula>IF(OR(DY65="OK"),FALSE,TRUE)</formula>
    </cfRule>
  </conditionalFormatting>
  <conditionalFormatting sqref="DX65">
    <cfRule type="expression" dxfId="2369" priority="2465" stopIfTrue="1">
      <formula>IF(DW$8="判定対象外",TRUE,FALSE)</formula>
    </cfRule>
  </conditionalFormatting>
  <conditionalFormatting sqref="DW65">
    <cfRule type="expression" dxfId="2368" priority="2464" stopIfTrue="1">
      <formula>IF(DW$8="判定対象外",TRUE,FALSE)</formula>
    </cfRule>
  </conditionalFormatting>
  <conditionalFormatting sqref="DZ65">
    <cfRule type="expression" dxfId="2367" priority="2463" stopIfTrue="1">
      <formula>IF(EA$8="判定対象外",TRUE,FALSE)</formula>
    </cfRule>
  </conditionalFormatting>
  <conditionalFormatting sqref="EC65">
    <cfRule type="expression" dxfId="2366" priority="2461" stopIfTrue="1">
      <formula>IF(EC65="-",TRUE,FALSE)</formula>
    </cfRule>
    <cfRule type="expression" dxfId="2365" priority="2462" stopIfTrue="1">
      <formula>IF(OR(EC65="OK"),FALSE,TRUE)</formula>
    </cfRule>
  </conditionalFormatting>
  <conditionalFormatting sqref="EB65">
    <cfRule type="expression" dxfId="2364" priority="2460" stopIfTrue="1">
      <formula>IF(EA$8="判定対象外",TRUE,FALSE)</formula>
    </cfRule>
  </conditionalFormatting>
  <conditionalFormatting sqref="EA65">
    <cfRule type="expression" dxfId="2363" priority="2459" stopIfTrue="1">
      <formula>IF(EA$8="判定対象外",TRUE,FALSE)</formula>
    </cfRule>
  </conditionalFormatting>
  <conditionalFormatting sqref="ED65">
    <cfRule type="expression" dxfId="2362" priority="2458" stopIfTrue="1">
      <formula>IF(EE$8="判定対象外",TRUE,FALSE)</formula>
    </cfRule>
  </conditionalFormatting>
  <conditionalFormatting sqref="EP64">
    <cfRule type="expression" dxfId="2361" priority="2197" stopIfTrue="1">
      <formula>IF(EQ$8="判定対象外",TRUE,FALSE)</formula>
    </cfRule>
  </conditionalFormatting>
  <conditionalFormatting sqref="EH64">
    <cfRule type="expression" dxfId="2360" priority="2207" stopIfTrue="1">
      <formula>IF(EI$8="判定対象外",TRUE,FALSE)</formula>
    </cfRule>
  </conditionalFormatting>
  <conditionalFormatting sqref="EK64">
    <cfRule type="expression" dxfId="2359" priority="2205" stopIfTrue="1">
      <formula>IF(EK64="-",TRUE,FALSE)</formula>
    </cfRule>
    <cfRule type="expression" dxfId="2358" priority="2206" stopIfTrue="1">
      <formula>IF(OR(EK64="OK"),FALSE,TRUE)</formula>
    </cfRule>
  </conditionalFormatting>
  <conditionalFormatting sqref="EJ64">
    <cfRule type="expression" dxfId="2357" priority="2204" stopIfTrue="1">
      <formula>IF(EI$8="判定対象外",TRUE,FALSE)</formula>
    </cfRule>
  </conditionalFormatting>
  <conditionalFormatting sqref="EI64">
    <cfRule type="expression" dxfId="2356" priority="2203" stopIfTrue="1">
      <formula>IF(EI$8="判定対象外",TRUE,FALSE)</formula>
    </cfRule>
  </conditionalFormatting>
  <conditionalFormatting sqref="EP63">
    <cfRule type="expression" dxfId="2355" priority="2208" stopIfTrue="1">
      <formula>IF(EQ$8="判定対象外",TRUE,FALSE)</formula>
    </cfRule>
  </conditionalFormatting>
  <conditionalFormatting sqref="EH63">
    <cfRule type="expression" dxfId="2354" priority="2218" stopIfTrue="1">
      <formula>IF(EI$8="判定対象外",TRUE,FALSE)</formula>
    </cfRule>
  </conditionalFormatting>
  <conditionalFormatting sqref="EK63">
    <cfRule type="expression" dxfId="2353" priority="2216" stopIfTrue="1">
      <formula>IF(EK63="-",TRUE,FALSE)</formula>
    </cfRule>
    <cfRule type="expression" dxfId="2352" priority="2217" stopIfTrue="1">
      <formula>IF(OR(EK63="OK"),FALSE,TRUE)</formula>
    </cfRule>
  </conditionalFormatting>
  <conditionalFormatting sqref="EJ63">
    <cfRule type="expression" dxfId="2351" priority="2215" stopIfTrue="1">
      <formula>IF(EI$8="判定対象外",TRUE,FALSE)</formula>
    </cfRule>
  </conditionalFormatting>
  <conditionalFormatting sqref="EI63">
    <cfRule type="expression" dxfId="2350" priority="2214" stopIfTrue="1">
      <formula>IF(EI$8="判定対象外",TRUE,FALSE)</formula>
    </cfRule>
  </conditionalFormatting>
  <conditionalFormatting sqref="EP62">
    <cfRule type="expression" dxfId="2349" priority="2219" stopIfTrue="1">
      <formula>IF(EQ$8="判定対象外",TRUE,FALSE)</formula>
    </cfRule>
  </conditionalFormatting>
  <conditionalFormatting sqref="EH62">
    <cfRule type="expression" dxfId="2348" priority="2229" stopIfTrue="1">
      <formula>IF(EI$8="判定対象外",TRUE,FALSE)</formula>
    </cfRule>
  </conditionalFormatting>
  <conditionalFormatting sqref="EK62">
    <cfRule type="expression" dxfId="2347" priority="2227" stopIfTrue="1">
      <formula>IF(EK62="-",TRUE,FALSE)</formula>
    </cfRule>
    <cfRule type="expression" dxfId="2346" priority="2228" stopIfTrue="1">
      <formula>IF(OR(EK62="OK"),FALSE,TRUE)</formula>
    </cfRule>
  </conditionalFormatting>
  <conditionalFormatting sqref="EJ62">
    <cfRule type="expression" dxfId="2345" priority="2226" stopIfTrue="1">
      <formula>IF(EI$8="判定対象外",TRUE,FALSE)</formula>
    </cfRule>
  </conditionalFormatting>
  <conditionalFormatting sqref="EI62">
    <cfRule type="expression" dxfId="2344" priority="2225" stopIfTrue="1">
      <formula>IF(EI$8="判定対象外",TRUE,FALSE)</formula>
    </cfRule>
  </conditionalFormatting>
  <conditionalFormatting sqref="EP61">
    <cfRule type="expression" dxfId="2343" priority="2230" stopIfTrue="1">
      <formula>IF(EQ$8="判定対象外",TRUE,FALSE)</formula>
    </cfRule>
  </conditionalFormatting>
  <conditionalFormatting sqref="EH61">
    <cfRule type="expression" dxfId="2342" priority="2240" stopIfTrue="1">
      <formula>IF(EI$8="判定対象外",TRUE,FALSE)</formula>
    </cfRule>
  </conditionalFormatting>
  <conditionalFormatting sqref="EK61">
    <cfRule type="expression" dxfId="2341" priority="2238" stopIfTrue="1">
      <formula>IF(EK61="-",TRUE,FALSE)</formula>
    </cfRule>
    <cfRule type="expression" dxfId="2340" priority="2239" stopIfTrue="1">
      <formula>IF(OR(EK61="OK"),FALSE,TRUE)</formula>
    </cfRule>
  </conditionalFormatting>
  <conditionalFormatting sqref="EJ61">
    <cfRule type="expression" dxfId="2339" priority="2237" stopIfTrue="1">
      <formula>IF(EI$8="判定対象外",TRUE,FALSE)</formula>
    </cfRule>
  </conditionalFormatting>
  <conditionalFormatting sqref="EI61">
    <cfRule type="expression" dxfId="2338" priority="2236" stopIfTrue="1">
      <formula>IF(EI$8="判定対象外",TRUE,FALSE)</formula>
    </cfRule>
  </conditionalFormatting>
  <conditionalFormatting sqref="EP60">
    <cfRule type="expression" dxfId="2337" priority="2241" stopIfTrue="1">
      <formula>IF(EQ$8="判定対象外",TRUE,FALSE)</formula>
    </cfRule>
  </conditionalFormatting>
  <conditionalFormatting sqref="EP53 EP56 EP68 EP71">
    <cfRule type="expression" dxfId="2336" priority="2287" stopIfTrue="1">
      <formula>IF(EQ$8="判定対象外",TRUE,FALSE)</formula>
    </cfRule>
  </conditionalFormatting>
  <conditionalFormatting sqref="EH60">
    <cfRule type="expression" dxfId="2335" priority="2251" stopIfTrue="1">
      <formula>IF(EI$8="判定対象外",TRUE,FALSE)</formula>
    </cfRule>
  </conditionalFormatting>
  <conditionalFormatting sqref="EK60">
    <cfRule type="expression" dxfId="2334" priority="2249" stopIfTrue="1">
      <formula>IF(EK60="-",TRUE,FALSE)</formula>
    </cfRule>
    <cfRule type="expression" dxfId="2333" priority="2250" stopIfTrue="1">
      <formula>IF(OR(EK60="OK"),FALSE,TRUE)</formula>
    </cfRule>
  </conditionalFormatting>
  <conditionalFormatting sqref="EJ60">
    <cfRule type="expression" dxfId="2332" priority="2248" stopIfTrue="1">
      <formula>IF(EI$8="判定対象外",TRUE,FALSE)</formula>
    </cfRule>
  </conditionalFormatting>
  <conditionalFormatting sqref="EI60">
    <cfRule type="expression" dxfId="2331" priority="2247" stopIfTrue="1">
      <formula>IF(EI$8="判定対象外",TRUE,FALSE)</formula>
    </cfRule>
  </conditionalFormatting>
  <conditionalFormatting sqref="EP19">
    <cfRule type="expression" dxfId="2330" priority="2298" stopIfTrue="1">
      <formula>IF(EQ$8="判定対象外",TRUE,FALSE)</formula>
    </cfRule>
  </conditionalFormatting>
  <conditionalFormatting sqref="EP59">
    <cfRule type="expression" dxfId="2329" priority="2252" stopIfTrue="1">
      <formula>IF(EQ$8="判定対象外",TRUE,FALSE)</formula>
    </cfRule>
  </conditionalFormatting>
  <conditionalFormatting sqref="EH59">
    <cfRule type="expression" dxfId="2328" priority="2262" stopIfTrue="1">
      <formula>IF(EI$8="判定対象外",TRUE,FALSE)</formula>
    </cfRule>
  </conditionalFormatting>
  <conditionalFormatting sqref="EK59">
    <cfRule type="expression" dxfId="2327" priority="2260" stopIfTrue="1">
      <formula>IF(EK59="-",TRUE,FALSE)</formula>
    </cfRule>
    <cfRule type="expression" dxfId="2326" priority="2261" stopIfTrue="1">
      <formula>IF(OR(EK59="OK"),FALSE,TRUE)</formula>
    </cfRule>
  </conditionalFormatting>
  <conditionalFormatting sqref="EJ59">
    <cfRule type="expression" dxfId="2325" priority="2259" stopIfTrue="1">
      <formula>IF(EI$8="判定対象外",TRUE,FALSE)</formula>
    </cfRule>
  </conditionalFormatting>
  <conditionalFormatting sqref="EI59">
    <cfRule type="expression" dxfId="2324" priority="2258" stopIfTrue="1">
      <formula>IF(EI$8="判定対象外",TRUE,FALSE)</formula>
    </cfRule>
  </conditionalFormatting>
  <conditionalFormatting sqref="EP16:EP18">
    <cfRule type="expression" dxfId="2323" priority="2308" stopIfTrue="1">
      <formula>IF(EQ$8="判定対象外",TRUE,FALSE)</formula>
    </cfRule>
  </conditionalFormatting>
  <conditionalFormatting sqref="EK8:EK10">
    <cfRule type="expression" dxfId="2322" priority="2456" stopIfTrue="1">
      <formula>IF(EK8="-",TRUE,FALSE)</formula>
    </cfRule>
    <cfRule type="expression" dxfId="2321" priority="2457" stopIfTrue="1">
      <formula>IF(OR(EK8="OK"),FALSE,TRUE)</formula>
    </cfRule>
  </conditionalFormatting>
  <conditionalFormatting sqref="EH8:EH10">
    <cfRule type="expression" dxfId="2320" priority="2455" stopIfTrue="1">
      <formula>IF(EI$8="判定対象外",TRUE,FALSE)</formula>
    </cfRule>
  </conditionalFormatting>
  <conditionalFormatting sqref="EI8:EI10">
    <cfRule type="expression" dxfId="2319" priority="2454" stopIfTrue="1">
      <formula>IF(EI$8="判定対象外",TRUE,FALSE)</formula>
    </cfRule>
  </conditionalFormatting>
  <conditionalFormatting sqref="EJ8:EJ10">
    <cfRule type="expression" dxfId="2318" priority="2453" stopIfTrue="1">
      <formula>IF(EI$8="判定対象外",TRUE,FALSE)</formula>
    </cfRule>
  </conditionalFormatting>
  <conditionalFormatting sqref="EK11:EK34 EK71:EK81 EK36:EK56">
    <cfRule type="expression" dxfId="2317" priority="2450" stopIfTrue="1">
      <formula>IF(EK11="-",TRUE,FALSE)</formula>
    </cfRule>
    <cfRule type="expression" dxfId="2316" priority="2451" stopIfTrue="1">
      <formula>IF(OR(EK11="OK"),FALSE,TRUE)</formula>
    </cfRule>
  </conditionalFormatting>
  <conditionalFormatting sqref="EJ11:EJ34 EJ71:EJ81 EJ36:EJ56">
    <cfRule type="expression" dxfId="2315" priority="2449" stopIfTrue="1">
      <formula>IF(EI$8="判定対象外",TRUE,FALSE)</formula>
    </cfRule>
  </conditionalFormatting>
  <conditionalFormatting sqref="EH72:EH81 EH21:EH34 EH36:EH46">
    <cfRule type="expression" dxfId="2314" priority="2448" stopIfTrue="1">
      <formula>IF(EI$8="判定対象外",TRUE,FALSE)</formula>
    </cfRule>
  </conditionalFormatting>
  <conditionalFormatting sqref="EH29:EH32">
    <cfRule type="expression" dxfId="2313" priority="2447" stopIfTrue="1">
      <formula>IF(EI$8="判定対象外",TRUE,FALSE)</formula>
    </cfRule>
  </conditionalFormatting>
  <conditionalFormatting sqref="EH42:EH44">
    <cfRule type="expression" dxfId="2312" priority="2446" stopIfTrue="1">
      <formula>IF(EI$8="判定対象外",TRUE,FALSE)</formula>
    </cfRule>
  </conditionalFormatting>
  <conditionalFormatting sqref="EH46">
    <cfRule type="expression" dxfId="2311" priority="2445" stopIfTrue="1">
      <formula>IF(EI$8="判定対象外",TRUE,FALSE)</formula>
    </cfRule>
  </conditionalFormatting>
  <conditionalFormatting sqref="EH42:EH44">
    <cfRule type="expression" dxfId="2310" priority="2444" stopIfTrue="1">
      <formula>IF(EI$8="判定対象外",TRUE,FALSE)</formula>
    </cfRule>
  </conditionalFormatting>
  <conditionalFormatting sqref="EH42:EH44">
    <cfRule type="expression" dxfId="2309" priority="2443" stopIfTrue="1">
      <formula>IF(EI$8="判定対象外",TRUE,FALSE)</formula>
    </cfRule>
  </conditionalFormatting>
  <conditionalFormatting sqref="EH42:EH44">
    <cfRule type="expression" dxfId="2308" priority="2442" stopIfTrue="1">
      <formula>IF(EI$8="判定対象外",TRUE,FALSE)</formula>
    </cfRule>
  </conditionalFormatting>
  <conditionalFormatting sqref="EH42:EH44">
    <cfRule type="expression" dxfId="2307" priority="2441" stopIfTrue="1">
      <formula>IF(EI$8="判定対象外",TRUE,FALSE)</formula>
    </cfRule>
  </conditionalFormatting>
  <conditionalFormatting sqref="EH42:EH44">
    <cfRule type="expression" dxfId="2306" priority="2440" stopIfTrue="1">
      <formula>IF(EI$8="判定対象外",TRUE,FALSE)</formula>
    </cfRule>
  </conditionalFormatting>
  <conditionalFormatting sqref="EH42:EH44">
    <cfRule type="expression" dxfId="2305" priority="2439" stopIfTrue="1">
      <formula>IF(EI$8="判定対象外",TRUE,FALSE)</formula>
    </cfRule>
  </conditionalFormatting>
  <conditionalFormatting sqref="EH42:EH44">
    <cfRule type="expression" dxfId="2304" priority="2438" stopIfTrue="1">
      <formula>IF(EI$8="判定対象外",TRUE,FALSE)</formula>
    </cfRule>
  </conditionalFormatting>
  <conditionalFormatting sqref="EH38">
    <cfRule type="expression" dxfId="2303" priority="2452" stopIfTrue="1">
      <formula>IF(#REF!="判定対象外",TRUE,FALSE)</formula>
    </cfRule>
  </conditionalFormatting>
  <conditionalFormatting sqref="EI11:EI34 EI71:EI81 EI36:EI56">
    <cfRule type="expression" dxfId="2302" priority="2437" stopIfTrue="1">
      <formula>IF(EI$8="判定対象外",TRUE,FALSE)</formula>
    </cfRule>
  </conditionalFormatting>
  <conditionalFormatting sqref="EH48">
    <cfRule type="expression" dxfId="2301" priority="2436" stopIfTrue="1">
      <formula>IF(EI$8="判定対象外",TRUE,FALSE)</formula>
    </cfRule>
  </conditionalFormatting>
  <conditionalFormatting sqref="EH51">
    <cfRule type="expression" dxfId="2300" priority="2435" stopIfTrue="1">
      <formula>IF(EI$8="判定対象外",TRUE,FALSE)</formula>
    </cfRule>
  </conditionalFormatting>
  <conditionalFormatting sqref="EH52 EH55 EH70">
    <cfRule type="expression" dxfId="2299" priority="2434" stopIfTrue="1">
      <formula>IF(EI$8="判定対象外",TRUE,FALSE)</formula>
    </cfRule>
  </conditionalFormatting>
  <conditionalFormatting sqref="EH11:EH20">
    <cfRule type="expression" dxfId="2298" priority="2433" stopIfTrue="1">
      <formula>IF(EI$8="判定対象外",TRUE,FALSE)</formula>
    </cfRule>
  </conditionalFormatting>
  <conditionalFormatting sqref="EH16:EH18">
    <cfRule type="expression" dxfId="2297" priority="2432" stopIfTrue="1">
      <formula>IF(EI$8="判定対象外",TRUE,FALSE)</formula>
    </cfRule>
  </conditionalFormatting>
  <conditionalFormatting sqref="EH20">
    <cfRule type="expression" dxfId="2296" priority="2431" stopIfTrue="1">
      <formula>IF(EI$8="判定対象外",TRUE,FALSE)</formula>
    </cfRule>
  </conditionalFormatting>
  <conditionalFormatting sqref="EH16:EH20">
    <cfRule type="expression" dxfId="2295" priority="2430" stopIfTrue="1">
      <formula>IF(EI$8="判定対象外",TRUE,FALSE)</formula>
    </cfRule>
  </conditionalFormatting>
  <conditionalFormatting sqref="EH11:EH20">
    <cfRule type="expression" dxfId="2294" priority="2429" stopIfTrue="1">
      <formula>IF(EI$8="判定対象外",TRUE,FALSE)</formula>
    </cfRule>
  </conditionalFormatting>
  <conditionalFormatting sqref="EH16:EH18">
    <cfRule type="expression" dxfId="2293" priority="2428" stopIfTrue="1">
      <formula>IF(EI$8="判定対象外",TRUE,FALSE)</formula>
    </cfRule>
  </conditionalFormatting>
  <conditionalFormatting sqref="EH20">
    <cfRule type="expression" dxfId="2292" priority="2427" stopIfTrue="1">
      <formula>IF(EI$8="判定対象外",TRUE,FALSE)</formula>
    </cfRule>
  </conditionalFormatting>
  <conditionalFormatting sqref="EH16:EH20">
    <cfRule type="expression" dxfId="2291" priority="2426" stopIfTrue="1">
      <formula>IF(EI$8="判定対象外",TRUE,FALSE)</formula>
    </cfRule>
  </conditionalFormatting>
  <conditionalFormatting sqref="EH11:EH20">
    <cfRule type="expression" dxfId="2290" priority="2425" stopIfTrue="1">
      <formula>IF(EI$8="判定対象外",TRUE,FALSE)</formula>
    </cfRule>
  </conditionalFormatting>
  <conditionalFormatting sqref="EH16:EH18">
    <cfRule type="expression" dxfId="2289" priority="2424" stopIfTrue="1">
      <formula>IF(EI$8="判定対象外",TRUE,FALSE)</formula>
    </cfRule>
  </conditionalFormatting>
  <conditionalFormatting sqref="EH20">
    <cfRule type="expression" dxfId="2288" priority="2423" stopIfTrue="1">
      <formula>IF(EI$8="判定対象外",TRUE,FALSE)</formula>
    </cfRule>
  </conditionalFormatting>
  <conditionalFormatting sqref="EH16:EH20">
    <cfRule type="expression" dxfId="2287" priority="2422" stopIfTrue="1">
      <formula>IF(EI$8="判定対象外",TRUE,FALSE)</formula>
    </cfRule>
  </conditionalFormatting>
  <conditionalFormatting sqref="EH11:EH13">
    <cfRule type="expression" dxfId="2286" priority="2421" stopIfTrue="1">
      <formula>IF(EI$8="判定対象外",TRUE,FALSE)</formula>
    </cfRule>
  </conditionalFormatting>
  <conditionalFormatting sqref="EH15">
    <cfRule type="expression" dxfId="2285" priority="2420" stopIfTrue="1">
      <formula>IF(EI$8="判定対象外",TRUE,FALSE)</formula>
    </cfRule>
  </conditionalFormatting>
  <conditionalFormatting sqref="EH19">
    <cfRule type="expression" dxfId="2284" priority="2419" stopIfTrue="1">
      <formula>IF(EI$8="判定対象外",TRUE,FALSE)</formula>
    </cfRule>
  </conditionalFormatting>
  <conditionalFormatting sqref="EH19">
    <cfRule type="expression" dxfId="2283" priority="2418" stopIfTrue="1">
      <formula>IF(EI$8="判定対象外",TRUE,FALSE)</formula>
    </cfRule>
  </conditionalFormatting>
  <conditionalFormatting sqref="EH20">
    <cfRule type="expression" dxfId="2282" priority="2417" stopIfTrue="1">
      <formula>IF(EI$8="判定対象外",TRUE,FALSE)</formula>
    </cfRule>
  </conditionalFormatting>
  <conditionalFormatting sqref="EH20">
    <cfRule type="expression" dxfId="2281" priority="2416" stopIfTrue="1">
      <formula>IF(EI$8="判定対象外",TRUE,FALSE)</formula>
    </cfRule>
  </conditionalFormatting>
  <conditionalFormatting sqref="EH20">
    <cfRule type="expression" dxfId="2280" priority="2415" stopIfTrue="1">
      <formula>IF(EI$8="判定対象外",TRUE,FALSE)</formula>
    </cfRule>
  </conditionalFormatting>
  <conditionalFormatting sqref="EH13">
    <cfRule type="expression" dxfId="2279" priority="2414" stopIfTrue="1">
      <formula>IF(EI$8="判定対象外",TRUE,FALSE)</formula>
    </cfRule>
  </conditionalFormatting>
  <conditionalFormatting sqref="EH47">
    <cfRule type="expression" dxfId="2278" priority="2413" stopIfTrue="1">
      <formula>IF(EI$8="判定対象外",TRUE,FALSE)</formula>
    </cfRule>
  </conditionalFormatting>
  <conditionalFormatting sqref="EH47">
    <cfRule type="expression" dxfId="2277" priority="2412" stopIfTrue="1">
      <formula>IF(EI$8="判定対象外",TRUE,FALSE)</formula>
    </cfRule>
  </conditionalFormatting>
  <conditionalFormatting sqref="EH49">
    <cfRule type="expression" dxfId="2276" priority="2411" stopIfTrue="1">
      <formula>IF(EI$8="判定対象外",TRUE,FALSE)</formula>
    </cfRule>
  </conditionalFormatting>
  <conditionalFormatting sqref="EH49">
    <cfRule type="expression" dxfId="2275" priority="2410" stopIfTrue="1">
      <formula>IF(EI$8="判定対象外",TRUE,FALSE)</formula>
    </cfRule>
  </conditionalFormatting>
  <conditionalFormatting sqref="EH50">
    <cfRule type="expression" dxfId="2274" priority="2409" stopIfTrue="1">
      <formula>IF(EI$8="判定対象外",TRUE,FALSE)</formula>
    </cfRule>
  </conditionalFormatting>
  <conditionalFormatting sqref="EH50">
    <cfRule type="expression" dxfId="2273" priority="2408" stopIfTrue="1">
      <formula>IF(EI$8="判定対象外",TRUE,FALSE)</formula>
    </cfRule>
  </conditionalFormatting>
  <conditionalFormatting sqref="EH53 EH56 EH68 EH71">
    <cfRule type="expression" dxfId="2272" priority="2407" stopIfTrue="1">
      <formula>IF(EI$8="判定対象外",TRUE,FALSE)</formula>
    </cfRule>
  </conditionalFormatting>
  <conditionalFormatting sqref="EH54 EH57 EH69">
    <cfRule type="expression" dxfId="2271" priority="2406" stopIfTrue="1">
      <formula>IF(EI$8="判定対象外",TRUE,FALSE)</formula>
    </cfRule>
  </conditionalFormatting>
  <conditionalFormatting sqref="EK57">
    <cfRule type="expression" dxfId="2270" priority="2404" stopIfTrue="1">
      <formula>IF(EK57="-",TRUE,FALSE)</formula>
    </cfRule>
    <cfRule type="expression" dxfId="2269" priority="2405" stopIfTrue="1">
      <formula>IF(OR(EK57="OK"),FALSE,TRUE)</formula>
    </cfRule>
  </conditionalFormatting>
  <conditionalFormatting sqref="EJ57">
    <cfRule type="expression" dxfId="2268" priority="2403" stopIfTrue="1">
      <formula>IF(EI$8="判定対象外",TRUE,FALSE)</formula>
    </cfRule>
  </conditionalFormatting>
  <conditionalFormatting sqref="EI57">
    <cfRule type="expression" dxfId="2267" priority="2402" stopIfTrue="1">
      <formula>IF(EI$8="判定対象外",TRUE,FALSE)</formula>
    </cfRule>
  </conditionalFormatting>
  <conditionalFormatting sqref="EK68:EK70">
    <cfRule type="expression" dxfId="2266" priority="2400" stopIfTrue="1">
      <formula>IF(EK68="-",TRUE,FALSE)</formula>
    </cfRule>
    <cfRule type="expression" dxfId="2265" priority="2401" stopIfTrue="1">
      <formula>IF(OR(EK68="OK"),FALSE,TRUE)</formula>
    </cfRule>
  </conditionalFormatting>
  <conditionalFormatting sqref="EJ68:EJ70">
    <cfRule type="expression" dxfId="2264" priority="2399" stopIfTrue="1">
      <formula>IF(EI$8="判定対象外",TRUE,FALSE)</formula>
    </cfRule>
  </conditionalFormatting>
  <conditionalFormatting sqref="EI68:EI70">
    <cfRule type="expression" dxfId="2263" priority="2398" stopIfTrue="1">
      <formula>IF(EI$8="判定対象外",TRUE,FALSE)</formula>
    </cfRule>
  </conditionalFormatting>
  <conditionalFormatting sqref="EO8:EO10">
    <cfRule type="expression" dxfId="2262" priority="2396" stopIfTrue="1">
      <formula>IF(EO8="-",TRUE,FALSE)</formula>
    </cfRule>
    <cfRule type="expression" dxfId="2261" priority="2397" stopIfTrue="1">
      <formula>IF(OR(EO8="OK"),FALSE,TRUE)</formula>
    </cfRule>
  </conditionalFormatting>
  <conditionalFormatting sqref="EL8:EL10">
    <cfRule type="expression" dxfId="2260" priority="2395" stopIfTrue="1">
      <formula>IF(EM$8="判定対象外",TRUE,FALSE)</formula>
    </cfRule>
  </conditionalFormatting>
  <conditionalFormatting sqref="EM8:EM10">
    <cfRule type="expression" dxfId="2259" priority="2394" stopIfTrue="1">
      <formula>IF(EM$8="判定対象外",TRUE,FALSE)</formula>
    </cfRule>
  </conditionalFormatting>
  <conditionalFormatting sqref="EN8:EN10">
    <cfRule type="expression" dxfId="2258" priority="2393" stopIfTrue="1">
      <formula>IF(EM$8="判定対象外",TRUE,FALSE)</formula>
    </cfRule>
  </conditionalFormatting>
  <conditionalFormatting sqref="EO11:EO34 EO71:EO81 EO36:EO56">
    <cfRule type="expression" dxfId="2257" priority="2390" stopIfTrue="1">
      <formula>IF(EO11="-",TRUE,FALSE)</formula>
    </cfRule>
    <cfRule type="expression" dxfId="2256" priority="2391" stopIfTrue="1">
      <formula>IF(OR(EO11="OK"),FALSE,TRUE)</formula>
    </cfRule>
  </conditionalFormatting>
  <conditionalFormatting sqref="EN11:EN34 EN71:EN81 EN36:EN56">
    <cfRule type="expression" dxfId="2255" priority="2389" stopIfTrue="1">
      <formula>IF(EM$8="判定対象外",TRUE,FALSE)</formula>
    </cfRule>
  </conditionalFormatting>
  <conditionalFormatting sqref="EL72:EL81 EL21:EL34 EL36:EL46">
    <cfRule type="expression" dxfId="2254" priority="2388" stopIfTrue="1">
      <formula>IF(EM$8="判定対象外",TRUE,FALSE)</formula>
    </cfRule>
  </conditionalFormatting>
  <conditionalFormatting sqref="EL29:EL32">
    <cfRule type="expression" dxfId="2253" priority="2387" stopIfTrue="1">
      <formula>IF(EM$8="判定対象外",TRUE,FALSE)</formula>
    </cfRule>
  </conditionalFormatting>
  <conditionalFormatting sqref="EL42:EL44">
    <cfRule type="expression" dxfId="2252" priority="2386" stopIfTrue="1">
      <formula>IF(EM$8="判定対象外",TRUE,FALSE)</formula>
    </cfRule>
  </conditionalFormatting>
  <conditionalFormatting sqref="EL46">
    <cfRule type="expression" dxfId="2251" priority="2385" stopIfTrue="1">
      <formula>IF(EM$8="判定対象外",TRUE,FALSE)</formula>
    </cfRule>
  </conditionalFormatting>
  <conditionalFormatting sqref="EL42:EL44">
    <cfRule type="expression" dxfId="2250" priority="2384" stopIfTrue="1">
      <formula>IF(EM$8="判定対象外",TRUE,FALSE)</formula>
    </cfRule>
  </conditionalFormatting>
  <conditionalFormatting sqref="EL42:EL44">
    <cfRule type="expression" dxfId="2249" priority="2383" stopIfTrue="1">
      <formula>IF(EM$8="判定対象外",TRUE,FALSE)</formula>
    </cfRule>
  </conditionalFormatting>
  <conditionalFormatting sqref="EL42:EL44">
    <cfRule type="expression" dxfId="2248" priority="2382" stopIfTrue="1">
      <formula>IF(EM$8="判定対象外",TRUE,FALSE)</formula>
    </cfRule>
  </conditionalFormatting>
  <conditionalFormatting sqref="EL42:EL44">
    <cfRule type="expression" dxfId="2247" priority="2381" stopIfTrue="1">
      <formula>IF(EM$8="判定対象外",TRUE,FALSE)</formula>
    </cfRule>
  </conditionalFormatting>
  <conditionalFormatting sqref="EL42:EL44">
    <cfRule type="expression" dxfId="2246" priority="2380" stopIfTrue="1">
      <formula>IF(EM$8="判定対象外",TRUE,FALSE)</formula>
    </cfRule>
  </conditionalFormatting>
  <conditionalFormatting sqref="EL42:EL44">
    <cfRule type="expression" dxfId="2245" priority="2379" stopIfTrue="1">
      <formula>IF(EM$8="判定対象外",TRUE,FALSE)</formula>
    </cfRule>
  </conditionalFormatting>
  <conditionalFormatting sqref="EL42:EL44">
    <cfRule type="expression" dxfId="2244" priority="2378" stopIfTrue="1">
      <formula>IF(EM$8="判定対象外",TRUE,FALSE)</formula>
    </cfRule>
  </conditionalFormatting>
  <conditionalFormatting sqref="EL38">
    <cfRule type="expression" dxfId="2243" priority="2392" stopIfTrue="1">
      <formula>IF(#REF!="判定対象外",TRUE,FALSE)</formula>
    </cfRule>
  </conditionalFormatting>
  <conditionalFormatting sqref="EM11:EM34 EM71:EM81 EM36:EM56">
    <cfRule type="expression" dxfId="2242" priority="2377" stopIfTrue="1">
      <formula>IF(EM$8="判定対象外",TRUE,FALSE)</formula>
    </cfRule>
  </conditionalFormatting>
  <conditionalFormatting sqref="EL48">
    <cfRule type="expression" dxfId="2241" priority="2376" stopIfTrue="1">
      <formula>IF(EM$8="判定対象外",TRUE,FALSE)</formula>
    </cfRule>
  </conditionalFormatting>
  <conditionalFormatting sqref="EL51">
    <cfRule type="expression" dxfId="2240" priority="2375" stopIfTrue="1">
      <formula>IF(EM$8="判定対象外",TRUE,FALSE)</formula>
    </cfRule>
  </conditionalFormatting>
  <conditionalFormatting sqref="EL52 EL55 EL70">
    <cfRule type="expression" dxfId="2239" priority="2374" stopIfTrue="1">
      <formula>IF(EM$8="判定対象外",TRUE,FALSE)</formula>
    </cfRule>
  </conditionalFormatting>
  <conditionalFormatting sqref="EL11:EL20">
    <cfRule type="expression" dxfId="2238" priority="2373" stopIfTrue="1">
      <formula>IF(EM$8="判定対象外",TRUE,FALSE)</formula>
    </cfRule>
  </conditionalFormatting>
  <conditionalFormatting sqref="EL16:EL18">
    <cfRule type="expression" dxfId="2237" priority="2372" stopIfTrue="1">
      <formula>IF(EM$8="判定対象外",TRUE,FALSE)</formula>
    </cfRule>
  </conditionalFormatting>
  <conditionalFormatting sqref="EL20">
    <cfRule type="expression" dxfId="2236" priority="2371" stopIfTrue="1">
      <formula>IF(EM$8="判定対象外",TRUE,FALSE)</formula>
    </cfRule>
  </conditionalFormatting>
  <conditionalFormatting sqref="EL16:EL20">
    <cfRule type="expression" dxfId="2235" priority="2370" stopIfTrue="1">
      <formula>IF(EM$8="判定対象外",TRUE,FALSE)</formula>
    </cfRule>
  </conditionalFormatting>
  <conditionalFormatting sqref="EL11:EL20">
    <cfRule type="expression" dxfId="2234" priority="2369" stopIfTrue="1">
      <formula>IF(EM$8="判定対象外",TRUE,FALSE)</formula>
    </cfRule>
  </conditionalFormatting>
  <conditionalFormatting sqref="EL16:EL18">
    <cfRule type="expression" dxfId="2233" priority="2368" stopIfTrue="1">
      <formula>IF(EM$8="判定対象外",TRUE,FALSE)</formula>
    </cfRule>
  </conditionalFormatting>
  <conditionalFormatting sqref="EL20">
    <cfRule type="expression" dxfId="2232" priority="2367" stopIfTrue="1">
      <formula>IF(EM$8="判定対象外",TRUE,FALSE)</formula>
    </cfRule>
  </conditionalFormatting>
  <conditionalFormatting sqref="EL16:EL20">
    <cfRule type="expression" dxfId="2231" priority="2366" stopIfTrue="1">
      <formula>IF(EM$8="判定対象外",TRUE,FALSE)</formula>
    </cfRule>
  </conditionalFormatting>
  <conditionalFormatting sqref="EL11:EL20">
    <cfRule type="expression" dxfId="2230" priority="2365" stopIfTrue="1">
      <formula>IF(EM$8="判定対象外",TRUE,FALSE)</formula>
    </cfRule>
  </conditionalFormatting>
  <conditionalFormatting sqref="EL16:EL18">
    <cfRule type="expression" dxfId="2229" priority="2364" stopIfTrue="1">
      <formula>IF(EM$8="判定対象外",TRUE,FALSE)</formula>
    </cfRule>
  </conditionalFormatting>
  <conditionalFormatting sqref="EL20">
    <cfRule type="expression" dxfId="2228" priority="2363" stopIfTrue="1">
      <formula>IF(EM$8="判定対象外",TRUE,FALSE)</formula>
    </cfRule>
  </conditionalFormatting>
  <conditionalFormatting sqref="EL16:EL20">
    <cfRule type="expression" dxfId="2227" priority="2362" stopIfTrue="1">
      <formula>IF(EM$8="判定対象外",TRUE,FALSE)</formula>
    </cfRule>
  </conditionalFormatting>
  <conditionalFormatting sqref="EL11:EL13">
    <cfRule type="expression" dxfId="2226" priority="2361" stopIfTrue="1">
      <formula>IF(EM$8="判定対象外",TRUE,FALSE)</formula>
    </cfRule>
  </conditionalFormatting>
  <conditionalFormatting sqref="EL15">
    <cfRule type="expression" dxfId="2225" priority="2360" stopIfTrue="1">
      <formula>IF(EM$8="判定対象外",TRUE,FALSE)</formula>
    </cfRule>
  </conditionalFormatting>
  <conditionalFormatting sqref="EL19">
    <cfRule type="expression" dxfId="2224" priority="2359" stopIfTrue="1">
      <formula>IF(EM$8="判定対象外",TRUE,FALSE)</formula>
    </cfRule>
  </conditionalFormatting>
  <conditionalFormatting sqref="EL19">
    <cfRule type="expression" dxfId="2223" priority="2358" stopIfTrue="1">
      <formula>IF(EM$8="判定対象外",TRUE,FALSE)</formula>
    </cfRule>
  </conditionalFormatting>
  <conditionalFormatting sqref="EL20">
    <cfRule type="expression" dxfId="2222" priority="2357" stopIfTrue="1">
      <formula>IF(EM$8="判定対象外",TRUE,FALSE)</formula>
    </cfRule>
  </conditionalFormatting>
  <conditionalFormatting sqref="EL20">
    <cfRule type="expression" dxfId="2221" priority="2356" stopIfTrue="1">
      <formula>IF(EM$8="判定対象外",TRUE,FALSE)</formula>
    </cfRule>
  </conditionalFormatting>
  <conditionalFormatting sqref="EL20">
    <cfRule type="expression" dxfId="2220" priority="2355" stopIfTrue="1">
      <formula>IF(EM$8="判定対象外",TRUE,FALSE)</formula>
    </cfRule>
  </conditionalFormatting>
  <conditionalFormatting sqref="EL13">
    <cfRule type="expression" dxfId="2219" priority="2354" stopIfTrue="1">
      <formula>IF(EM$8="判定対象外",TRUE,FALSE)</formula>
    </cfRule>
  </conditionalFormatting>
  <conditionalFormatting sqref="EL47">
    <cfRule type="expression" dxfId="2218" priority="2353" stopIfTrue="1">
      <formula>IF(EM$8="判定対象外",TRUE,FALSE)</formula>
    </cfRule>
  </conditionalFormatting>
  <conditionalFormatting sqref="EL47">
    <cfRule type="expression" dxfId="2217" priority="2352" stopIfTrue="1">
      <formula>IF(EM$8="判定対象外",TRUE,FALSE)</formula>
    </cfRule>
  </conditionalFormatting>
  <conditionalFormatting sqref="EL49">
    <cfRule type="expression" dxfId="2216" priority="2351" stopIfTrue="1">
      <formula>IF(EM$8="判定対象外",TRUE,FALSE)</formula>
    </cfRule>
  </conditionalFormatting>
  <conditionalFormatting sqref="EL49">
    <cfRule type="expression" dxfId="2215" priority="2350" stopIfTrue="1">
      <formula>IF(EM$8="判定対象外",TRUE,FALSE)</formula>
    </cfRule>
  </conditionalFormatting>
  <conditionalFormatting sqref="EL50">
    <cfRule type="expression" dxfId="2214" priority="2349" stopIfTrue="1">
      <formula>IF(EM$8="判定対象外",TRUE,FALSE)</formula>
    </cfRule>
  </conditionalFormatting>
  <conditionalFormatting sqref="EL50">
    <cfRule type="expression" dxfId="2213" priority="2348" stopIfTrue="1">
      <formula>IF(EM$8="判定対象外",TRUE,FALSE)</formula>
    </cfRule>
  </conditionalFormatting>
  <conditionalFormatting sqref="EL53 EL56 EL68 EL71">
    <cfRule type="expression" dxfId="2212" priority="2347" stopIfTrue="1">
      <formula>IF(EM$8="判定対象外",TRUE,FALSE)</formula>
    </cfRule>
  </conditionalFormatting>
  <conditionalFormatting sqref="EL54 EL57 EL69">
    <cfRule type="expression" dxfId="2211" priority="2346" stopIfTrue="1">
      <formula>IF(EM$8="判定対象外",TRUE,FALSE)</formula>
    </cfRule>
  </conditionalFormatting>
  <conditionalFormatting sqref="EO57">
    <cfRule type="expression" dxfId="2210" priority="2344" stopIfTrue="1">
      <formula>IF(EO57="-",TRUE,FALSE)</formula>
    </cfRule>
    <cfRule type="expression" dxfId="2209" priority="2345" stopIfTrue="1">
      <formula>IF(OR(EO57="OK"),FALSE,TRUE)</formula>
    </cfRule>
  </conditionalFormatting>
  <conditionalFormatting sqref="EN57">
    <cfRule type="expression" dxfId="2208" priority="2343" stopIfTrue="1">
      <formula>IF(EM$8="判定対象外",TRUE,FALSE)</formula>
    </cfRule>
  </conditionalFormatting>
  <conditionalFormatting sqref="EM57">
    <cfRule type="expression" dxfId="2207" priority="2342" stopIfTrue="1">
      <formula>IF(EM$8="判定対象外",TRUE,FALSE)</formula>
    </cfRule>
  </conditionalFormatting>
  <conditionalFormatting sqref="EO68:EO70">
    <cfRule type="expression" dxfId="2206" priority="2340" stopIfTrue="1">
      <formula>IF(EO68="-",TRUE,FALSE)</formula>
    </cfRule>
    <cfRule type="expression" dxfId="2205" priority="2341" stopIfTrue="1">
      <formula>IF(OR(EO68="OK"),FALSE,TRUE)</formula>
    </cfRule>
  </conditionalFormatting>
  <conditionalFormatting sqref="EN68:EN70">
    <cfRule type="expression" dxfId="2204" priority="2339" stopIfTrue="1">
      <formula>IF(EM$8="判定対象外",TRUE,FALSE)</formula>
    </cfRule>
  </conditionalFormatting>
  <conditionalFormatting sqref="EM68:EM70">
    <cfRule type="expression" dxfId="2203" priority="2338" stopIfTrue="1">
      <formula>IF(EM$8="判定対象外",TRUE,FALSE)</formula>
    </cfRule>
  </conditionalFormatting>
  <conditionalFormatting sqref="EP29:EP32">
    <cfRule type="expression" dxfId="2202" priority="2327" stopIfTrue="1">
      <formula>IF(EQ$8="判定対象外",TRUE,FALSE)</formula>
    </cfRule>
  </conditionalFormatting>
  <conditionalFormatting sqref="ES8:ES10">
    <cfRule type="expression" dxfId="2201" priority="2336" stopIfTrue="1">
      <formula>IF(ES8="-",TRUE,FALSE)</formula>
    </cfRule>
    <cfRule type="expression" dxfId="2200" priority="2337" stopIfTrue="1">
      <formula>IF(OR(ES8="OK"),FALSE,TRUE)</formula>
    </cfRule>
  </conditionalFormatting>
  <conditionalFormatting sqref="EP8:EP10">
    <cfRule type="expression" dxfId="2199" priority="2335" stopIfTrue="1">
      <formula>IF(EQ$8="判定対象外",TRUE,FALSE)</formula>
    </cfRule>
  </conditionalFormatting>
  <conditionalFormatting sqref="EQ8:EQ10">
    <cfRule type="expression" dxfId="2198" priority="2334" stopIfTrue="1">
      <formula>IF(EQ$8="判定対象外",TRUE,FALSE)</formula>
    </cfRule>
  </conditionalFormatting>
  <conditionalFormatting sqref="ER8:ER10">
    <cfRule type="expression" dxfId="2197" priority="2333" stopIfTrue="1">
      <formula>IF(EQ$8="判定対象外",TRUE,FALSE)</formula>
    </cfRule>
  </conditionalFormatting>
  <conditionalFormatting sqref="ES11:ES34 ES71:ES81 ES36:ES56">
    <cfRule type="expression" dxfId="2196" priority="2330" stopIfTrue="1">
      <formula>IF(ES11="-",TRUE,FALSE)</formula>
    </cfRule>
    <cfRule type="expression" dxfId="2195" priority="2331" stopIfTrue="1">
      <formula>IF(OR(ES11="OK"),FALSE,TRUE)</formula>
    </cfRule>
  </conditionalFormatting>
  <conditionalFormatting sqref="ER11:ER34 ER71:ER81 ER36:ER56">
    <cfRule type="expression" dxfId="2194" priority="2329" stopIfTrue="1">
      <formula>IF(EQ$8="判定対象外",TRUE,FALSE)</formula>
    </cfRule>
  </conditionalFormatting>
  <conditionalFormatting sqref="EP72:EP81 EP21:EP34 EP36:EP46">
    <cfRule type="expression" dxfId="2193" priority="2328" stopIfTrue="1">
      <formula>IF(EQ$8="判定対象外",TRUE,FALSE)</formula>
    </cfRule>
  </conditionalFormatting>
  <conditionalFormatting sqref="EP42:EP44">
    <cfRule type="expression" dxfId="2192" priority="2326" stopIfTrue="1">
      <formula>IF(EQ$8="判定対象外",TRUE,FALSE)</formula>
    </cfRule>
  </conditionalFormatting>
  <conditionalFormatting sqref="EP46">
    <cfRule type="expression" dxfId="2191" priority="2325" stopIfTrue="1">
      <formula>IF(EQ$8="判定対象外",TRUE,FALSE)</formula>
    </cfRule>
  </conditionalFormatting>
  <conditionalFormatting sqref="EP42:EP44">
    <cfRule type="expression" dxfId="2190" priority="2324" stopIfTrue="1">
      <formula>IF(EQ$8="判定対象外",TRUE,FALSE)</formula>
    </cfRule>
  </conditionalFormatting>
  <conditionalFormatting sqref="EP42:EP44">
    <cfRule type="expression" dxfId="2189" priority="2323" stopIfTrue="1">
      <formula>IF(EQ$8="判定対象外",TRUE,FALSE)</formula>
    </cfRule>
  </conditionalFormatting>
  <conditionalFormatting sqref="EP42:EP44">
    <cfRule type="expression" dxfId="2188" priority="2322" stopIfTrue="1">
      <formula>IF(EQ$8="判定対象外",TRUE,FALSE)</formula>
    </cfRule>
  </conditionalFormatting>
  <conditionalFormatting sqref="EP42:EP44">
    <cfRule type="expression" dxfId="2187" priority="2321" stopIfTrue="1">
      <formula>IF(EQ$8="判定対象外",TRUE,FALSE)</formula>
    </cfRule>
  </conditionalFormatting>
  <conditionalFormatting sqref="EP42:EP44">
    <cfRule type="expression" dxfId="2186" priority="2320" stopIfTrue="1">
      <formula>IF(EQ$8="判定対象外",TRUE,FALSE)</formula>
    </cfRule>
  </conditionalFormatting>
  <conditionalFormatting sqref="EP42:EP44">
    <cfRule type="expression" dxfId="2185" priority="2319" stopIfTrue="1">
      <formula>IF(EQ$8="判定対象外",TRUE,FALSE)</formula>
    </cfRule>
  </conditionalFormatting>
  <conditionalFormatting sqref="EP42:EP44">
    <cfRule type="expression" dxfId="2184" priority="2318" stopIfTrue="1">
      <formula>IF(EQ$8="判定対象外",TRUE,FALSE)</formula>
    </cfRule>
  </conditionalFormatting>
  <conditionalFormatting sqref="EP38">
    <cfRule type="expression" dxfId="2183" priority="2332" stopIfTrue="1">
      <formula>IF(#REF!="判定対象外",TRUE,FALSE)</formula>
    </cfRule>
  </conditionalFormatting>
  <conditionalFormatting sqref="EQ11:EQ34 EQ71:EQ81 EQ36:EQ56">
    <cfRule type="expression" dxfId="2182" priority="2317" stopIfTrue="1">
      <formula>IF(EQ$8="判定対象外",TRUE,FALSE)</formula>
    </cfRule>
  </conditionalFormatting>
  <conditionalFormatting sqref="EP48">
    <cfRule type="expression" dxfId="2181" priority="2316" stopIfTrue="1">
      <formula>IF(EQ$8="判定対象外",TRUE,FALSE)</formula>
    </cfRule>
  </conditionalFormatting>
  <conditionalFormatting sqref="EP51">
    <cfRule type="expression" dxfId="2180" priority="2315" stopIfTrue="1">
      <formula>IF(EQ$8="判定対象外",TRUE,FALSE)</formula>
    </cfRule>
  </conditionalFormatting>
  <conditionalFormatting sqref="EP52 EP55 EP70">
    <cfRule type="expression" dxfId="2179" priority="2314" stopIfTrue="1">
      <formula>IF(EQ$8="判定対象外",TRUE,FALSE)</formula>
    </cfRule>
  </conditionalFormatting>
  <conditionalFormatting sqref="EP11:EP20">
    <cfRule type="expression" dxfId="2178" priority="2313" stopIfTrue="1">
      <formula>IF(EQ$8="判定対象外",TRUE,FALSE)</formula>
    </cfRule>
  </conditionalFormatting>
  <conditionalFormatting sqref="EP16:EP18">
    <cfRule type="expression" dxfId="2177" priority="2312" stopIfTrue="1">
      <formula>IF(EQ$8="判定対象外",TRUE,FALSE)</formula>
    </cfRule>
  </conditionalFormatting>
  <conditionalFormatting sqref="EP20">
    <cfRule type="expression" dxfId="2176" priority="2311" stopIfTrue="1">
      <formula>IF(EQ$8="判定対象外",TRUE,FALSE)</formula>
    </cfRule>
  </conditionalFormatting>
  <conditionalFormatting sqref="EP16:EP20">
    <cfRule type="expression" dxfId="2175" priority="2310" stopIfTrue="1">
      <formula>IF(EQ$8="判定対象外",TRUE,FALSE)</formula>
    </cfRule>
  </conditionalFormatting>
  <conditionalFormatting sqref="EP11:EP20">
    <cfRule type="expression" dxfId="2174" priority="2309" stopIfTrue="1">
      <formula>IF(EQ$8="判定対象外",TRUE,FALSE)</formula>
    </cfRule>
  </conditionalFormatting>
  <conditionalFormatting sqref="EP20">
    <cfRule type="expression" dxfId="2173" priority="2307" stopIfTrue="1">
      <formula>IF(EQ$8="判定対象外",TRUE,FALSE)</formula>
    </cfRule>
  </conditionalFormatting>
  <conditionalFormatting sqref="EP16:EP20">
    <cfRule type="expression" dxfId="2172" priority="2306" stopIfTrue="1">
      <formula>IF(EQ$8="判定対象外",TRUE,FALSE)</formula>
    </cfRule>
  </conditionalFormatting>
  <conditionalFormatting sqref="EP11:EP20">
    <cfRule type="expression" dxfId="2171" priority="2305" stopIfTrue="1">
      <formula>IF(EQ$8="判定対象外",TRUE,FALSE)</formula>
    </cfRule>
  </conditionalFormatting>
  <conditionalFormatting sqref="EP16:EP18">
    <cfRule type="expression" dxfId="2170" priority="2304" stopIfTrue="1">
      <formula>IF(EQ$8="判定対象外",TRUE,FALSE)</formula>
    </cfRule>
  </conditionalFormatting>
  <conditionalFormatting sqref="EP20">
    <cfRule type="expression" dxfId="2169" priority="2303" stopIfTrue="1">
      <formula>IF(EQ$8="判定対象外",TRUE,FALSE)</formula>
    </cfRule>
  </conditionalFormatting>
  <conditionalFormatting sqref="EP16:EP20">
    <cfRule type="expression" dxfId="2168" priority="2302" stopIfTrue="1">
      <formula>IF(EQ$8="判定対象外",TRUE,FALSE)</formula>
    </cfRule>
  </conditionalFormatting>
  <conditionalFormatting sqref="EP11:EP13">
    <cfRule type="expression" dxfId="2167" priority="2301" stopIfTrue="1">
      <formula>IF(EQ$8="判定対象外",TRUE,FALSE)</formula>
    </cfRule>
  </conditionalFormatting>
  <conditionalFormatting sqref="EP15">
    <cfRule type="expression" dxfId="2166" priority="2300" stopIfTrue="1">
      <formula>IF(EQ$8="判定対象外",TRUE,FALSE)</formula>
    </cfRule>
  </conditionalFormatting>
  <conditionalFormatting sqref="EP19">
    <cfRule type="expression" dxfId="2165" priority="2299" stopIfTrue="1">
      <formula>IF(EQ$8="判定対象外",TRUE,FALSE)</formula>
    </cfRule>
  </conditionalFormatting>
  <conditionalFormatting sqref="EP20">
    <cfRule type="expression" dxfId="2164" priority="2297" stopIfTrue="1">
      <formula>IF(EQ$8="判定対象外",TRUE,FALSE)</formula>
    </cfRule>
  </conditionalFormatting>
  <conditionalFormatting sqref="EP20">
    <cfRule type="expression" dxfId="2163" priority="2296" stopIfTrue="1">
      <formula>IF(EQ$8="判定対象外",TRUE,FALSE)</formula>
    </cfRule>
  </conditionalFormatting>
  <conditionalFormatting sqref="EP20">
    <cfRule type="expression" dxfId="2162" priority="2295" stopIfTrue="1">
      <formula>IF(EQ$8="判定対象外",TRUE,FALSE)</formula>
    </cfRule>
  </conditionalFormatting>
  <conditionalFormatting sqref="EP13">
    <cfRule type="expression" dxfId="2161" priority="2294" stopIfTrue="1">
      <formula>IF(EQ$8="判定対象外",TRUE,FALSE)</formula>
    </cfRule>
  </conditionalFormatting>
  <conditionalFormatting sqref="EP47">
    <cfRule type="expression" dxfId="2160" priority="2293" stopIfTrue="1">
      <formula>IF(EQ$8="判定対象外",TRUE,FALSE)</formula>
    </cfRule>
  </conditionalFormatting>
  <conditionalFormatting sqref="EP47">
    <cfRule type="expression" dxfId="2159" priority="2292" stopIfTrue="1">
      <formula>IF(EQ$8="判定対象外",TRUE,FALSE)</formula>
    </cfRule>
  </conditionalFormatting>
  <conditionalFormatting sqref="EP49">
    <cfRule type="expression" dxfId="2158" priority="2291" stopIfTrue="1">
      <formula>IF(EQ$8="判定対象外",TRUE,FALSE)</formula>
    </cfRule>
  </conditionalFormatting>
  <conditionalFormatting sqref="EP49">
    <cfRule type="expression" dxfId="2157" priority="2290" stopIfTrue="1">
      <formula>IF(EQ$8="判定対象外",TRUE,FALSE)</formula>
    </cfRule>
  </conditionalFormatting>
  <conditionalFormatting sqref="EP50">
    <cfRule type="expression" dxfId="2156" priority="2289" stopIfTrue="1">
      <formula>IF(EQ$8="判定対象外",TRUE,FALSE)</formula>
    </cfRule>
  </conditionalFormatting>
  <conditionalFormatting sqref="EP50">
    <cfRule type="expression" dxfId="2155" priority="2288" stopIfTrue="1">
      <formula>IF(EQ$8="判定対象外",TRUE,FALSE)</formula>
    </cfRule>
  </conditionalFormatting>
  <conditionalFormatting sqref="EP54 EP57 EP69">
    <cfRule type="expression" dxfId="2154" priority="2286" stopIfTrue="1">
      <formula>IF(EQ$8="判定対象外",TRUE,FALSE)</formula>
    </cfRule>
  </conditionalFormatting>
  <conditionalFormatting sqref="ES57">
    <cfRule type="expression" dxfId="2153" priority="2284" stopIfTrue="1">
      <formula>IF(ES57="-",TRUE,FALSE)</formula>
    </cfRule>
    <cfRule type="expression" dxfId="2152" priority="2285" stopIfTrue="1">
      <formula>IF(OR(ES57="OK"),FALSE,TRUE)</formula>
    </cfRule>
  </conditionalFormatting>
  <conditionalFormatting sqref="ER57">
    <cfRule type="expression" dxfId="2151" priority="2283" stopIfTrue="1">
      <formula>IF(EQ$8="判定対象外",TRUE,FALSE)</formula>
    </cfRule>
  </conditionalFormatting>
  <conditionalFormatting sqref="EQ57">
    <cfRule type="expression" dxfId="2150" priority="2282" stopIfTrue="1">
      <formula>IF(EQ$8="判定対象外",TRUE,FALSE)</formula>
    </cfRule>
  </conditionalFormatting>
  <conditionalFormatting sqref="ES58:ES64">
    <cfRule type="expression" dxfId="2149" priority="2280" stopIfTrue="1">
      <formula>IF(ES58="-",TRUE,FALSE)</formula>
    </cfRule>
    <cfRule type="expression" dxfId="2148" priority="2281" stopIfTrue="1">
      <formula>IF(OR(ES58="OK"),FALSE,TRUE)</formula>
    </cfRule>
  </conditionalFormatting>
  <conditionalFormatting sqref="ER58:ER64">
    <cfRule type="expression" dxfId="2147" priority="2279" stopIfTrue="1">
      <formula>IF(EQ$8="判定対象外",TRUE,FALSE)</formula>
    </cfRule>
  </conditionalFormatting>
  <conditionalFormatting sqref="EQ58:EQ64">
    <cfRule type="expression" dxfId="2146" priority="2278" stopIfTrue="1">
      <formula>IF(EQ$8="判定対象外",TRUE,FALSE)</formula>
    </cfRule>
  </conditionalFormatting>
  <conditionalFormatting sqref="ES65:ES70">
    <cfRule type="expression" dxfId="2145" priority="2276" stopIfTrue="1">
      <formula>IF(ES65="-",TRUE,FALSE)</formula>
    </cfRule>
    <cfRule type="expression" dxfId="2144" priority="2277" stopIfTrue="1">
      <formula>IF(OR(ES65="OK"),FALSE,TRUE)</formula>
    </cfRule>
  </conditionalFormatting>
  <conditionalFormatting sqref="ER65:ER70">
    <cfRule type="expression" dxfId="2143" priority="2275" stopIfTrue="1">
      <formula>IF(EQ$8="判定対象外",TRUE,FALSE)</formula>
    </cfRule>
  </conditionalFormatting>
  <conditionalFormatting sqref="EQ65:EQ70">
    <cfRule type="expression" dxfId="2142" priority="2274" stopIfTrue="1">
      <formula>IF(EQ$8="判定対象外",TRUE,FALSE)</formula>
    </cfRule>
  </conditionalFormatting>
  <conditionalFormatting sqref="EP58">
    <cfRule type="expression" dxfId="2141" priority="2263" stopIfTrue="1">
      <formula>IF(EQ$8="判定対象外",TRUE,FALSE)</formula>
    </cfRule>
  </conditionalFormatting>
  <conditionalFormatting sqref="EH58">
    <cfRule type="expression" dxfId="2140" priority="2273" stopIfTrue="1">
      <formula>IF(EI$8="判定対象外",TRUE,FALSE)</formula>
    </cfRule>
  </conditionalFormatting>
  <conditionalFormatting sqref="EK58">
    <cfRule type="expression" dxfId="2139" priority="2271" stopIfTrue="1">
      <formula>IF(EK58="-",TRUE,FALSE)</formula>
    </cfRule>
    <cfRule type="expression" dxfId="2138" priority="2272" stopIfTrue="1">
      <formula>IF(OR(EK58="OK"),FALSE,TRUE)</formula>
    </cfRule>
  </conditionalFormatting>
  <conditionalFormatting sqref="EJ58">
    <cfRule type="expression" dxfId="2137" priority="2270" stopIfTrue="1">
      <formula>IF(EI$8="判定対象外",TRUE,FALSE)</formula>
    </cfRule>
  </conditionalFormatting>
  <conditionalFormatting sqref="EI58">
    <cfRule type="expression" dxfId="2136" priority="2269" stopIfTrue="1">
      <formula>IF(EI$8="判定対象外",TRUE,FALSE)</formula>
    </cfRule>
  </conditionalFormatting>
  <conditionalFormatting sqref="EL58">
    <cfRule type="expression" dxfId="2135" priority="2268" stopIfTrue="1">
      <formula>IF(EM$8="判定対象外",TRUE,FALSE)</formula>
    </cfRule>
  </conditionalFormatting>
  <conditionalFormatting sqref="EO58">
    <cfRule type="expression" dxfId="2134" priority="2266" stopIfTrue="1">
      <formula>IF(EO58="-",TRUE,FALSE)</formula>
    </cfRule>
    <cfRule type="expression" dxfId="2133" priority="2267" stopIfTrue="1">
      <formula>IF(OR(EO58="OK"),FALSE,TRUE)</formula>
    </cfRule>
  </conditionalFormatting>
  <conditionalFormatting sqref="EN58">
    <cfRule type="expression" dxfId="2132" priority="2265" stopIfTrue="1">
      <formula>IF(EM$8="判定対象外",TRUE,FALSE)</formula>
    </cfRule>
  </conditionalFormatting>
  <conditionalFormatting sqref="EM58">
    <cfRule type="expression" dxfId="2131" priority="2264" stopIfTrue="1">
      <formula>IF(EM$8="判定対象外",TRUE,FALSE)</formula>
    </cfRule>
  </conditionalFormatting>
  <conditionalFormatting sqref="EL59">
    <cfRule type="expression" dxfId="2130" priority="2257" stopIfTrue="1">
      <formula>IF(EM$8="判定対象外",TRUE,FALSE)</formula>
    </cfRule>
  </conditionalFormatting>
  <conditionalFormatting sqref="EO59">
    <cfRule type="expression" dxfId="2129" priority="2255" stopIfTrue="1">
      <formula>IF(EO59="-",TRUE,FALSE)</formula>
    </cfRule>
    <cfRule type="expression" dxfId="2128" priority="2256" stopIfTrue="1">
      <formula>IF(OR(EO59="OK"),FALSE,TRUE)</formula>
    </cfRule>
  </conditionalFormatting>
  <conditionalFormatting sqref="EN59">
    <cfRule type="expression" dxfId="2127" priority="2254" stopIfTrue="1">
      <formula>IF(EM$8="判定対象外",TRUE,FALSE)</formula>
    </cfRule>
  </conditionalFormatting>
  <conditionalFormatting sqref="EM59">
    <cfRule type="expression" dxfId="2126" priority="2253" stopIfTrue="1">
      <formula>IF(EM$8="判定対象外",TRUE,FALSE)</formula>
    </cfRule>
  </conditionalFormatting>
  <conditionalFormatting sqref="EL60">
    <cfRule type="expression" dxfId="2125" priority="2246" stopIfTrue="1">
      <formula>IF(EM$8="判定対象外",TRUE,FALSE)</formula>
    </cfRule>
  </conditionalFormatting>
  <conditionalFormatting sqref="EO60">
    <cfRule type="expression" dxfId="2124" priority="2244" stopIfTrue="1">
      <formula>IF(EO60="-",TRUE,FALSE)</formula>
    </cfRule>
    <cfRule type="expression" dxfId="2123" priority="2245" stopIfTrue="1">
      <formula>IF(OR(EO60="OK"),FALSE,TRUE)</formula>
    </cfRule>
  </conditionalFormatting>
  <conditionalFormatting sqref="EN60">
    <cfRule type="expression" dxfId="2122" priority="2243" stopIfTrue="1">
      <formula>IF(EM$8="判定対象外",TRUE,FALSE)</formula>
    </cfRule>
  </conditionalFormatting>
  <conditionalFormatting sqref="EM60">
    <cfRule type="expression" dxfId="2121" priority="2242" stopIfTrue="1">
      <formula>IF(EM$8="判定対象外",TRUE,FALSE)</formula>
    </cfRule>
  </conditionalFormatting>
  <conditionalFormatting sqref="EL61">
    <cfRule type="expression" dxfId="2120" priority="2235" stopIfTrue="1">
      <formula>IF(EM$8="判定対象外",TRUE,FALSE)</formula>
    </cfRule>
  </conditionalFormatting>
  <conditionalFormatting sqref="EO61">
    <cfRule type="expression" dxfId="2119" priority="2233" stopIfTrue="1">
      <formula>IF(EO61="-",TRUE,FALSE)</formula>
    </cfRule>
    <cfRule type="expression" dxfId="2118" priority="2234" stopIfTrue="1">
      <formula>IF(OR(EO61="OK"),FALSE,TRUE)</formula>
    </cfRule>
  </conditionalFormatting>
  <conditionalFormatting sqref="EN61">
    <cfRule type="expression" dxfId="2117" priority="2232" stopIfTrue="1">
      <formula>IF(EM$8="判定対象外",TRUE,FALSE)</formula>
    </cfRule>
  </conditionalFormatting>
  <conditionalFormatting sqref="EM61">
    <cfRule type="expression" dxfId="2116" priority="2231" stopIfTrue="1">
      <formula>IF(EM$8="判定対象外",TRUE,FALSE)</formula>
    </cfRule>
  </conditionalFormatting>
  <conditionalFormatting sqref="EL62">
    <cfRule type="expression" dxfId="2115" priority="2224" stopIfTrue="1">
      <formula>IF(EM$8="判定対象外",TRUE,FALSE)</formula>
    </cfRule>
  </conditionalFormatting>
  <conditionalFormatting sqref="EO62">
    <cfRule type="expression" dxfId="2114" priority="2222" stopIfTrue="1">
      <formula>IF(EO62="-",TRUE,FALSE)</formula>
    </cfRule>
    <cfRule type="expression" dxfId="2113" priority="2223" stopIfTrue="1">
      <formula>IF(OR(EO62="OK"),FALSE,TRUE)</formula>
    </cfRule>
  </conditionalFormatting>
  <conditionalFormatting sqref="EN62">
    <cfRule type="expression" dxfId="2112" priority="2221" stopIfTrue="1">
      <formula>IF(EM$8="判定対象外",TRUE,FALSE)</formula>
    </cfRule>
  </conditionalFormatting>
  <conditionalFormatting sqref="EM62">
    <cfRule type="expression" dxfId="2111" priority="2220" stopIfTrue="1">
      <formula>IF(EM$8="判定対象外",TRUE,FALSE)</formula>
    </cfRule>
  </conditionalFormatting>
  <conditionalFormatting sqref="EL63">
    <cfRule type="expression" dxfId="2110" priority="2213" stopIfTrue="1">
      <formula>IF(EM$8="判定対象外",TRUE,FALSE)</formula>
    </cfRule>
  </conditionalFormatting>
  <conditionalFormatting sqref="EO63">
    <cfRule type="expression" dxfId="2109" priority="2211" stopIfTrue="1">
      <formula>IF(EO63="-",TRUE,FALSE)</formula>
    </cfRule>
    <cfRule type="expression" dxfId="2108" priority="2212" stopIfTrue="1">
      <formula>IF(OR(EO63="OK"),FALSE,TRUE)</formula>
    </cfRule>
  </conditionalFormatting>
  <conditionalFormatting sqref="EN63">
    <cfRule type="expression" dxfId="2107" priority="2210" stopIfTrue="1">
      <formula>IF(EM$8="判定対象外",TRUE,FALSE)</formula>
    </cfRule>
  </conditionalFormatting>
  <conditionalFormatting sqref="EM63">
    <cfRule type="expression" dxfId="2106" priority="2209" stopIfTrue="1">
      <formula>IF(EM$8="判定対象外",TRUE,FALSE)</formula>
    </cfRule>
  </conditionalFormatting>
  <conditionalFormatting sqref="EL64">
    <cfRule type="expression" dxfId="2105" priority="2202" stopIfTrue="1">
      <formula>IF(EM$8="判定対象外",TRUE,FALSE)</formula>
    </cfRule>
  </conditionalFormatting>
  <conditionalFormatting sqref="EO64">
    <cfRule type="expression" dxfId="2104" priority="2200" stopIfTrue="1">
      <formula>IF(EO64="-",TRUE,FALSE)</formula>
    </cfRule>
    <cfRule type="expression" dxfId="2103" priority="2201" stopIfTrue="1">
      <formula>IF(OR(EO64="OK"),FALSE,TRUE)</formula>
    </cfRule>
  </conditionalFormatting>
  <conditionalFormatting sqref="EN64">
    <cfRule type="expression" dxfId="2102" priority="2199" stopIfTrue="1">
      <formula>IF(EM$8="判定対象外",TRUE,FALSE)</formula>
    </cfRule>
  </conditionalFormatting>
  <conditionalFormatting sqref="EM64">
    <cfRule type="expression" dxfId="2101" priority="2198" stopIfTrue="1">
      <formula>IF(EM$8="判定対象外",TRUE,FALSE)</formula>
    </cfRule>
  </conditionalFormatting>
  <conditionalFormatting sqref="EL65">
    <cfRule type="expression" dxfId="2100" priority="2180" stopIfTrue="1">
      <formula>IF(EM$8="判定対象外",TRUE,FALSE)</formula>
    </cfRule>
  </conditionalFormatting>
  <conditionalFormatting sqref="EO65">
    <cfRule type="expression" dxfId="2099" priority="2178" stopIfTrue="1">
      <formula>IF(EO65="-",TRUE,FALSE)</formula>
    </cfRule>
    <cfRule type="expression" dxfId="2098" priority="2179" stopIfTrue="1">
      <formula>IF(OR(EO65="OK"),FALSE,TRUE)</formula>
    </cfRule>
  </conditionalFormatting>
  <conditionalFormatting sqref="EN65">
    <cfRule type="expression" dxfId="2097" priority="2177" stopIfTrue="1">
      <formula>IF(EM$8="判定対象外",TRUE,FALSE)</formula>
    </cfRule>
  </conditionalFormatting>
  <conditionalFormatting sqref="EM65">
    <cfRule type="expression" dxfId="2096" priority="2176" stopIfTrue="1">
      <formula>IF(EM$8="判定対象外",TRUE,FALSE)</formula>
    </cfRule>
  </conditionalFormatting>
  <conditionalFormatting sqref="FB68">
    <cfRule type="expression" dxfId="2095" priority="1848" stopIfTrue="1">
      <formula>IF(FC$8="判定対象外",TRUE,FALSE)</formula>
    </cfRule>
  </conditionalFormatting>
  <conditionalFormatting sqref="EH67">
    <cfRule type="expression" dxfId="2094" priority="2174" stopIfTrue="1">
      <formula>IF(EI$8="判定対象外",TRUE,FALSE)</formula>
    </cfRule>
  </conditionalFormatting>
  <conditionalFormatting sqref="EK67">
    <cfRule type="expression" dxfId="2093" priority="2172" stopIfTrue="1">
      <formula>IF(EK67="-",TRUE,FALSE)</formula>
    </cfRule>
    <cfRule type="expression" dxfId="2092" priority="2173" stopIfTrue="1">
      <formula>IF(OR(EK67="OK"),FALSE,TRUE)</formula>
    </cfRule>
  </conditionalFormatting>
  <conditionalFormatting sqref="EJ67">
    <cfRule type="expression" dxfId="2091" priority="2171" stopIfTrue="1">
      <formula>IF(EI$8="判定対象外",TRUE,FALSE)</formula>
    </cfRule>
  </conditionalFormatting>
  <conditionalFormatting sqref="EI67">
    <cfRule type="expression" dxfId="2090" priority="2170" stopIfTrue="1">
      <formula>IF(EI$8="判定対象外",TRUE,FALSE)</formula>
    </cfRule>
  </conditionalFormatting>
  <conditionalFormatting sqref="EO67">
    <cfRule type="expression" dxfId="2089" priority="2168" stopIfTrue="1">
      <formula>IF(EO67="-",TRUE,FALSE)</formula>
    </cfRule>
    <cfRule type="expression" dxfId="2088" priority="2169" stopIfTrue="1">
      <formula>IF(OR(EO67="OK"),FALSE,TRUE)</formula>
    </cfRule>
  </conditionalFormatting>
  <conditionalFormatting sqref="EN67">
    <cfRule type="expression" dxfId="2087" priority="2167" stopIfTrue="1">
      <formula>IF(EM$8="判定対象外",TRUE,FALSE)</formula>
    </cfRule>
  </conditionalFormatting>
  <conditionalFormatting sqref="EM67">
    <cfRule type="expression" dxfId="2086" priority="2166" stopIfTrue="1">
      <formula>IF(EM$8="判定対象外",TRUE,FALSE)</formula>
    </cfRule>
  </conditionalFormatting>
  <conditionalFormatting sqref="EH66">
    <cfRule type="expression" dxfId="2085" priority="2163" stopIfTrue="1">
      <formula>IF(EI$8="判定対象外",TRUE,FALSE)</formula>
    </cfRule>
  </conditionalFormatting>
  <conditionalFormatting sqref="EK66">
    <cfRule type="expression" dxfId="2084" priority="2161" stopIfTrue="1">
      <formula>IF(EK66="-",TRUE,FALSE)</formula>
    </cfRule>
    <cfRule type="expression" dxfId="2083" priority="2162" stopIfTrue="1">
      <formula>IF(OR(EK66="OK"),FALSE,TRUE)</formula>
    </cfRule>
  </conditionalFormatting>
  <conditionalFormatting sqref="EJ66">
    <cfRule type="expression" dxfId="2082" priority="2160" stopIfTrue="1">
      <formula>IF(EI$8="判定対象外",TRUE,FALSE)</formula>
    </cfRule>
  </conditionalFormatting>
  <conditionalFormatting sqref="EI66">
    <cfRule type="expression" dxfId="2081" priority="2159" stopIfTrue="1">
      <formula>IF(EI$8="判定対象外",TRUE,FALSE)</formula>
    </cfRule>
  </conditionalFormatting>
  <conditionalFormatting sqref="EL66">
    <cfRule type="expression" dxfId="2080" priority="2158" stopIfTrue="1">
      <formula>IF(EM$8="判定対象外",TRUE,FALSE)</formula>
    </cfRule>
  </conditionalFormatting>
  <conditionalFormatting sqref="EO66">
    <cfRule type="expression" dxfId="2079" priority="2156" stopIfTrue="1">
      <formula>IF(EO66="-",TRUE,FALSE)</formula>
    </cfRule>
    <cfRule type="expression" dxfId="2078" priority="2157" stopIfTrue="1">
      <formula>IF(OR(EO66="OK"),FALSE,TRUE)</formula>
    </cfRule>
  </conditionalFormatting>
  <conditionalFormatting sqref="EN66">
    <cfRule type="expression" dxfId="2077" priority="2155" stopIfTrue="1">
      <formula>IF(EM$8="判定対象外",TRUE,FALSE)</formula>
    </cfRule>
  </conditionalFormatting>
  <conditionalFormatting sqref="EM66">
    <cfRule type="expression" dxfId="2076" priority="2154" stopIfTrue="1">
      <formula>IF(EM$8="判定対象外",TRUE,FALSE)</formula>
    </cfRule>
  </conditionalFormatting>
  <conditionalFormatting sqref="EP66">
    <cfRule type="expression" dxfId="2075" priority="2153" stopIfTrue="1">
      <formula>IF(EQ$8="判定対象外",TRUE,FALSE)</formula>
    </cfRule>
  </conditionalFormatting>
  <conditionalFormatting sqref="FB65">
    <cfRule type="expression" dxfId="2074" priority="1881" stopIfTrue="1">
      <formula>IF(FC$8="判定対象外",TRUE,FALSE)</formula>
    </cfRule>
  </conditionalFormatting>
  <conditionalFormatting sqref="ET65">
    <cfRule type="expression" dxfId="2073" priority="1891" stopIfTrue="1">
      <formula>IF(EU$8="判定対象外",TRUE,FALSE)</formula>
    </cfRule>
  </conditionalFormatting>
  <conditionalFormatting sqref="EW65">
    <cfRule type="expression" dxfId="2072" priority="1889" stopIfTrue="1">
      <formula>IF(EW65="-",TRUE,FALSE)</formula>
    </cfRule>
    <cfRule type="expression" dxfId="2071" priority="1890" stopIfTrue="1">
      <formula>IF(OR(EW65="OK"),FALSE,TRUE)</formula>
    </cfRule>
  </conditionalFormatting>
  <conditionalFormatting sqref="EV65">
    <cfRule type="expression" dxfId="2070" priority="1888" stopIfTrue="1">
      <formula>IF(EU$8="判定対象外",TRUE,FALSE)</formula>
    </cfRule>
  </conditionalFormatting>
  <conditionalFormatting sqref="EU65">
    <cfRule type="expression" dxfId="2069" priority="1887" stopIfTrue="1">
      <formula>IF(EU$8="判定対象外",TRUE,FALSE)</formula>
    </cfRule>
  </conditionalFormatting>
  <conditionalFormatting sqref="FB67">
    <cfRule type="expression" dxfId="2068" priority="1870" stopIfTrue="1">
      <formula>IF(FC$8="判定対象外",TRUE,FALSE)</formula>
    </cfRule>
  </conditionalFormatting>
  <conditionalFormatting sqref="FB64">
    <cfRule type="expression" dxfId="2067" priority="1892" stopIfTrue="1">
      <formula>IF(FC$8="判定対象外",TRUE,FALSE)</formula>
    </cfRule>
  </conditionalFormatting>
  <conditionalFormatting sqref="ET64">
    <cfRule type="expression" dxfId="2066" priority="1902" stopIfTrue="1">
      <formula>IF(EU$8="判定対象外",TRUE,FALSE)</formula>
    </cfRule>
  </conditionalFormatting>
  <conditionalFormatting sqref="EW64">
    <cfRule type="expression" dxfId="2065" priority="1900" stopIfTrue="1">
      <formula>IF(EW64="-",TRUE,FALSE)</formula>
    </cfRule>
    <cfRule type="expression" dxfId="2064" priority="1901" stopIfTrue="1">
      <formula>IF(OR(EW64="OK"),FALSE,TRUE)</formula>
    </cfRule>
  </conditionalFormatting>
  <conditionalFormatting sqref="EV64">
    <cfRule type="expression" dxfId="2063" priority="1899" stopIfTrue="1">
      <formula>IF(EU$8="判定対象外",TRUE,FALSE)</formula>
    </cfRule>
  </conditionalFormatting>
  <conditionalFormatting sqref="EU64">
    <cfRule type="expression" dxfId="2062" priority="1898" stopIfTrue="1">
      <formula>IF(EU$8="判定対象外",TRUE,FALSE)</formula>
    </cfRule>
  </conditionalFormatting>
  <conditionalFormatting sqref="FB63">
    <cfRule type="expression" dxfId="2061" priority="1903" stopIfTrue="1">
      <formula>IF(FC$8="判定対象外",TRUE,FALSE)</formula>
    </cfRule>
  </conditionalFormatting>
  <conditionalFormatting sqref="ET63">
    <cfRule type="expression" dxfId="2060" priority="1913" stopIfTrue="1">
      <formula>IF(EU$8="判定対象外",TRUE,FALSE)</formula>
    </cfRule>
  </conditionalFormatting>
  <conditionalFormatting sqref="EW63">
    <cfRule type="expression" dxfId="2059" priority="1911" stopIfTrue="1">
      <formula>IF(EW63="-",TRUE,FALSE)</formula>
    </cfRule>
    <cfRule type="expression" dxfId="2058" priority="1912" stopIfTrue="1">
      <formula>IF(OR(EW63="OK"),FALSE,TRUE)</formula>
    </cfRule>
  </conditionalFormatting>
  <conditionalFormatting sqref="EV63">
    <cfRule type="expression" dxfId="2057" priority="1910" stopIfTrue="1">
      <formula>IF(EU$8="判定対象外",TRUE,FALSE)</formula>
    </cfRule>
  </conditionalFormatting>
  <conditionalFormatting sqref="EU63">
    <cfRule type="expression" dxfId="2056" priority="1909" stopIfTrue="1">
      <formula>IF(EU$8="判定対象外",TRUE,FALSE)</formula>
    </cfRule>
  </conditionalFormatting>
  <conditionalFormatting sqref="FB62">
    <cfRule type="expression" dxfId="2055" priority="1914" stopIfTrue="1">
      <formula>IF(FC$8="判定対象外",TRUE,FALSE)</formula>
    </cfRule>
  </conditionalFormatting>
  <conditionalFormatting sqref="ET62">
    <cfRule type="expression" dxfId="2054" priority="1924" stopIfTrue="1">
      <formula>IF(EU$8="判定対象外",TRUE,FALSE)</formula>
    </cfRule>
  </conditionalFormatting>
  <conditionalFormatting sqref="EW62">
    <cfRule type="expression" dxfId="2053" priority="1922" stopIfTrue="1">
      <formula>IF(EW62="-",TRUE,FALSE)</formula>
    </cfRule>
    <cfRule type="expression" dxfId="2052" priority="1923" stopIfTrue="1">
      <formula>IF(OR(EW62="OK"),FALSE,TRUE)</formula>
    </cfRule>
  </conditionalFormatting>
  <conditionalFormatting sqref="EV62">
    <cfRule type="expression" dxfId="2051" priority="1921" stopIfTrue="1">
      <formula>IF(EU$8="判定対象外",TRUE,FALSE)</formula>
    </cfRule>
  </conditionalFormatting>
  <conditionalFormatting sqref="EU62">
    <cfRule type="expression" dxfId="2050" priority="1920" stopIfTrue="1">
      <formula>IF(EU$8="判定対象外",TRUE,FALSE)</formula>
    </cfRule>
  </conditionalFormatting>
  <conditionalFormatting sqref="FB61">
    <cfRule type="expression" dxfId="2049" priority="1925" stopIfTrue="1">
      <formula>IF(FC$8="判定対象外",TRUE,FALSE)</formula>
    </cfRule>
  </conditionalFormatting>
  <conditionalFormatting sqref="ET61">
    <cfRule type="expression" dxfId="2048" priority="1935" stopIfTrue="1">
      <formula>IF(EU$8="判定対象外",TRUE,FALSE)</formula>
    </cfRule>
  </conditionalFormatting>
  <conditionalFormatting sqref="EW61">
    <cfRule type="expression" dxfId="2047" priority="1933" stopIfTrue="1">
      <formula>IF(EW61="-",TRUE,FALSE)</formula>
    </cfRule>
    <cfRule type="expression" dxfId="2046" priority="1934" stopIfTrue="1">
      <formula>IF(OR(EW61="OK"),FALSE,TRUE)</formula>
    </cfRule>
  </conditionalFormatting>
  <conditionalFormatting sqref="EV61">
    <cfRule type="expression" dxfId="2045" priority="1932" stopIfTrue="1">
      <formula>IF(EU$8="判定対象外",TRUE,FALSE)</formula>
    </cfRule>
  </conditionalFormatting>
  <conditionalFormatting sqref="EU61">
    <cfRule type="expression" dxfId="2044" priority="1931" stopIfTrue="1">
      <formula>IF(EU$8="判定対象外",TRUE,FALSE)</formula>
    </cfRule>
  </conditionalFormatting>
  <conditionalFormatting sqref="FB60">
    <cfRule type="expression" dxfId="2043" priority="1936" stopIfTrue="1">
      <formula>IF(FC$8="判定対象外",TRUE,FALSE)</formula>
    </cfRule>
  </conditionalFormatting>
  <conditionalFormatting sqref="FB53 FB56 FB68 FB71">
    <cfRule type="expression" dxfId="2042" priority="1982" stopIfTrue="1">
      <formula>IF(FC$8="判定対象外",TRUE,FALSE)</formula>
    </cfRule>
  </conditionalFormatting>
  <conditionalFormatting sqref="ET60">
    <cfRule type="expression" dxfId="2041" priority="1946" stopIfTrue="1">
      <formula>IF(EU$8="判定対象外",TRUE,FALSE)</formula>
    </cfRule>
  </conditionalFormatting>
  <conditionalFormatting sqref="EW60">
    <cfRule type="expression" dxfId="2040" priority="1944" stopIfTrue="1">
      <formula>IF(EW60="-",TRUE,FALSE)</formula>
    </cfRule>
    <cfRule type="expression" dxfId="2039" priority="1945" stopIfTrue="1">
      <formula>IF(OR(EW60="OK"),FALSE,TRUE)</formula>
    </cfRule>
  </conditionalFormatting>
  <conditionalFormatting sqref="EV60">
    <cfRule type="expression" dxfId="2038" priority="1943" stopIfTrue="1">
      <formula>IF(EU$8="判定対象外",TRUE,FALSE)</formula>
    </cfRule>
  </conditionalFormatting>
  <conditionalFormatting sqref="EU60">
    <cfRule type="expression" dxfId="2037" priority="1942" stopIfTrue="1">
      <formula>IF(EU$8="判定対象外",TRUE,FALSE)</formula>
    </cfRule>
  </conditionalFormatting>
  <conditionalFormatting sqref="FB19">
    <cfRule type="expression" dxfId="2036" priority="1993" stopIfTrue="1">
      <formula>IF(FC$8="判定対象外",TRUE,FALSE)</formula>
    </cfRule>
  </conditionalFormatting>
  <conditionalFormatting sqref="FB59">
    <cfRule type="expression" dxfId="2035" priority="1947" stopIfTrue="1">
      <formula>IF(FC$8="判定対象外",TRUE,FALSE)</formula>
    </cfRule>
  </conditionalFormatting>
  <conditionalFormatting sqref="ET59">
    <cfRule type="expression" dxfId="2034" priority="1957" stopIfTrue="1">
      <formula>IF(EU$8="判定対象外",TRUE,FALSE)</formula>
    </cfRule>
  </conditionalFormatting>
  <conditionalFormatting sqref="EW59">
    <cfRule type="expression" dxfId="2033" priority="1955" stopIfTrue="1">
      <formula>IF(EW59="-",TRUE,FALSE)</formula>
    </cfRule>
    <cfRule type="expression" dxfId="2032" priority="1956" stopIfTrue="1">
      <formula>IF(OR(EW59="OK"),FALSE,TRUE)</formula>
    </cfRule>
  </conditionalFormatting>
  <conditionalFormatting sqref="EV59">
    <cfRule type="expression" dxfId="2031" priority="1954" stopIfTrue="1">
      <formula>IF(EU$8="判定対象外",TRUE,FALSE)</formula>
    </cfRule>
  </conditionalFormatting>
  <conditionalFormatting sqref="EU59">
    <cfRule type="expression" dxfId="2030" priority="1953" stopIfTrue="1">
      <formula>IF(EU$8="判定対象外",TRUE,FALSE)</formula>
    </cfRule>
  </conditionalFormatting>
  <conditionalFormatting sqref="FB16:FB18">
    <cfRule type="expression" dxfId="2029" priority="2003" stopIfTrue="1">
      <formula>IF(FC$8="判定対象外",TRUE,FALSE)</formula>
    </cfRule>
  </conditionalFormatting>
  <conditionalFormatting sqref="EW8:EW10">
    <cfRule type="expression" dxfId="2028" priority="2151" stopIfTrue="1">
      <formula>IF(EW8="-",TRUE,FALSE)</formula>
    </cfRule>
    <cfRule type="expression" dxfId="2027" priority="2152" stopIfTrue="1">
      <formula>IF(OR(EW8="OK"),FALSE,TRUE)</formula>
    </cfRule>
  </conditionalFormatting>
  <conditionalFormatting sqref="ET8:ET10">
    <cfRule type="expression" dxfId="2026" priority="2150" stopIfTrue="1">
      <formula>IF(EU$8="判定対象外",TRUE,FALSE)</formula>
    </cfRule>
  </conditionalFormatting>
  <conditionalFormatting sqref="EU8:EU10">
    <cfRule type="expression" dxfId="2025" priority="2149" stopIfTrue="1">
      <formula>IF(EU$8="判定対象外",TRUE,FALSE)</formula>
    </cfRule>
  </conditionalFormatting>
  <conditionalFormatting sqref="EV8:EV10">
    <cfRule type="expression" dxfId="2024" priority="2148" stopIfTrue="1">
      <formula>IF(EU$8="判定対象外",TRUE,FALSE)</formula>
    </cfRule>
  </conditionalFormatting>
  <conditionalFormatting sqref="EW11:EW34 EW71:EW81 EW36:EW56">
    <cfRule type="expression" dxfId="2023" priority="2145" stopIfTrue="1">
      <formula>IF(EW11="-",TRUE,FALSE)</formula>
    </cfRule>
    <cfRule type="expression" dxfId="2022" priority="2146" stopIfTrue="1">
      <formula>IF(OR(EW11="OK"),FALSE,TRUE)</formula>
    </cfRule>
  </conditionalFormatting>
  <conditionalFormatting sqref="EV11:EV34 EV71:EV81 EV36:EV56">
    <cfRule type="expression" dxfId="2021" priority="2144" stopIfTrue="1">
      <formula>IF(EU$8="判定対象外",TRUE,FALSE)</formula>
    </cfRule>
  </conditionalFormatting>
  <conditionalFormatting sqref="ET72:ET81 ET21:ET34 ET36:ET46">
    <cfRule type="expression" dxfId="2020" priority="2143" stopIfTrue="1">
      <formula>IF(EU$8="判定対象外",TRUE,FALSE)</formula>
    </cfRule>
  </conditionalFormatting>
  <conditionalFormatting sqref="ET29:ET32">
    <cfRule type="expression" dxfId="2019" priority="2142" stopIfTrue="1">
      <formula>IF(EU$8="判定対象外",TRUE,FALSE)</formula>
    </cfRule>
  </conditionalFormatting>
  <conditionalFormatting sqref="ET42:ET44">
    <cfRule type="expression" dxfId="2018" priority="2141" stopIfTrue="1">
      <formula>IF(EU$8="判定対象外",TRUE,FALSE)</formula>
    </cfRule>
  </conditionalFormatting>
  <conditionalFormatting sqref="ET46">
    <cfRule type="expression" dxfId="2017" priority="2140" stopIfTrue="1">
      <formula>IF(EU$8="判定対象外",TRUE,FALSE)</formula>
    </cfRule>
  </conditionalFormatting>
  <conditionalFormatting sqref="ET42:ET44">
    <cfRule type="expression" dxfId="2016" priority="2139" stopIfTrue="1">
      <formula>IF(EU$8="判定対象外",TRUE,FALSE)</formula>
    </cfRule>
  </conditionalFormatting>
  <conditionalFormatting sqref="ET42:ET44">
    <cfRule type="expression" dxfId="2015" priority="2138" stopIfTrue="1">
      <formula>IF(EU$8="判定対象外",TRUE,FALSE)</formula>
    </cfRule>
  </conditionalFormatting>
  <conditionalFormatting sqref="ET42:ET44">
    <cfRule type="expression" dxfId="2014" priority="2137" stopIfTrue="1">
      <formula>IF(EU$8="判定対象外",TRUE,FALSE)</formula>
    </cfRule>
  </conditionalFormatting>
  <conditionalFormatting sqref="ET42:ET44">
    <cfRule type="expression" dxfId="2013" priority="2136" stopIfTrue="1">
      <formula>IF(EU$8="判定対象外",TRUE,FALSE)</formula>
    </cfRule>
  </conditionalFormatting>
  <conditionalFormatting sqref="ET42:ET44">
    <cfRule type="expression" dxfId="2012" priority="2135" stopIfTrue="1">
      <formula>IF(EU$8="判定対象外",TRUE,FALSE)</formula>
    </cfRule>
  </conditionalFormatting>
  <conditionalFormatting sqref="ET42:ET44">
    <cfRule type="expression" dxfId="2011" priority="2134" stopIfTrue="1">
      <formula>IF(EU$8="判定対象外",TRUE,FALSE)</formula>
    </cfRule>
  </conditionalFormatting>
  <conditionalFormatting sqref="ET42:ET44">
    <cfRule type="expression" dxfId="2010" priority="2133" stopIfTrue="1">
      <formula>IF(EU$8="判定対象外",TRUE,FALSE)</formula>
    </cfRule>
  </conditionalFormatting>
  <conditionalFormatting sqref="ET38">
    <cfRule type="expression" dxfId="2009" priority="2147" stopIfTrue="1">
      <formula>IF(#REF!="判定対象外",TRUE,FALSE)</formula>
    </cfRule>
  </conditionalFormatting>
  <conditionalFormatting sqref="EU11:EU34 EU71:EU81 EU36:EU56">
    <cfRule type="expression" dxfId="2008" priority="2132" stopIfTrue="1">
      <formula>IF(EU$8="判定対象外",TRUE,FALSE)</formula>
    </cfRule>
  </conditionalFormatting>
  <conditionalFormatting sqref="ET48">
    <cfRule type="expression" dxfId="2007" priority="2131" stopIfTrue="1">
      <formula>IF(EU$8="判定対象外",TRUE,FALSE)</formula>
    </cfRule>
  </conditionalFormatting>
  <conditionalFormatting sqref="ET51">
    <cfRule type="expression" dxfId="2006" priority="2130" stopIfTrue="1">
      <formula>IF(EU$8="判定対象外",TRUE,FALSE)</formula>
    </cfRule>
  </conditionalFormatting>
  <conditionalFormatting sqref="ET52 ET55 ET70">
    <cfRule type="expression" dxfId="2005" priority="2129" stopIfTrue="1">
      <formula>IF(EU$8="判定対象外",TRUE,FALSE)</formula>
    </cfRule>
  </conditionalFormatting>
  <conditionalFormatting sqref="ET11:ET20">
    <cfRule type="expression" dxfId="2004" priority="2128" stopIfTrue="1">
      <formula>IF(EU$8="判定対象外",TRUE,FALSE)</formula>
    </cfRule>
  </conditionalFormatting>
  <conditionalFormatting sqref="ET16:ET18">
    <cfRule type="expression" dxfId="2003" priority="2127" stopIfTrue="1">
      <formula>IF(EU$8="判定対象外",TRUE,FALSE)</formula>
    </cfRule>
  </conditionalFormatting>
  <conditionalFormatting sqref="ET20">
    <cfRule type="expression" dxfId="2002" priority="2126" stopIfTrue="1">
      <formula>IF(EU$8="判定対象外",TRUE,FALSE)</formula>
    </cfRule>
  </conditionalFormatting>
  <conditionalFormatting sqref="ET16:ET20">
    <cfRule type="expression" dxfId="2001" priority="2125" stopIfTrue="1">
      <formula>IF(EU$8="判定対象外",TRUE,FALSE)</formula>
    </cfRule>
  </conditionalFormatting>
  <conditionalFormatting sqref="ET11:ET20">
    <cfRule type="expression" dxfId="2000" priority="2124" stopIfTrue="1">
      <formula>IF(EU$8="判定対象外",TRUE,FALSE)</formula>
    </cfRule>
  </conditionalFormatting>
  <conditionalFormatting sqref="ET16:ET18">
    <cfRule type="expression" dxfId="1999" priority="2123" stopIfTrue="1">
      <formula>IF(EU$8="判定対象外",TRUE,FALSE)</formula>
    </cfRule>
  </conditionalFormatting>
  <conditionalFormatting sqref="ET20">
    <cfRule type="expression" dxfId="1998" priority="2122" stopIfTrue="1">
      <formula>IF(EU$8="判定対象外",TRUE,FALSE)</formula>
    </cfRule>
  </conditionalFormatting>
  <conditionalFormatting sqref="ET16:ET20">
    <cfRule type="expression" dxfId="1997" priority="2121" stopIfTrue="1">
      <formula>IF(EU$8="判定対象外",TRUE,FALSE)</formula>
    </cfRule>
  </conditionalFormatting>
  <conditionalFormatting sqref="ET11:ET20">
    <cfRule type="expression" dxfId="1996" priority="2120" stopIfTrue="1">
      <formula>IF(EU$8="判定対象外",TRUE,FALSE)</formula>
    </cfRule>
  </conditionalFormatting>
  <conditionalFormatting sqref="ET16:ET18">
    <cfRule type="expression" dxfId="1995" priority="2119" stopIfTrue="1">
      <formula>IF(EU$8="判定対象外",TRUE,FALSE)</formula>
    </cfRule>
  </conditionalFormatting>
  <conditionalFormatting sqref="ET20">
    <cfRule type="expression" dxfId="1994" priority="2118" stopIfTrue="1">
      <formula>IF(EU$8="判定対象外",TRUE,FALSE)</formula>
    </cfRule>
  </conditionalFormatting>
  <conditionalFormatting sqref="ET16:ET20">
    <cfRule type="expression" dxfId="1993" priority="2117" stopIfTrue="1">
      <formula>IF(EU$8="判定対象外",TRUE,FALSE)</formula>
    </cfRule>
  </conditionalFormatting>
  <conditionalFormatting sqref="ET11:ET13">
    <cfRule type="expression" dxfId="1992" priority="2116" stopIfTrue="1">
      <formula>IF(EU$8="判定対象外",TRUE,FALSE)</formula>
    </cfRule>
  </conditionalFormatting>
  <conditionalFormatting sqref="ET15">
    <cfRule type="expression" dxfId="1991" priority="2115" stopIfTrue="1">
      <formula>IF(EU$8="判定対象外",TRUE,FALSE)</formula>
    </cfRule>
  </conditionalFormatting>
  <conditionalFormatting sqref="ET19">
    <cfRule type="expression" dxfId="1990" priority="2114" stopIfTrue="1">
      <formula>IF(EU$8="判定対象外",TRUE,FALSE)</formula>
    </cfRule>
  </conditionalFormatting>
  <conditionalFormatting sqref="ET19">
    <cfRule type="expression" dxfId="1989" priority="2113" stopIfTrue="1">
      <formula>IF(EU$8="判定対象外",TRUE,FALSE)</formula>
    </cfRule>
  </conditionalFormatting>
  <conditionalFormatting sqref="ET20">
    <cfRule type="expression" dxfId="1988" priority="2112" stopIfTrue="1">
      <formula>IF(EU$8="判定対象外",TRUE,FALSE)</formula>
    </cfRule>
  </conditionalFormatting>
  <conditionalFormatting sqref="ET20">
    <cfRule type="expression" dxfId="1987" priority="2111" stopIfTrue="1">
      <formula>IF(EU$8="判定対象外",TRUE,FALSE)</formula>
    </cfRule>
  </conditionalFormatting>
  <conditionalFormatting sqref="ET20">
    <cfRule type="expression" dxfId="1986" priority="2110" stopIfTrue="1">
      <formula>IF(EU$8="判定対象外",TRUE,FALSE)</formula>
    </cfRule>
  </conditionalFormatting>
  <conditionalFormatting sqref="ET13">
    <cfRule type="expression" dxfId="1985" priority="2109" stopIfTrue="1">
      <formula>IF(EU$8="判定対象外",TRUE,FALSE)</formula>
    </cfRule>
  </conditionalFormatting>
  <conditionalFormatting sqref="ET47">
    <cfRule type="expression" dxfId="1984" priority="2108" stopIfTrue="1">
      <formula>IF(EU$8="判定対象外",TRUE,FALSE)</formula>
    </cfRule>
  </conditionalFormatting>
  <conditionalFormatting sqref="ET47">
    <cfRule type="expression" dxfId="1983" priority="2107" stopIfTrue="1">
      <formula>IF(EU$8="判定対象外",TRUE,FALSE)</formula>
    </cfRule>
  </conditionalFormatting>
  <conditionalFormatting sqref="ET49">
    <cfRule type="expression" dxfId="1982" priority="2106" stopIfTrue="1">
      <formula>IF(EU$8="判定対象外",TRUE,FALSE)</formula>
    </cfRule>
  </conditionalFormatting>
  <conditionalFormatting sqref="ET49">
    <cfRule type="expression" dxfId="1981" priority="2105" stopIfTrue="1">
      <formula>IF(EU$8="判定対象外",TRUE,FALSE)</formula>
    </cfRule>
  </conditionalFormatting>
  <conditionalFormatting sqref="ET50">
    <cfRule type="expression" dxfId="1980" priority="2104" stopIfTrue="1">
      <formula>IF(EU$8="判定対象外",TRUE,FALSE)</formula>
    </cfRule>
  </conditionalFormatting>
  <conditionalFormatting sqref="ET50">
    <cfRule type="expression" dxfId="1979" priority="2103" stopIfTrue="1">
      <formula>IF(EU$8="判定対象外",TRUE,FALSE)</formula>
    </cfRule>
  </conditionalFormatting>
  <conditionalFormatting sqref="ET53 ET56 ET68 ET71">
    <cfRule type="expression" dxfId="1978" priority="2102" stopIfTrue="1">
      <formula>IF(EU$8="判定対象外",TRUE,FALSE)</formula>
    </cfRule>
  </conditionalFormatting>
  <conditionalFormatting sqref="ET54 ET57 ET69">
    <cfRule type="expression" dxfId="1977" priority="2101" stopIfTrue="1">
      <formula>IF(EU$8="判定対象外",TRUE,FALSE)</formula>
    </cfRule>
  </conditionalFormatting>
  <conditionalFormatting sqref="EW57">
    <cfRule type="expression" dxfId="1976" priority="2099" stopIfTrue="1">
      <formula>IF(EW57="-",TRUE,FALSE)</formula>
    </cfRule>
    <cfRule type="expression" dxfId="1975" priority="2100" stopIfTrue="1">
      <formula>IF(OR(EW57="OK"),FALSE,TRUE)</formula>
    </cfRule>
  </conditionalFormatting>
  <conditionalFormatting sqref="EV57">
    <cfRule type="expression" dxfId="1974" priority="2098" stopIfTrue="1">
      <formula>IF(EU$8="判定対象外",TRUE,FALSE)</formula>
    </cfRule>
  </conditionalFormatting>
  <conditionalFormatting sqref="EU57">
    <cfRule type="expression" dxfId="1973" priority="2097" stopIfTrue="1">
      <formula>IF(EU$8="判定対象外",TRUE,FALSE)</formula>
    </cfRule>
  </conditionalFormatting>
  <conditionalFormatting sqref="EW68:EW70">
    <cfRule type="expression" dxfId="1972" priority="2095" stopIfTrue="1">
      <formula>IF(EW68="-",TRUE,FALSE)</formula>
    </cfRule>
    <cfRule type="expression" dxfId="1971" priority="2096" stopIfTrue="1">
      <formula>IF(OR(EW68="OK"),FALSE,TRUE)</formula>
    </cfRule>
  </conditionalFormatting>
  <conditionalFormatting sqref="EV68:EV70">
    <cfRule type="expression" dxfId="1970" priority="2094" stopIfTrue="1">
      <formula>IF(EU$8="判定対象外",TRUE,FALSE)</formula>
    </cfRule>
  </conditionalFormatting>
  <conditionalFormatting sqref="EU68:EU70">
    <cfRule type="expression" dxfId="1969" priority="2093" stopIfTrue="1">
      <formula>IF(EU$8="判定対象外",TRUE,FALSE)</formula>
    </cfRule>
  </conditionalFormatting>
  <conditionalFormatting sqref="FA8:FA10">
    <cfRule type="expression" dxfId="1968" priority="2091" stopIfTrue="1">
      <formula>IF(FA8="-",TRUE,FALSE)</formula>
    </cfRule>
    <cfRule type="expression" dxfId="1967" priority="2092" stopIfTrue="1">
      <formula>IF(OR(FA8="OK"),FALSE,TRUE)</formula>
    </cfRule>
  </conditionalFormatting>
  <conditionalFormatting sqref="EX8:EX10">
    <cfRule type="expression" dxfId="1966" priority="2090" stopIfTrue="1">
      <formula>IF(EY$8="判定対象外",TRUE,FALSE)</formula>
    </cfRule>
  </conditionalFormatting>
  <conditionalFormatting sqref="EY8:EY10">
    <cfRule type="expression" dxfId="1965" priority="2089" stopIfTrue="1">
      <formula>IF(EY$8="判定対象外",TRUE,FALSE)</formula>
    </cfRule>
  </conditionalFormatting>
  <conditionalFormatting sqref="EZ8:EZ10">
    <cfRule type="expression" dxfId="1964" priority="2088" stopIfTrue="1">
      <formula>IF(EY$8="判定対象外",TRUE,FALSE)</formula>
    </cfRule>
  </conditionalFormatting>
  <conditionalFormatting sqref="FA11:FA34 FA71:FA81 FA36:FA56">
    <cfRule type="expression" dxfId="1963" priority="2085" stopIfTrue="1">
      <formula>IF(FA11="-",TRUE,FALSE)</formula>
    </cfRule>
    <cfRule type="expression" dxfId="1962" priority="2086" stopIfTrue="1">
      <formula>IF(OR(FA11="OK"),FALSE,TRUE)</formula>
    </cfRule>
  </conditionalFormatting>
  <conditionalFormatting sqref="EZ11:EZ34 EZ71:EZ81 EZ36:EZ56">
    <cfRule type="expression" dxfId="1961" priority="2084" stopIfTrue="1">
      <formula>IF(EY$8="判定対象外",TRUE,FALSE)</formula>
    </cfRule>
  </conditionalFormatting>
  <conditionalFormatting sqref="EX72:EX81 EX21:EX34 EX36:EX46">
    <cfRule type="expression" dxfId="1960" priority="2083" stopIfTrue="1">
      <formula>IF(EY$8="判定対象外",TRUE,FALSE)</formula>
    </cfRule>
  </conditionalFormatting>
  <conditionalFormatting sqref="EX29:EX32">
    <cfRule type="expression" dxfId="1959" priority="2082" stopIfTrue="1">
      <formula>IF(EY$8="判定対象外",TRUE,FALSE)</formula>
    </cfRule>
  </conditionalFormatting>
  <conditionalFormatting sqref="EX42:EX44">
    <cfRule type="expression" dxfId="1958" priority="2081" stopIfTrue="1">
      <formula>IF(EY$8="判定対象外",TRUE,FALSE)</formula>
    </cfRule>
  </conditionalFormatting>
  <conditionalFormatting sqref="EX46">
    <cfRule type="expression" dxfId="1957" priority="2080" stopIfTrue="1">
      <formula>IF(EY$8="判定対象外",TRUE,FALSE)</formula>
    </cfRule>
  </conditionalFormatting>
  <conditionalFormatting sqref="EX42:EX44">
    <cfRule type="expression" dxfId="1956" priority="2079" stopIfTrue="1">
      <formula>IF(EY$8="判定対象外",TRUE,FALSE)</formula>
    </cfRule>
  </conditionalFormatting>
  <conditionalFormatting sqref="EX42:EX44">
    <cfRule type="expression" dxfId="1955" priority="2078" stopIfTrue="1">
      <formula>IF(EY$8="判定対象外",TRUE,FALSE)</formula>
    </cfRule>
  </conditionalFormatting>
  <conditionalFormatting sqref="EX42:EX44">
    <cfRule type="expression" dxfId="1954" priority="2077" stopIfTrue="1">
      <formula>IF(EY$8="判定対象外",TRUE,FALSE)</formula>
    </cfRule>
  </conditionalFormatting>
  <conditionalFormatting sqref="EX42:EX44">
    <cfRule type="expression" dxfId="1953" priority="2076" stopIfTrue="1">
      <formula>IF(EY$8="判定対象外",TRUE,FALSE)</formula>
    </cfRule>
  </conditionalFormatting>
  <conditionalFormatting sqref="EX42:EX44">
    <cfRule type="expression" dxfId="1952" priority="2075" stopIfTrue="1">
      <formula>IF(EY$8="判定対象外",TRUE,FALSE)</formula>
    </cfRule>
  </conditionalFormatting>
  <conditionalFormatting sqref="EX42:EX44">
    <cfRule type="expression" dxfId="1951" priority="2074" stopIfTrue="1">
      <formula>IF(EY$8="判定対象外",TRUE,FALSE)</formula>
    </cfRule>
  </conditionalFormatting>
  <conditionalFormatting sqref="EX42:EX44">
    <cfRule type="expression" dxfId="1950" priority="2073" stopIfTrue="1">
      <formula>IF(EY$8="判定対象外",TRUE,FALSE)</formula>
    </cfRule>
  </conditionalFormatting>
  <conditionalFormatting sqref="EX38">
    <cfRule type="expression" dxfId="1949" priority="2087" stopIfTrue="1">
      <formula>IF(#REF!="判定対象外",TRUE,FALSE)</formula>
    </cfRule>
  </conditionalFormatting>
  <conditionalFormatting sqref="EY11:EY34 EY71:EY81 EY36:EY56">
    <cfRule type="expression" dxfId="1948" priority="2072" stopIfTrue="1">
      <formula>IF(EY$8="判定対象外",TRUE,FALSE)</formula>
    </cfRule>
  </conditionalFormatting>
  <conditionalFormatting sqref="EX48">
    <cfRule type="expression" dxfId="1947" priority="2071" stopIfTrue="1">
      <formula>IF(EY$8="判定対象外",TRUE,FALSE)</formula>
    </cfRule>
  </conditionalFormatting>
  <conditionalFormatting sqref="EX51">
    <cfRule type="expression" dxfId="1946" priority="2070" stopIfTrue="1">
      <formula>IF(EY$8="判定対象外",TRUE,FALSE)</formula>
    </cfRule>
  </conditionalFormatting>
  <conditionalFormatting sqref="EX52 EX55 EX70">
    <cfRule type="expression" dxfId="1945" priority="2069" stopIfTrue="1">
      <formula>IF(EY$8="判定対象外",TRUE,FALSE)</formula>
    </cfRule>
  </conditionalFormatting>
  <conditionalFormatting sqref="EX11:EX20">
    <cfRule type="expression" dxfId="1944" priority="2068" stopIfTrue="1">
      <formula>IF(EY$8="判定対象外",TRUE,FALSE)</formula>
    </cfRule>
  </conditionalFormatting>
  <conditionalFormatting sqref="EX16:EX18">
    <cfRule type="expression" dxfId="1943" priority="2067" stopIfTrue="1">
      <formula>IF(EY$8="判定対象外",TRUE,FALSE)</formula>
    </cfRule>
  </conditionalFormatting>
  <conditionalFormatting sqref="EX20">
    <cfRule type="expression" dxfId="1942" priority="2066" stopIfTrue="1">
      <formula>IF(EY$8="判定対象外",TRUE,FALSE)</formula>
    </cfRule>
  </conditionalFormatting>
  <conditionalFormatting sqref="EX16:EX20">
    <cfRule type="expression" dxfId="1941" priority="2065" stopIfTrue="1">
      <formula>IF(EY$8="判定対象外",TRUE,FALSE)</formula>
    </cfRule>
  </conditionalFormatting>
  <conditionalFormatting sqref="EX11:EX20">
    <cfRule type="expression" dxfId="1940" priority="2064" stopIfTrue="1">
      <formula>IF(EY$8="判定対象外",TRUE,FALSE)</formula>
    </cfRule>
  </conditionalFormatting>
  <conditionalFormatting sqref="EX16:EX18">
    <cfRule type="expression" dxfId="1939" priority="2063" stopIfTrue="1">
      <formula>IF(EY$8="判定対象外",TRUE,FALSE)</formula>
    </cfRule>
  </conditionalFormatting>
  <conditionalFormatting sqref="EX20">
    <cfRule type="expression" dxfId="1938" priority="2062" stopIfTrue="1">
      <formula>IF(EY$8="判定対象外",TRUE,FALSE)</formula>
    </cfRule>
  </conditionalFormatting>
  <conditionalFormatting sqref="EX16:EX20">
    <cfRule type="expression" dxfId="1937" priority="2061" stopIfTrue="1">
      <formula>IF(EY$8="判定対象外",TRUE,FALSE)</formula>
    </cfRule>
  </conditionalFormatting>
  <conditionalFormatting sqref="EX11:EX20">
    <cfRule type="expression" dxfId="1936" priority="2060" stopIfTrue="1">
      <formula>IF(EY$8="判定対象外",TRUE,FALSE)</formula>
    </cfRule>
  </conditionalFormatting>
  <conditionalFormatting sqref="EX16:EX18">
    <cfRule type="expression" dxfId="1935" priority="2059" stopIfTrue="1">
      <formula>IF(EY$8="判定対象外",TRUE,FALSE)</formula>
    </cfRule>
  </conditionalFormatting>
  <conditionalFormatting sqref="EX20">
    <cfRule type="expression" dxfId="1934" priority="2058" stopIfTrue="1">
      <formula>IF(EY$8="判定対象外",TRUE,FALSE)</formula>
    </cfRule>
  </conditionalFormatting>
  <conditionalFormatting sqref="EX16:EX20">
    <cfRule type="expression" dxfId="1933" priority="2057" stopIfTrue="1">
      <formula>IF(EY$8="判定対象外",TRUE,FALSE)</formula>
    </cfRule>
  </conditionalFormatting>
  <conditionalFormatting sqref="EX11:EX13">
    <cfRule type="expression" dxfId="1932" priority="2056" stopIfTrue="1">
      <formula>IF(EY$8="判定対象外",TRUE,FALSE)</formula>
    </cfRule>
  </conditionalFormatting>
  <conditionalFormatting sqref="EX15">
    <cfRule type="expression" dxfId="1931" priority="2055" stopIfTrue="1">
      <formula>IF(EY$8="判定対象外",TRUE,FALSE)</formula>
    </cfRule>
  </conditionalFormatting>
  <conditionalFormatting sqref="EX19">
    <cfRule type="expression" dxfId="1930" priority="2054" stopIfTrue="1">
      <formula>IF(EY$8="判定対象外",TRUE,FALSE)</formula>
    </cfRule>
  </conditionalFormatting>
  <conditionalFormatting sqref="EX19">
    <cfRule type="expression" dxfId="1929" priority="2053" stopIfTrue="1">
      <formula>IF(EY$8="判定対象外",TRUE,FALSE)</formula>
    </cfRule>
  </conditionalFormatting>
  <conditionalFormatting sqref="EX20">
    <cfRule type="expression" dxfId="1928" priority="2052" stopIfTrue="1">
      <formula>IF(EY$8="判定対象外",TRUE,FALSE)</formula>
    </cfRule>
  </conditionalFormatting>
  <conditionalFormatting sqref="EX20">
    <cfRule type="expression" dxfId="1927" priority="2051" stopIfTrue="1">
      <formula>IF(EY$8="判定対象外",TRUE,FALSE)</formula>
    </cfRule>
  </conditionalFormatting>
  <conditionalFormatting sqref="EX20">
    <cfRule type="expression" dxfId="1926" priority="2050" stopIfTrue="1">
      <formula>IF(EY$8="判定対象外",TRUE,FALSE)</formula>
    </cfRule>
  </conditionalFormatting>
  <conditionalFormatting sqref="EX13">
    <cfRule type="expression" dxfId="1925" priority="2049" stopIfTrue="1">
      <formula>IF(EY$8="判定対象外",TRUE,FALSE)</formula>
    </cfRule>
  </conditionalFormatting>
  <conditionalFormatting sqref="EX47">
    <cfRule type="expression" dxfId="1924" priority="2048" stopIfTrue="1">
      <formula>IF(EY$8="判定対象外",TRUE,FALSE)</formula>
    </cfRule>
  </conditionalFormatting>
  <conditionalFormatting sqref="EX47">
    <cfRule type="expression" dxfId="1923" priority="2047" stopIfTrue="1">
      <formula>IF(EY$8="判定対象外",TRUE,FALSE)</formula>
    </cfRule>
  </conditionalFormatting>
  <conditionalFormatting sqref="EX49">
    <cfRule type="expression" dxfId="1922" priority="2046" stopIfTrue="1">
      <formula>IF(EY$8="判定対象外",TRUE,FALSE)</formula>
    </cfRule>
  </conditionalFormatting>
  <conditionalFormatting sqref="EX49">
    <cfRule type="expression" dxfId="1921" priority="2045" stopIfTrue="1">
      <formula>IF(EY$8="判定対象外",TRUE,FALSE)</formula>
    </cfRule>
  </conditionalFormatting>
  <conditionalFormatting sqref="EX50">
    <cfRule type="expression" dxfId="1920" priority="2044" stopIfTrue="1">
      <formula>IF(EY$8="判定対象外",TRUE,FALSE)</formula>
    </cfRule>
  </conditionalFormatting>
  <conditionalFormatting sqref="EX50">
    <cfRule type="expression" dxfId="1919" priority="2043" stopIfTrue="1">
      <formula>IF(EY$8="判定対象外",TRUE,FALSE)</formula>
    </cfRule>
  </conditionalFormatting>
  <conditionalFormatting sqref="EX53 EX56 EX71">
    <cfRule type="expression" dxfId="1918" priority="2042" stopIfTrue="1">
      <formula>IF(EY$8="判定対象外",TRUE,FALSE)</formula>
    </cfRule>
  </conditionalFormatting>
  <conditionalFormatting sqref="EX54 EX57 EX69">
    <cfRule type="expression" dxfId="1917" priority="2041" stopIfTrue="1">
      <formula>IF(EY$8="判定対象外",TRUE,FALSE)</formula>
    </cfRule>
  </conditionalFormatting>
  <conditionalFormatting sqref="FA57">
    <cfRule type="expression" dxfId="1916" priority="2039" stopIfTrue="1">
      <formula>IF(FA57="-",TRUE,FALSE)</formula>
    </cfRule>
    <cfRule type="expression" dxfId="1915" priority="2040" stopIfTrue="1">
      <formula>IF(OR(FA57="OK"),FALSE,TRUE)</formula>
    </cfRule>
  </conditionalFormatting>
  <conditionalFormatting sqref="EZ57">
    <cfRule type="expression" dxfId="1914" priority="2038" stopIfTrue="1">
      <formula>IF(EY$8="判定対象外",TRUE,FALSE)</formula>
    </cfRule>
  </conditionalFormatting>
  <conditionalFormatting sqref="EY57">
    <cfRule type="expression" dxfId="1913" priority="2037" stopIfTrue="1">
      <formula>IF(EY$8="判定対象外",TRUE,FALSE)</formula>
    </cfRule>
  </conditionalFormatting>
  <conditionalFormatting sqref="FA68:FA70">
    <cfRule type="expression" dxfId="1912" priority="2035" stopIfTrue="1">
      <formula>IF(FA68="-",TRUE,FALSE)</formula>
    </cfRule>
    <cfRule type="expression" dxfId="1911" priority="2036" stopIfTrue="1">
      <formula>IF(OR(FA68="OK"),FALSE,TRUE)</formula>
    </cfRule>
  </conditionalFormatting>
  <conditionalFormatting sqref="EZ68:EZ70">
    <cfRule type="expression" dxfId="1910" priority="2034" stopIfTrue="1">
      <formula>IF(EY$8="判定対象外",TRUE,FALSE)</formula>
    </cfRule>
  </conditionalFormatting>
  <conditionalFormatting sqref="EY68:EY70">
    <cfRule type="expression" dxfId="1909" priority="2033" stopIfTrue="1">
      <formula>IF(EY$8="判定対象外",TRUE,FALSE)</formula>
    </cfRule>
  </conditionalFormatting>
  <conditionalFormatting sqref="FB29:FB32">
    <cfRule type="expression" dxfId="1908" priority="2022" stopIfTrue="1">
      <formula>IF(FC$8="判定対象外",TRUE,FALSE)</formula>
    </cfRule>
  </conditionalFormatting>
  <conditionalFormatting sqref="FE8:FE10">
    <cfRule type="expression" dxfId="1907" priority="2031" stopIfTrue="1">
      <formula>IF(FE8="-",TRUE,FALSE)</formula>
    </cfRule>
    <cfRule type="expression" dxfId="1906" priority="2032" stopIfTrue="1">
      <formula>IF(OR(FE8="OK"),FALSE,TRUE)</formula>
    </cfRule>
  </conditionalFormatting>
  <conditionalFormatting sqref="FB8:FB10">
    <cfRule type="expression" dxfId="1905" priority="2030" stopIfTrue="1">
      <formula>IF(FC$8="判定対象外",TRUE,FALSE)</formula>
    </cfRule>
  </conditionalFormatting>
  <conditionalFormatting sqref="FC8:FC10">
    <cfRule type="expression" dxfId="1904" priority="2029" stopIfTrue="1">
      <formula>IF(FC$8="判定対象外",TRUE,FALSE)</formula>
    </cfRule>
  </conditionalFormatting>
  <conditionalFormatting sqref="FD8:FD10">
    <cfRule type="expression" dxfId="1903" priority="2028" stopIfTrue="1">
      <formula>IF(FC$8="判定対象外",TRUE,FALSE)</formula>
    </cfRule>
  </conditionalFormatting>
  <conditionalFormatting sqref="FE11:FE34 FE71:FE81 FE36:FE56">
    <cfRule type="expression" dxfId="1902" priority="2025" stopIfTrue="1">
      <formula>IF(FE11="-",TRUE,FALSE)</formula>
    </cfRule>
    <cfRule type="expression" dxfId="1901" priority="2026" stopIfTrue="1">
      <formula>IF(OR(FE11="OK"),FALSE,TRUE)</formula>
    </cfRule>
  </conditionalFormatting>
  <conditionalFormatting sqref="FD11:FD34 FD71:FD81 FD36:FD56">
    <cfRule type="expression" dxfId="1900" priority="2024" stopIfTrue="1">
      <formula>IF(FC$8="判定対象外",TRUE,FALSE)</formula>
    </cfRule>
  </conditionalFormatting>
  <conditionalFormatting sqref="FB72:FB81 FB21:FB34 FB36:FB46">
    <cfRule type="expression" dxfId="1899" priority="2023" stopIfTrue="1">
      <formula>IF(FC$8="判定対象外",TRUE,FALSE)</formula>
    </cfRule>
  </conditionalFormatting>
  <conditionalFormatting sqref="FB42:FB44">
    <cfRule type="expression" dxfId="1898" priority="2021" stopIfTrue="1">
      <formula>IF(FC$8="判定対象外",TRUE,FALSE)</formula>
    </cfRule>
  </conditionalFormatting>
  <conditionalFormatting sqref="FB46">
    <cfRule type="expression" dxfId="1897" priority="2020" stopIfTrue="1">
      <formula>IF(FC$8="判定対象外",TRUE,FALSE)</formula>
    </cfRule>
  </conditionalFormatting>
  <conditionalFormatting sqref="FB42:FB44">
    <cfRule type="expression" dxfId="1896" priority="2019" stopIfTrue="1">
      <formula>IF(FC$8="判定対象外",TRUE,FALSE)</formula>
    </cfRule>
  </conditionalFormatting>
  <conditionalFormatting sqref="FB42:FB44">
    <cfRule type="expression" dxfId="1895" priority="2018" stopIfTrue="1">
      <formula>IF(FC$8="判定対象外",TRUE,FALSE)</formula>
    </cfRule>
  </conditionalFormatting>
  <conditionalFormatting sqref="FB42:FB44">
    <cfRule type="expression" dxfId="1894" priority="2017" stopIfTrue="1">
      <formula>IF(FC$8="判定対象外",TRUE,FALSE)</formula>
    </cfRule>
  </conditionalFormatting>
  <conditionalFormatting sqref="FB42:FB44">
    <cfRule type="expression" dxfId="1893" priority="2016" stopIfTrue="1">
      <formula>IF(FC$8="判定対象外",TRUE,FALSE)</formula>
    </cfRule>
  </conditionalFormatting>
  <conditionalFormatting sqref="FB42:FB44">
    <cfRule type="expression" dxfId="1892" priority="2015" stopIfTrue="1">
      <formula>IF(FC$8="判定対象外",TRUE,FALSE)</formula>
    </cfRule>
  </conditionalFormatting>
  <conditionalFormatting sqref="FB42:FB44">
    <cfRule type="expression" dxfId="1891" priority="2014" stopIfTrue="1">
      <formula>IF(FC$8="判定対象外",TRUE,FALSE)</formula>
    </cfRule>
  </conditionalFormatting>
  <conditionalFormatting sqref="FB42:FB44">
    <cfRule type="expression" dxfId="1890" priority="2013" stopIfTrue="1">
      <formula>IF(FC$8="判定対象外",TRUE,FALSE)</formula>
    </cfRule>
  </conditionalFormatting>
  <conditionalFormatting sqref="FB38">
    <cfRule type="expression" dxfId="1889" priority="2027" stopIfTrue="1">
      <formula>IF(#REF!="判定対象外",TRUE,FALSE)</formula>
    </cfRule>
  </conditionalFormatting>
  <conditionalFormatting sqref="FC11:FC34 FC71:FC81 FC36:FC56">
    <cfRule type="expression" dxfId="1888" priority="2012" stopIfTrue="1">
      <formula>IF(FC$8="判定対象外",TRUE,FALSE)</formula>
    </cfRule>
  </conditionalFormatting>
  <conditionalFormatting sqref="FB48">
    <cfRule type="expression" dxfId="1887" priority="2011" stopIfTrue="1">
      <formula>IF(FC$8="判定対象外",TRUE,FALSE)</formula>
    </cfRule>
  </conditionalFormatting>
  <conditionalFormatting sqref="FB51">
    <cfRule type="expression" dxfId="1886" priority="2010" stopIfTrue="1">
      <formula>IF(FC$8="判定対象外",TRUE,FALSE)</formula>
    </cfRule>
  </conditionalFormatting>
  <conditionalFormatting sqref="FB52 FB55 FB70">
    <cfRule type="expression" dxfId="1885" priority="2009" stopIfTrue="1">
      <formula>IF(FC$8="判定対象外",TRUE,FALSE)</formula>
    </cfRule>
  </conditionalFormatting>
  <conditionalFormatting sqref="FB11:FB20">
    <cfRule type="expression" dxfId="1884" priority="2008" stopIfTrue="1">
      <formula>IF(FC$8="判定対象外",TRUE,FALSE)</formula>
    </cfRule>
  </conditionalFormatting>
  <conditionalFormatting sqref="FB16:FB18">
    <cfRule type="expression" dxfId="1883" priority="2007" stopIfTrue="1">
      <formula>IF(FC$8="判定対象外",TRUE,FALSE)</formula>
    </cfRule>
  </conditionalFormatting>
  <conditionalFormatting sqref="FB20">
    <cfRule type="expression" dxfId="1882" priority="2006" stopIfTrue="1">
      <formula>IF(FC$8="判定対象外",TRUE,FALSE)</formula>
    </cfRule>
  </conditionalFormatting>
  <conditionalFormatting sqref="FB16:FB20">
    <cfRule type="expression" dxfId="1881" priority="2005" stopIfTrue="1">
      <formula>IF(FC$8="判定対象外",TRUE,FALSE)</formula>
    </cfRule>
  </conditionalFormatting>
  <conditionalFormatting sqref="FB11:FB20">
    <cfRule type="expression" dxfId="1880" priority="2004" stopIfTrue="1">
      <formula>IF(FC$8="判定対象外",TRUE,FALSE)</formula>
    </cfRule>
  </conditionalFormatting>
  <conditionalFormatting sqref="FB20">
    <cfRule type="expression" dxfId="1879" priority="2002" stopIfTrue="1">
      <formula>IF(FC$8="判定対象外",TRUE,FALSE)</formula>
    </cfRule>
  </conditionalFormatting>
  <conditionalFormatting sqref="FB16:FB20">
    <cfRule type="expression" dxfId="1878" priority="2001" stopIfTrue="1">
      <formula>IF(FC$8="判定対象外",TRUE,FALSE)</formula>
    </cfRule>
  </conditionalFormatting>
  <conditionalFormatting sqref="FB11:FB20">
    <cfRule type="expression" dxfId="1877" priority="2000" stopIfTrue="1">
      <formula>IF(FC$8="判定対象外",TRUE,FALSE)</formula>
    </cfRule>
  </conditionalFormatting>
  <conditionalFormatting sqref="FB16:FB18">
    <cfRule type="expression" dxfId="1876" priority="1999" stopIfTrue="1">
      <formula>IF(FC$8="判定対象外",TRUE,FALSE)</formula>
    </cfRule>
  </conditionalFormatting>
  <conditionalFormatting sqref="FB20">
    <cfRule type="expression" dxfId="1875" priority="1998" stopIfTrue="1">
      <formula>IF(FC$8="判定対象外",TRUE,FALSE)</formula>
    </cfRule>
  </conditionalFormatting>
  <conditionalFormatting sqref="FB16:FB20">
    <cfRule type="expression" dxfId="1874" priority="1997" stopIfTrue="1">
      <formula>IF(FC$8="判定対象外",TRUE,FALSE)</formula>
    </cfRule>
  </conditionalFormatting>
  <conditionalFormatting sqref="FB11:FB13">
    <cfRule type="expression" dxfId="1873" priority="1996" stopIfTrue="1">
      <formula>IF(FC$8="判定対象外",TRUE,FALSE)</formula>
    </cfRule>
  </conditionalFormatting>
  <conditionalFormatting sqref="FB15">
    <cfRule type="expression" dxfId="1872" priority="1995" stopIfTrue="1">
      <formula>IF(FC$8="判定対象外",TRUE,FALSE)</formula>
    </cfRule>
  </conditionalFormatting>
  <conditionalFormatting sqref="FB19">
    <cfRule type="expression" dxfId="1871" priority="1994" stopIfTrue="1">
      <formula>IF(FC$8="判定対象外",TRUE,FALSE)</formula>
    </cfRule>
  </conditionalFormatting>
  <conditionalFormatting sqref="FB20">
    <cfRule type="expression" dxfId="1870" priority="1992" stopIfTrue="1">
      <formula>IF(FC$8="判定対象外",TRUE,FALSE)</formula>
    </cfRule>
  </conditionalFormatting>
  <conditionalFormatting sqref="FB20">
    <cfRule type="expression" dxfId="1869" priority="1991" stopIfTrue="1">
      <formula>IF(FC$8="判定対象外",TRUE,FALSE)</formula>
    </cfRule>
  </conditionalFormatting>
  <conditionalFormatting sqref="FB20">
    <cfRule type="expression" dxfId="1868" priority="1990" stopIfTrue="1">
      <formula>IF(FC$8="判定対象外",TRUE,FALSE)</formula>
    </cfRule>
  </conditionalFormatting>
  <conditionalFormatting sqref="FB13">
    <cfRule type="expression" dxfId="1867" priority="1989" stopIfTrue="1">
      <formula>IF(FC$8="判定対象外",TRUE,FALSE)</formula>
    </cfRule>
  </conditionalFormatting>
  <conditionalFormatting sqref="FB47">
    <cfRule type="expression" dxfId="1866" priority="1988" stopIfTrue="1">
      <formula>IF(FC$8="判定対象外",TRUE,FALSE)</formula>
    </cfRule>
  </conditionalFormatting>
  <conditionalFormatting sqref="FB47">
    <cfRule type="expression" dxfId="1865" priority="1987" stopIfTrue="1">
      <formula>IF(FC$8="判定対象外",TRUE,FALSE)</formula>
    </cfRule>
  </conditionalFormatting>
  <conditionalFormatting sqref="FB49">
    <cfRule type="expression" dxfId="1864" priority="1986" stopIfTrue="1">
      <formula>IF(FC$8="判定対象外",TRUE,FALSE)</formula>
    </cfRule>
  </conditionalFormatting>
  <conditionalFormatting sqref="FB49">
    <cfRule type="expression" dxfId="1863" priority="1985" stopIfTrue="1">
      <formula>IF(FC$8="判定対象外",TRUE,FALSE)</formula>
    </cfRule>
  </conditionalFormatting>
  <conditionalFormatting sqref="FB50">
    <cfRule type="expression" dxfId="1862" priority="1984" stopIfTrue="1">
      <formula>IF(FC$8="判定対象外",TRUE,FALSE)</formula>
    </cfRule>
  </conditionalFormatting>
  <conditionalFormatting sqref="FB50">
    <cfRule type="expression" dxfId="1861" priority="1983" stopIfTrue="1">
      <formula>IF(FC$8="判定対象外",TRUE,FALSE)</formula>
    </cfRule>
  </conditionalFormatting>
  <conditionalFormatting sqref="FB54 FB57 FB69">
    <cfRule type="expression" dxfId="1860" priority="1981" stopIfTrue="1">
      <formula>IF(FC$8="判定対象外",TRUE,FALSE)</formula>
    </cfRule>
  </conditionalFormatting>
  <conditionalFormatting sqref="FE57">
    <cfRule type="expression" dxfId="1859" priority="1979" stopIfTrue="1">
      <formula>IF(FE57="-",TRUE,FALSE)</formula>
    </cfRule>
    <cfRule type="expression" dxfId="1858" priority="1980" stopIfTrue="1">
      <formula>IF(OR(FE57="OK"),FALSE,TRUE)</formula>
    </cfRule>
  </conditionalFormatting>
  <conditionalFormatting sqref="FD57">
    <cfRule type="expression" dxfId="1857" priority="1978" stopIfTrue="1">
      <formula>IF(FC$8="判定対象外",TRUE,FALSE)</formula>
    </cfRule>
  </conditionalFormatting>
  <conditionalFormatting sqref="FC57">
    <cfRule type="expression" dxfId="1856" priority="1977" stopIfTrue="1">
      <formula>IF(FC$8="判定対象外",TRUE,FALSE)</formula>
    </cfRule>
  </conditionalFormatting>
  <conditionalFormatting sqref="FE58:FE64">
    <cfRule type="expression" dxfId="1855" priority="1975" stopIfTrue="1">
      <formula>IF(FE58="-",TRUE,FALSE)</formula>
    </cfRule>
    <cfRule type="expression" dxfId="1854" priority="1976" stopIfTrue="1">
      <formula>IF(OR(FE58="OK"),FALSE,TRUE)</formula>
    </cfRule>
  </conditionalFormatting>
  <conditionalFormatting sqref="FD58:FD64">
    <cfRule type="expression" dxfId="1853" priority="1974" stopIfTrue="1">
      <formula>IF(FC$8="判定対象外",TRUE,FALSE)</formula>
    </cfRule>
  </conditionalFormatting>
  <conditionalFormatting sqref="FC58:FC64">
    <cfRule type="expression" dxfId="1852" priority="1973" stopIfTrue="1">
      <formula>IF(FC$8="判定対象外",TRUE,FALSE)</formula>
    </cfRule>
  </conditionalFormatting>
  <conditionalFormatting sqref="FE65:FE70">
    <cfRule type="expression" dxfId="1851" priority="1971" stopIfTrue="1">
      <formula>IF(FE65="-",TRUE,FALSE)</formula>
    </cfRule>
    <cfRule type="expression" dxfId="1850" priority="1972" stopIfTrue="1">
      <formula>IF(OR(FE65="OK"),FALSE,TRUE)</formula>
    </cfRule>
  </conditionalFormatting>
  <conditionalFormatting sqref="FD65:FD70">
    <cfRule type="expression" dxfId="1849" priority="1970" stopIfTrue="1">
      <formula>IF(FC$8="判定対象外",TRUE,FALSE)</formula>
    </cfRule>
  </conditionalFormatting>
  <conditionalFormatting sqref="FC65:FC70">
    <cfRule type="expression" dxfId="1848" priority="1969" stopIfTrue="1">
      <formula>IF(FC$8="判定対象外",TRUE,FALSE)</formula>
    </cfRule>
  </conditionalFormatting>
  <conditionalFormatting sqref="FB58">
    <cfRule type="expression" dxfId="1847" priority="1958" stopIfTrue="1">
      <formula>IF(FC$8="判定対象外",TRUE,FALSE)</formula>
    </cfRule>
  </conditionalFormatting>
  <conditionalFormatting sqref="ET58">
    <cfRule type="expression" dxfId="1846" priority="1968" stopIfTrue="1">
      <formula>IF(EU$8="判定対象外",TRUE,FALSE)</formula>
    </cfRule>
  </conditionalFormatting>
  <conditionalFormatting sqref="EW58">
    <cfRule type="expression" dxfId="1845" priority="1966" stopIfTrue="1">
      <formula>IF(EW58="-",TRUE,FALSE)</formula>
    </cfRule>
    <cfRule type="expression" dxfId="1844" priority="1967" stopIfTrue="1">
      <formula>IF(OR(EW58="OK"),FALSE,TRUE)</formula>
    </cfRule>
  </conditionalFormatting>
  <conditionalFormatting sqref="EV58">
    <cfRule type="expression" dxfId="1843" priority="1965" stopIfTrue="1">
      <formula>IF(EU$8="判定対象外",TRUE,FALSE)</formula>
    </cfRule>
  </conditionalFormatting>
  <conditionalFormatting sqref="EU58">
    <cfRule type="expression" dxfId="1842" priority="1964" stopIfTrue="1">
      <formula>IF(EU$8="判定対象外",TRUE,FALSE)</formula>
    </cfRule>
  </conditionalFormatting>
  <conditionalFormatting sqref="EX58">
    <cfRule type="expression" dxfId="1841" priority="1963" stopIfTrue="1">
      <formula>IF(EY$8="判定対象外",TRUE,FALSE)</formula>
    </cfRule>
  </conditionalFormatting>
  <conditionalFormatting sqref="FA58">
    <cfRule type="expression" dxfId="1840" priority="1961" stopIfTrue="1">
      <formula>IF(FA58="-",TRUE,FALSE)</formula>
    </cfRule>
    <cfRule type="expression" dxfId="1839" priority="1962" stopIfTrue="1">
      <formula>IF(OR(FA58="OK"),FALSE,TRUE)</formula>
    </cfRule>
  </conditionalFormatting>
  <conditionalFormatting sqref="EZ58">
    <cfRule type="expression" dxfId="1838" priority="1960" stopIfTrue="1">
      <formula>IF(EY$8="判定対象外",TRUE,FALSE)</formula>
    </cfRule>
  </conditionalFormatting>
  <conditionalFormatting sqref="EY58">
    <cfRule type="expression" dxfId="1837" priority="1959" stopIfTrue="1">
      <formula>IF(EY$8="判定対象外",TRUE,FALSE)</formula>
    </cfRule>
  </conditionalFormatting>
  <conditionalFormatting sqref="EX59">
    <cfRule type="expression" dxfId="1836" priority="1952" stopIfTrue="1">
      <formula>IF(EY$8="判定対象外",TRUE,FALSE)</formula>
    </cfRule>
  </conditionalFormatting>
  <conditionalFormatting sqref="FA59">
    <cfRule type="expression" dxfId="1835" priority="1950" stopIfTrue="1">
      <formula>IF(FA59="-",TRUE,FALSE)</formula>
    </cfRule>
    <cfRule type="expression" dxfId="1834" priority="1951" stopIfTrue="1">
      <formula>IF(OR(FA59="OK"),FALSE,TRUE)</formula>
    </cfRule>
  </conditionalFormatting>
  <conditionalFormatting sqref="EZ59">
    <cfRule type="expression" dxfId="1833" priority="1949" stopIfTrue="1">
      <formula>IF(EY$8="判定対象外",TRUE,FALSE)</formula>
    </cfRule>
  </conditionalFormatting>
  <conditionalFormatting sqref="EY59">
    <cfRule type="expression" dxfId="1832" priority="1948" stopIfTrue="1">
      <formula>IF(EY$8="判定対象外",TRUE,FALSE)</formula>
    </cfRule>
  </conditionalFormatting>
  <conditionalFormatting sqref="EX60">
    <cfRule type="expression" dxfId="1831" priority="1941" stopIfTrue="1">
      <formula>IF(EY$8="判定対象外",TRUE,FALSE)</formula>
    </cfRule>
  </conditionalFormatting>
  <conditionalFormatting sqref="FA60">
    <cfRule type="expression" dxfId="1830" priority="1939" stopIfTrue="1">
      <formula>IF(FA60="-",TRUE,FALSE)</formula>
    </cfRule>
    <cfRule type="expression" dxfId="1829" priority="1940" stopIfTrue="1">
      <formula>IF(OR(FA60="OK"),FALSE,TRUE)</formula>
    </cfRule>
  </conditionalFormatting>
  <conditionalFormatting sqref="EZ60">
    <cfRule type="expression" dxfId="1828" priority="1938" stopIfTrue="1">
      <formula>IF(EY$8="判定対象外",TRUE,FALSE)</formula>
    </cfRule>
  </conditionalFormatting>
  <conditionalFormatting sqref="EY60">
    <cfRule type="expression" dxfId="1827" priority="1937" stopIfTrue="1">
      <formula>IF(EY$8="判定対象外",TRUE,FALSE)</formula>
    </cfRule>
  </conditionalFormatting>
  <conditionalFormatting sqref="EX61">
    <cfRule type="expression" dxfId="1826" priority="1930" stopIfTrue="1">
      <formula>IF(EY$8="判定対象外",TRUE,FALSE)</formula>
    </cfRule>
  </conditionalFormatting>
  <conditionalFormatting sqref="FA61">
    <cfRule type="expression" dxfId="1825" priority="1928" stopIfTrue="1">
      <formula>IF(FA61="-",TRUE,FALSE)</formula>
    </cfRule>
    <cfRule type="expression" dxfId="1824" priority="1929" stopIfTrue="1">
      <formula>IF(OR(FA61="OK"),FALSE,TRUE)</formula>
    </cfRule>
  </conditionalFormatting>
  <conditionalFormatting sqref="EZ61">
    <cfRule type="expression" dxfId="1823" priority="1927" stopIfTrue="1">
      <formula>IF(EY$8="判定対象外",TRUE,FALSE)</formula>
    </cfRule>
  </conditionalFormatting>
  <conditionalFormatting sqref="EY61">
    <cfRule type="expression" dxfId="1822" priority="1926" stopIfTrue="1">
      <formula>IF(EY$8="判定対象外",TRUE,FALSE)</formula>
    </cfRule>
  </conditionalFormatting>
  <conditionalFormatting sqref="EX62">
    <cfRule type="expression" dxfId="1821" priority="1919" stopIfTrue="1">
      <formula>IF(EY$8="判定対象外",TRUE,FALSE)</formula>
    </cfRule>
  </conditionalFormatting>
  <conditionalFormatting sqref="FA62">
    <cfRule type="expression" dxfId="1820" priority="1917" stopIfTrue="1">
      <formula>IF(FA62="-",TRUE,FALSE)</formula>
    </cfRule>
    <cfRule type="expression" dxfId="1819" priority="1918" stopIfTrue="1">
      <formula>IF(OR(FA62="OK"),FALSE,TRUE)</formula>
    </cfRule>
  </conditionalFormatting>
  <conditionalFormatting sqref="EZ62">
    <cfRule type="expression" dxfId="1818" priority="1916" stopIfTrue="1">
      <formula>IF(EY$8="判定対象外",TRUE,FALSE)</formula>
    </cfRule>
  </conditionalFormatting>
  <conditionalFormatting sqref="EY62">
    <cfRule type="expression" dxfId="1817" priority="1915" stopIfTrue="1">
      <formula>IF(EY$8="判定対象外",TRUE,FALSE)</formula>
    </cfRule>
  </conditionalFormatting>
  <conditionalFormatting sqref="EX63">
    <cfRule type="expression" dxfId="1816" priority="1908" stopIfTrue="1">
      <formula>IF(EY$8="判定対象外",TRUE,FALSE)</formula>
    </cfRule>
  </conditionalFormatting>
  <conditionalFormatting sqref="FA63">
    <cfRule type="expression" dxfId="1815" priority="1906" stopIfTrue="1">
      <formula>IF(FA63="-",TRUE,FALSE)</formula>
    </cfRule>
    <cfRule type="expression" dxfId="1814" priority="1907" stopIfTrue="1">
      <formula>IF(OR(FA63="OK"),FALSE,TRUE)</formula>
    </cfRule>
  </conditionalFormatting>
  <conditionalFormatting sqref="EZ63">
    <cfRule type="expression" dxfId="1813" priority="1905" stopIfTrue="1">
      <formula>IF(EY$8="判定対象外",TRUE,FALSE)</formula>
    </cfRule>
  </conditionalFormatting>
  <conditionalFormatting sqref="EY63">
    <cfRule type="expression" dxfId="1812" priority="1904" stopIfTrue="1">
      <formula>IF(EY$8="判定対象外",TRUE,FALSE)</formula>
    </cfRule>
  </conditionalFormatting>
  <conditionalFormatting sqref="EX64">
    <cfRule type="expression" dxfId="1811" priority="1897" stopIfTrue="1">
      <formula>IF(EY$8="判定対象外",TRUE,FALSE)</formula>
    </cfRule>
  </conditionalFormatting>
  <conditionalFormatting sqref="FA64">
    <cfRule type="expression" dxfId="1810" priority="1895" stopIfTrue="1">
      <formula>IF(FA64="-",TRUE,FALSE)</formula>
    </cfRule>
    <cfRule type="expression" dxfId="1809" priority="1896" stopIfTrue="1">
      <formula>IF(OR(FA64="OK"),FALSE,TRUE)</formula>
    </cfRule>
  </conditionalFormatting>
  <conditionalFormatting sqref="EZ64">
    <cfRule type="expression" dxfId="1808" priority="1894" stopIfTrue="1">
      <formula>IF(EY$8="判定対象外",TRUE,FALSE)</formula>
    </cfRule>
  </conditionalFormatting>
  <conditionalFormatting sqref="EY64">
    <cfRule type="expression" dxfId="1807" priority="1893" stopIfTrue="1">
      <formula>IF(EY$8="判定対象外",TRUE,FALSE)</formula>
    </cfRule>
  </conditionalFormatting>
  <conditionalFormatting sqref="EX65">
    <cfRule type="expression" dxfId="1806" priority="1886" stopIfTrue="1">
      <formula>IF(EY$8="判定対象外",TRUE,FALSE)</formula>
    </cfRule>
  </conditionalFormatting>
  <conditionalFormatting sqref="FA65">
    <cfRule type="expression" dxfId="1805" priority="1884" stopIfTrue="1">
      <formula>IF(FA65="-",TRUE,FALSE)</formula>
    </cfRule>
    <cfRule type="expression" dxfId="1804" priority="1885" stopIfTrue="1">
      <formula>IF(OR(FA65="OK"),FALSE,TRUE)</formula>
    </cfRule>
  </conditionalFormatting>
  <conditionalFormatting sqref="EZ65">
    <cfRule type="expression" dxfId="1803" priority="1883" stopIfTrue="1">
      <formula>IF(EY$8="判定対象外",TRUE,FALSE)</formula>
    </cfRule>
  </conditionalFormatting>
  <conditionalFormatting sqref="EY65">
    <cfRule type="expression" dxfId="1802" priority="1882" stopIfTrue="1">
      <formula>IF(EY$8="判定対象外",TRUE,FALSE)</formula>
    </cfRule>
  </conditionalFormatting>
  <conditionalFormatting sqref="ET67">
    <cfRule type="expression" dxfId="1801" priority="1880" stopIfTrue="1">
      <formula>IF(EU$8="判定対象外",TRUE,FALSE)</formula>
    </cfRule>
  </conditionalFormatting>
  <conditionalFormatting sqref="EW67">
    <cfRule type="expression" dxfId="1800" priority="1878" stopIfTrue="1">
      <formula>IF(EW67="-",TRUE,FALSE)</formula>
    </cfRule>
    <cfRule type="expression" dxfId="1799" priority="1879" stopIfTrue="1">
      <formula>IF(OR(EW67="OK"),FALSE,TRUE)</formula>
    </cfRule>
  </conditionalFormatting>
  <conditionalFormatting sqref="EV67">
    <cfRule type="expression" dxfId="1798" priority="1877" stopIfTrue="1">
      <formula>IF(EU$8="判定対象外",TRUE,FALSE)</formula>
    </cfRule>
  </conditionalFormatting>
  <conditionalFormatting sqref="EU67">
    <cfRule type="expression" dxfId="1797" priority="1876" stopIfTrue="1">
      <formula>IF(EU$8="判定対象外",TRUE,FALSE)</formula>
    </cfRule>
  </conditionalFormatting>
  <conditionalFormatting sqref="FA67">
    <cfRule type="expression" dxfId="1796" priority="1874" stopIfTrue="1">
      <formula>IF(FA67="-",TRUE,FALSE)</formula>
    </cfRule>
    <cfRule type="expression" dxfId="1795" priority="1875" stopIfTrue="1">
      <formula>IF(OR(FA67="OK"),FALSE,TRUE)</formula>
    </cfRule>
  </conditionalFormatting>
  <conditionalFormatting sqref="EZ67">
    <cfRule type="expression" dxfId="1794" priority="1873" stopIfTrue="1">
      <formula>IF(EY$8="判定対象外",TRUE,FALSE)</formula>
    </cfRule>
  </conditionalFormatting>
  <conditionalFormatting sqref="EY67">
    <cfRule type="expression" dxfId="1793" priority="1872" stopIfTrue="1">
      <formula>IF(EY$8="判定対象外",TRUE,FALSE)</formula>
    </cfRule>
  </conditionalFormatting>
  <conditionalFormatting sqref="EX67">
    <cfRule type="expression" dxfId="1792" priority="1871" stopIfTrue="1">
      <formula>IF(EY$8="判定対象外",TRUE,FALSE)</formula>
    </cfRule>
  </conditionalFormatting>
  <conditionalFormatting sqref="EX66">
    <cfRule type="expression" dxfId="1791" priority="1864" stopIfTrue="1">
      <formula>IF(EY$8="判定対象外",TRUE,FALSE)</formula>
    </cfRule>
  </conditionalFormatting>
  <conditionalFormatting sqref="FA66">
    <cfRule type="expression" dxfId="1790" priority="1862" stopIfTrue="1">
      <formula>IF(FA66="-",TRUE,FALSE)</formula>
    </cfRule>
    <cfRule type="expression" dxfId="1789" priority="1863" stopIfTrue="1">
      <formula>IF(OR(FA66="OK"),FALSE,TRUE)</formula>
    </cfRule>
  </conditionalFormatting>
  <conditionalFormatting sqref="EZ66">
    <cfRule type="expression" dxfId="1788" priority="1861" stopIfTrue="1">
      <formula>IF(EY$8="判定対象外",TRUE,FALSE)</formula>
    </cfRule>
  </conditionalFormatting>
  <conditionalFormatting sqref="EY66">
    <cfRule type="expression" dxfId="1787" priority="1860" stopIfTrue="1">
      <formula>IF(EY$8="判定対象外",TRUE,FALSE)</formula>
    </cfRule>
  </conditionalFormatting>
  <conditionalFormatting sqref="FN69">
    <cfRule type="expression" dxfId="1786" priority="1496" stopIfTrue="1">
      <formula>IF(FO$8="判定対象外",TRUE,FALSE)</formula>
    </cfRule>
  </conditionalFormatting>
  <conditionalFormatting sqref="ET68">
    <cfRule type="expression" dxfId="1785" priority="1858" stopIfTrue="1">
      <formula>IF(EU$8="判定対象外",TRUE,FALSE)</formula>
    </cfRule>
  </conditionalFormatting>
  <conditionalFormatting sqref="EW68">
    <cfRule type="expression" dxfId="1784" priority="1856" stopIfTrue="1">
      <formula>IF(EW68="-",TRUE,FALSE)</formula>
    </cfRule>
    <cfRule type="expression" dxfId="1783" priority="1857" stopIfTrue="1">
      <formula>IF(OR(EW68="OK"),FALSE,TRUE)</formula>
    </cfRule>
  </conditionalFormatting>
  <conditionalFormatting sqref="EV68">
    <cfRule type="expression" dxfId="1782" priority="1855" stopIfTrue="1">
      <formula>IF(EU$8="判定対象外",TRUE,FALSE)</formula>
    </cfRule>
  </conditionalFormatting>
  <conditionalFormatting sqref="EU68">
    <cfRule type="expression" dxfId="1781" priority="1854" stopIfTrue="1">
      <formula>IF(EU$8="判定対象外",TRUE,FALSE)</formula>
    </cfRule>
  </conditionalFormatting>
  <conditionalFormatting sqref="FA68">
    <cfRule type="expression" dxfId="1780" priority="1852" stopIfTrue="1">
      <formula>IF(FA68="-",TRUE,FALSE)</formula>
    </cfRule>
    <cfRule type="expression" dxfId="1779" priority="1853" stopIfTrue="1">
      <formula>IF(OR(FA68="OK"),FALSE,TRUE)</formula>
    </cfRule>
  </conditionalFormatting>
  <conditionalFormatting sqref="EZ68">
    <cfRule type="expression" dxfId="1778" priority="1851" stopIfTrue="1">
      <formula>IF(EY$8="判定対象外",TRUE,FALSE)</formula>
    </cfRule>
  </conditionalFormatting>
  <conditionalFormatting sqref="EY68">
    <cfRule type="expression" dxfId="1777" priority="1850" stopIfTrue="1">
      <formula>IF(EY$8="判定対象外",TRUE,FALSE)</formula>
    </cfRule>
  </conditionalFormatting>
  <conditionalFormatting sqref="ET67">
    <cfRule type="expression" dxfId="1776" priority="1847" stopIfTrue="1">
      <formula>IF(EU$8="判定対象外",TRUE,FALSE)</formula>
    </cfRule>
  </conditionalFormatting>
  <conditionalFormatting sqref="EW67">
    <cfRule type="expression" dxfId="1775" priority="1845" stopIfTrue="1">
      <formula>IF(EW67="-",TRUE,FALSE)</formula>
    </cfRule>
    <cfRule type="expression" dxfId="1774" priority="1846" stopIfTrue="1">
      <formula>IF(OR(EW67="OK"),FALSE,TRUE)</formula>
    </cfRule>
  </conditionalFormatting>
  <conditionalFormatting sqref="EV67">
    <cfRule type="expression" dxfId="1773" priority="1844" stopIfTrue="1">
      <formula>IF(EU$8="判定対象外",TRUE,FALSE)</formula>
    </cfRule>
  </conditionalFormatting>
  <conditionalFormatting sqref="EU67">
    <cfRule type="expression" dxfId="1772" priority="1843" stopIfTrue="1">
      <formula>IF(EU$8="判定対象外",TRUE,FALSE)</formula>
    </cfRule>
  </conditionalFormatting>
  <conditionalFormatting sqref="EX67">
    <cfRule type="expression" dxfId="1771" priority="1842" stopIfTrue="1">
      <formula>IF(EY$8="判定対象外",TRUE,FALSE)</formula>
    </cfRule>
  </conditionalFormatting>
  <conditionalFormatting sqref="FA67">
    <cfRule type="expression" dxfId="1770" priority="1840" stopIfTrue="1">
      <formula>IF(FA67="-",TRUE,FALSE)</formula>
    </cfRule>
    <cfRule type="expression" dxfId="1769" priority="1841" stopIfTrue="1">
      <formula>IF(OR(FA67="OK"),FALSE,TRUE)</formula>
    </cfRule>
  </conditionalFormatting>
  <conditionalFormatting sqref="EZ67">
    <cfRule type="expression" dxfId="1768" priority="1839" stopIfTrue="1">
      <formula>IF(EY$8="判定対象外",TRUE,FALSE)</formula>
    </cfRule>
  </conditionalFormatting>
  <conditionalFormatting sqref="EY67">
    <cfRule type="expression" dxfId="1767" priority="1838" stopIfTrue="1">
      <formula>IF(EY$8="判定対象外",TRUE,FALSE)</formula>
    </cfRule>
  </conditionalFormatting>
  <conditionalFormatting sqref="FB67">
    <cfRule type="expression" dxfId="1766" priority="1837" stopIfTrue="1">
      <formula>IF(FC$8="判定対象外",TRUE,FALSE)</formula>
    </cfRule>
  </conditionalFormatting>
  <conditionalFormatting sqref="FN66">
    <cfRule type="expression" dxfId="1765" priority="1543" stopIfTrue="1">
      <formula>IF(FO$8="判定対象外",TRUE,FALSE)</formula>
    </cfRule>
  </conditionalFormatting>
  <conditionalFormatting sqref="FF66">
    <cfRule type="expression" dxfId="1764" priority="1553" stopIfTrue="1">
      <formula>IF(FG$8="判定対象外",TRUE,FALSE)</formula>
    </cfRule>
  </conditionalFormatting>
  <conditionalFormatting sqref="FI66">
    <cfRule type="expression" dxfId="1763" priority="1551" stopIfTrue="1">
      <formula>IF(FI66="-",TRUE,FALSE)</formula>
    </cfRule>
    <cfRule type="expression" dxfId="1762" priority="1552" stopIfTrue="1">
      <formula>IF(OR(FI66="OK"),FALSE,TRUE)</formula>
    </cfRule>
  </conditionalFormatting>
  <conditionalFormatting sqref="FH66">
    <cfRule type="expression" dxfId="1761" priority="1550" stopIfTrue="1">
      <formula>IF(FG$8="判定対象外",TRUE,FALSE)</formula>
    </cfRule>
  </conditionalFormatting>
  <conditionalFormatting sqref="FG66">
    <cfRule type="expression" dxfId="1760" priority="1549" stopIfTrue="1">
      <formula>IF(FG$8="判定対象外",TRUE,FALSE)</formula>
    </cfRule>
  </conditionalFormatting>
  <conditionalFormatting sqref="FN68">
    <cfRule type="expression" dxfId="1759" priority="1532" stopIfTrue="1">
      <formula>IF(FO$8="判定対象外",TRUE,FALSE)</formula>
    </cfRule>
  </conditionalFormatting>
  <conditionalFormatting sqref="FN65">
    <cfRule type="expression" dxfId="1758" priority="1565" stopIfTrue="1">
      <formula>IF(FO$8="判定対象外",TRUE,FALSE)</formula>
    </cfRule>
  </conditionalFormatting>
  <conditionalFormatting sqref="FF65">
    <cfRule type="expression" dxfId="1757" priority="1575" stopIfTrue="1">
      <formula>IF(FG$8="判定対象外",TRUE,FALSE)</formula>
    </cfRule>
  </conditionalFormatting>
  <conditionalFormatting sqref="FI65">
    <cfRule type="expression" dxfId="1756" priority="1573" stopIfTrue="1">
      <formula>IF(FI65="-",TRUE,FALSE)</formula>
    </cfRule>
    <cfRule type="expression" dxfId="1755" priority="1574" stopIfTrue="1">
      <formula>IF(OR(FI65="OK"),FALSE,TRUE)</formula>
    </cfRule>
  </conditionalFormatting>
  <conditionalFormatting sqref="FH65">
    <cfRule type="expression" dxfId="1754" priority="1572" stopIfTrue="1">
      <formula>IF(FG$8="判定対象外",TRUE,FALSE)</formula>
    </cfRule>
  </conditionalFormatting>
  <conditionalFormatting sqref="FG65">
    <cfRule type="expression" dxfId="1753" priority="1571" stopIfTrue="1">
      <formula>IF(FG$8="判定対象外",TRUE,FALSE)</formula>
    </cfRule>
  </conditionalFormatting>
  <conditionalFormatting sqref="FN67">
    <cfRule type="expression" dxfId="1752" priority="1554" stopIfTrue="1">
      <formula>IF(FO$8="判定対象外",TRUE,FALSE)</formula>
    </cfRule>
  </conditionalFormatting>
  <conditionalFormatting sqref="FN64">
    <cfRule type="expression" dxfId="1751" priority="1576" stopIfTrue="1">
      <formula>IF(FO$8="判定対象外",TRUE,FALSE)</formula>
    </cfRule>
  </conditionalFormatting>
  <conditionalFormatting sqref="FF64">
    <cfRule type="expression" dxfId="1750" priority="1586" stopIfTrue="1">
      <formula>IF(FG$8="判定対象外",TRUE,FALSE)</formula>
    </cfRule>
  </conditionalFormatting>
  <conditionalFormatting sqref="FI64">
    <cfRule type="expression" dxfId="1749" priority="1584" stopIfTrue="1">
      <formula>IF(FI64="-",TRUE,FALSE)</formula>
    </cfRule>
    <cfRule type="expression" dxfId="1748" priority="1585" stopIfTrue="1">
      <formula>IF(OR(FI64="OK"),FALSE,TRUE)</formula>
    </cfRule>
  </conditionalFormatting>
  <conditionalFormatting sqref="FH64">
    <cfRule type="expression" dxfId="1747" priority="1583" stopIfTrue="1">
      <formula>IF(FG$8="判定対象外",TRUE,FALSE)</formula>
    </cfRule>
  </conditionalFormatting>
  <conditionalFormatting sqref="FG64">
    <cfRule type="expression" dxfId="1746" priority="1582" stopIfTrue="1">
      <formula>IF(FG$8="判定対象外",TRUE,FALSE)</formula>
    </cfRule>
  </conditionalFormatting>
  <conditionalFormatting sqref="FN63">
    <cfRule type="expression" dxfId="1745" priority="1587" stopIfTrue="1">
      <formula>IF(FO$8="判定対象外",TRUE,FALSE)</formula>
    </cfRule>
  </conditionalFormatting>
  <conditionalFormatting sqref="FF63">
    <cfRule type="expression" dxfId="1744" priority="1597" stopIfTrue="1">
      <formula>IF(FG$8="判定対象外",TRUE,FALSE)</formula>
    </cfRule>
  </conditionalFormatting>
  <conditionalFormatting sqref="FI63">
    <cfRule type="expression" dxfId="1743" priority="1595" stopIfTrue="1">
      <formula>IF(FI63="-",TRUE,FALSE)</formula>
    </cfRule>
    <cfRule type="expression" dxfId="1742" priority="1596" stopIfTrue="1">
      <formula>IF(OR(FI63="OK"),FALSE,TRUE)</formula>
    </cfRule>
  </conditionalFormatting>
  <conditionalFormatting sqref="FH63">
    <cfRule type="expression" dxfId="1741" priority="1594" stopIfTrue="1">
      <formula>IF(FG$8="判定対象外",TRUE,FALSE)</formula>
    </cfRule>
  </conditionalFormatting>
  <conditionalFormatting sqref="FG63">
    <cfRule type="expression" dxfId="1740" priority="1593" stopIfTrue="1">
      <formula>IF(FG$8="判定対象外",TRUE,FALSE)</formula>
    </cfRule>
  </conditionalFormatting>
  <conditionalFormatting sqref="FN62">
    <cfRule type="expression" dxfId="1739" priority="1598" stopIfTrue="1">
      <formula>IF(FO$8="判定対象外",TRUE,FALSE)</formula>
    </cfRule>
  </conditionalFormatting>
  <conditionalFormatting sqref="FF62">
    <cfRule type="expression" dxfId="1738" priority="1608" stopIfTrue="1">
      <formula>IF(FG$8="判定対象外",TRUE,FALSE)</formula>
    </cfRule>
  </conditionalFormatting>
  <conditionalFormatting sqref="FI62">
    <cfRule type="expression" dxfId="1737" priority="1606" stopIfTrue="1">
      <formula>IF(FI62="-",TRUE,FALSE)</formula>
    </cfRule>
    <cfRule type="expression" dxfId="1736" priority="1607" stopIfTrue="1">
      <formula>IF(OR(FI62="OK"),FALSE,TRUE)</formula>
    </cfRule>
  </conditionalFormatting>
  <conditionalFormatting sqref="FH62">
    <cfRule type="expression" dxfId="1735" priority="1605" stopIfTrue="1">
      <formula>IF(FG$8="判定対象外",TRUE,FALSE)</formula>
    </cfRule>
  </conditionalFormatting>
  <conditionalFormatting sqref="FG62">
    <cfRule type="expression" dxfId="1734" priority="1604" stopIfTrue="1">
      <formula>IF(FG$8="判定対象外",TRUE,FALSE)</formula>
    </cfRule>
  </conditionalFormatting>
  <conditionalFormatting sqref="FN61">
    <cfRule type="expression" dxfId="1733" priority="1609" stopIfTrue="1">
      <formula>IF(FO$8="判定対象外",TRUE,FALSE)</formula>
    </cfRule>
  </conditionalFormatting>
  <conditionalFormatting sqref="FF61">
    <cfRule type="expression" dxfId="1732" priority="1619" stopIfTrue="1">
      <formula>IF(FG$8="判定対象外",TRUE,FALSE)</formula>
    </cfRule>
  </conditionalFormatting>
  <conditionalFormatting sqref="FI61">
    <cfRule type="expression" dxfId="1731" priority="1617" stopIfTrue="1">
      <formula>IF(FI61="-",TRUE,FALSE)</formula>
    </cfRule>
    <cfRule type="expression" dxfId="1730" priority="1618" stopIfTrue="1">
      <formula>IF(OR(FI61="OK"),FALSE,TRUE)</formula>
    </cfRule>
  </conditionalFormatting>
  <conditionalFormatting sqref="FH61">
    <cfRule type="expression" dxfId="1729" priority="1616" stopIfTrue="1">
      <formula>IF(FG$8="判定対象外",TRUE,FALSE)</formula>
    </cfRule>
  </conditionalFormatting>
  <conditionalFormatting sqref="FG61">
    <cfRule type="expression" dxfId="1728" priority="1615" stopIfTrue="1">
      <formula>IF(FG$8="判定対象外",TRUE,FALSE)</formula>
    </cfRule>
  </conditionalFormatting>
  <conditionalFormatting sqref="FN60">
    <cfRule type="expression" dxfId="1727" priority="1620" stopIfTrue="1">
      <formula>IF(FO$8="判定対象外",TRUE,FALSE)</formula>
    </cfRule>
  </conditionalFormatting>
  <conditionalFormatting sqref="FN53 FN56 FN68 FN71">
    <cfRule type="expression" dxfId="1726" priority="1666" stopIfTrue="1">
      <formula>IF(FO$8="判定対象外",TRUE,FALSE)</formula>
    </cfRule>
  </conditionalFormatting>
  <conditionalFormatting sqref="FF60">
    <cfRule type="expression" dxfId="1725" priority="1630" stopIfTrue="1">
      <formula>IF(FG$8="判定対象外",TRUE,FALSE)</formula>
    </cfRule>
  </conditionalFormatting>
  <conditionalFormatting sqref="FI60">
    <cfRule type="expression" dxfId="1724" priority="1628" stopIfTrue="1">
      <formula>IF(FI60="-",TRUE,FALSE)</formula>
    </cfRule>
    <cfRule type="expression" dxfId="1723" priority="1629" stopIfTrue="1">
      <formula>IF(OR(FI60="OK"),FALSE,TRUE)</formula>
    </cfRule>
  </conditionalFormatting>
  <conditionalFormatting sqref="FH60">
    <cfRule type="expression" dxfId="1722" priority="1627" stopIfTrue="1">
      <formula>IF(FG$8="判定対象外",TRUE,FALSE)</formula>
    </cfRule>
  </conditionalFormatting>
  <conditionalFormatting sqref="FG60">
    <cfRule type="expression" dxfId="1721" priority="1626" stopIfTrue="1">
      <formula>IF(FG$8="判定対象外",TRUE,FALSE)</formula>
    </cfRule>
  </conditionalFormatting>
  <conditionalFormatting sqref="FN19">
    <cfRule type="expression" dxfId="1720" priority="1677" stopIfTrue="1">
      <formula>IF(FO$8="判定対象外",TRUE,FALSE)</formula>
    </cfRule>
  </conditionalFormatting>
  <conditionalFormatting sqref="FN59">
    <cfRule type="expression" dxfId="1719" priority="1631" stopIfTrue="1">
      <formula>IF(FO$8="判定対象外",TRUE,FALSE)</formula>
    </cfRule>
  </conditionalFormatting>
  <conditionalFormatting sqref="FF59">
    <cfRule type="expression" dxfId="1718" priority="1641" stopIfTrue="1">
      <formula>IF(FG$8="判定対象外",TRUE,FALSE)</formula>
    </cfRule>
  </conditionalFormatting>
  <conditionalFormatting sqref="FI59">
    <cfRule type="expression" dxfId="1717" priority="1639" stopIfTrue="1">
      <formula>IF(FI59="-",TRUE,FALSE)</formula>
    </cfRule>
    <cfRule type="expression" dxfId="1716" priority="1640" stopIfTrue="1">
      <formula>IF(OR(FI59="OK"),FALSE,TRUE)</formula>
    </cfRule>
  </conditionalFormatting>
  <conditionalFormatting sqref="FH59">
    <cfRule type="expression" dxfId="1715" priority="1638" stopIfTrue="1">
      <formula>IF(FG$8="判定対象外",TRUE,FALSE)</formula>
    </cfRule>
  </conditionalFormatting>
  <conditionalFormatting sqref="FG59">
    <cfRule type="expression" dxfId="1714" priority="1637" stopIfTrue="1">
      <formula>IF(FG$8="判定対象外",TRUE,FALSE)</formula>
    </cfRule>
  </conditionalFormatting>
  <conditionalFormatting sqref="FN16:FN18">
    <cfRule type="expression" dxfId="1713" priority="1687" stopIfTrue="1">
      <formula>IF(FO$8="判定対象外",TRUE,FALSE)</formula>
    </cfRule>
  </conditionalFormatting>
  <conditionalFormatting sqref="FI8:FI10">
    <cfRule type="expression" dxfId="1712" priority="1835" stopIfTrue="1">
      <formula>IF(FI8="-",TRUE,FALSE)</formula>
    </cfRule>
    <cfRule type="expression" dxfId="1711" priority="1836" stopIfTrue="1">
      <formula>IF(OR(FI8="OK"),FALSE,TRUE)</formula>
    </cfRule>
  </conditionalFormatting>
  <conditionalFormatting sqref="FF8:FF10">
    <cfRule type="expression" dxfId="1710" priority="1834" stopIfTrue="1">
      <formula>IF(FG$8="判定対象外",TRUE,FALSE)</formula>
    </cfRule>
  </conditionalFormatting>
  <conditionalFormatting sqref="FG8:FG10">
    <cfRule type="expression" dxfId="1709" priority="1833" stopIfTrue="1">
      <formula>IF(FG$8="判定対象外",TRUE,FALSE)</formula>
    </cfRule>
  </conditionalFormatting>
  <conditionalFormatting sqref="FH8:FH10">
    <cfRule type="expression" dxfId="1708" priority="1832" stopIfTrue="1">
      <formula>IF(FG$8="判定対象外",TRUE,FALSE)</formula>
    </cfRule>
  </conditionalFormatting>
  <conditionalFormatting sqref="FI11:FI34 FI71:FI81 FI36:FI56">
    <cfRule type="expression" dxfId="1707" priority="1829" stopIfTrue="1">
      <formula>IF(FI11="-",TRUE,FALSE)</formula>
    </cfRule>
    <cfRule type="expression" dxfId="1706" priority="1830" stopIfTrue="1">
      <formula>IF(OR(FI11="OK"),FALSE,TRUE)</formula>
    </cfRule>
  </conditionalFormatting>
  <conditionalFormatting sqref="FH11:FH34 FH71:FH81 FH36:FH56">
    <cfRule type="expression" dxfId="1705" priority="1828" stopIfTrue="1">
      <formula>IF(FG$8="判定対象外",TRUE,FALSE)</formula>
    </cfRule>
  </conditionalFormatting>
  <conditionalFormatting sqref="FF72:FF81 FF21:FF34 FF36:FF46">
    <cfRule type="expression" dxfId="1704" priority="1827" stopIfTrue="1">
      <formula>IF(FG$8="判定対象外",TRUE,FALSE)</formula>
    </cfRule>
  </conditionalFormatting>
  <conditionalFormatting sqref="FF29:FF32">
    <cfRule type="expression" dxfId="1703" priority="1826" stopIfTrue="1">
      <formula>IF(FG$8="判定対象外",TRUE,FALSE)</formula>
    </cfRule>
  </conditionalFormatting>
  <conditionalFormatting sqref="FF42:FF44">
    <cfRule type="expression" dxfId="1702" priority="1825" stopIfTrue="1">
      <formula>IF(FG$8="判定対象外",TRUE,FALSE)</formula>
    </cfRule>
  </conditionalFormatting>
  <conditionalFormatting sqref="FF46">
    <cfRule type="expression" dxfId="1701" priority="1824" stopIfTrue="1">
      <formula>IF(FG$8="判定対象外",TRUE,FALSE)</formula>
    </cfRule>
  </conditionalFormatting>
  <conditionalFormatting sqref="FF42:FF44">
    <cfRule type="expression" dxfId="1700" priority="1823" stopIfTrue="1">
      <formula>IF(FG$8="判定対象外",TRUE,FALSE)</formula>
    </cfRule>
  </conditionalFormatting>
  <conditionalFormatting sqref="FF42:FF44">
    <cfRule type="expression" dxfId="1699" priority="1822" stopIfTrue="1">
      <formula>IF(FG$8="判定対象外",TRUE,FALSE)</formula>
    </cfRule>
  </conditionalFormatting>
  <conditionalFormatting sqref="FF42:FF44">
    <cfRule type="expression" dxfId="1698" priority="1821" stopIfTrue="1">
      <formula>IF(FG$8="判定対象外",TRUE,FALSE)</formula>
    </cfRule>
  </conditionalFormatting>
  <conditionalFormatting sqref="FF42:FF44">
    <cfRule type="expression" dxfId="1697" priority="1820" stopIfTrue="1">
      <formula>IF(FG$8="判定対象外",TRUE,FALSE)</formula>
    </cfRule>
  </conditionalFormatting>
  <conditionalFormatting sqref="FF42:FF44">
    <cfRule type="expression" dxfId="1696" priority="1819" stopIfTrue="1">
      <formula>IF(FG$8="判定対象外",TRUE,FALSE)</formula>
    </cfRule>
  </conditionalFormatting>
  <conditionalFormatting sqref="FF42:FF44">
    <cfRule type="expression" dxfId="1695" priority="1818" stopIfTrue="1">
      <formula>IF(FG$8="判定対象外",TRUE,FALSE)</formula>
    </cfRule>
  </conditionalFormatting>
  <conditionalFormatting sqref="FF42:FF44">
    <cfRule type="expression" dxfId="1694" priority="1817" stopIfTrue="1">
      <formula>IF(FG$8="判定対象外",TRUE,FALSE)</formula>
    </cfRule>
  </conditionalFormatting>
  <conditionalFormatting sqref="FF38">
    <cfRule type="expression" dxfId="1693" priority="1831" stopIfTrue="1">
      <formula>IF(#REF!="判定対象外",TRUE,FALSE)</formula>
    </cfRule>
  </conditionalFormatting>
  <conditionalFormatting sqref="FG11:FG34 FG71:FG81 FG36:FG56">
    <cfRule type="expression" dxfId="1692" priority="1816" stopIfTrue="1">
      <formula>IF(FG$8="判定対象外",TRUE,FALSE)</formula>
    </cfRule>
  </conditionalFormatting>
  <conditionalFormatting sqref="FF48">
    <cfRule type="expression" dxfId="1691" priority="1815" stopIfTrue="1">
      <formula>IF(FG$8="判定対象外",TRUE,FALSE)</formula>
    </cfRule>
  </conditionalFormatting>
  <conditionalFormatting sqref="FF51">
    <cfRule type="expression" dxfId="1690" priority="1814" stopIfTrue="1">
      <formula>IF(FG$8="判定対象外",TRUE,FALSE)</formula>
    </cfRule>
  </conditionalFormatting>
  <conditionalFormatting sqref="FF52 FF55 FF70">
    <cfRule type="expression" dxfId="1689" priority="1813" stopIfTrue="1">
      <formula>IF(FG$8="判定対象外",TRUE,FALSE)</formula>
    </cfRule>
  </conditionalFormatting>
  <conditionalFormatting sqref="FF11:FF20">
    <cfRule type="expression" dxfId="1688" priority="1812" stopIfTrue="1">
      <formula>IF(FG$8="判定対象外",TRUE,FALSE)</formula>
    </cfRule>
  </conditionalFormatting>
  <conditionalFormatting sqref="FF16:FF18">
    <cfRule type="expression" dxfId="1687" priority="1811" stopIfTrue="1">
      <formula>IF(FG$8="判定対象外",TRUE,FALSE)</formula>
    </cfRule>
  </conditionalFormatting>
  <conditionalFormatting sqref="FF20">
    <cfRule type="expression" dxfId="1686" priority="1810" stopIfTrue="1">
      <formula>IF(FG$8="判定対象外",TRUE,FALSE)</formula>
    </cfRule>
  </conditionalFormatting>
  <conditionalFormatting sqref="FF16:FF20">
    <cfRule type="expression" dxfId="1685" priority="1809" stopIfTrue="1">
      <formula>IF(FG$8="判定対象外",TRUE,FALSE)</formula>
    </cfRule>
  </conditionalFormatting>
  <conditionalFormatting sqref="FF11:FF20">
    <cfRule type="expression" dxfId="1684" priority="1808" stopIfTrue="1">
      <formula>IF(FG$8="判定対象外",TRUE,FALSE)</formula>
    </cfRule>
  </conditionalFormatting>
  <conditionalFormatting sqref="FF16:FF18">
    <cfRule type="expression" dxfId="1683" priority="1807" stopIfTrue="1">
      <formula>IF(FG$8="判定対象外",TRUE,FALSE)</formula>
    </cfRule>
  </conditionalFormatting>
  <conditionalFormatting sqref="FF20">
    <cfRule type="expression" dxfId="1682" priority="1806" stopIfTrue="1">
      <formula>IF(FG$8="判定対象外",TRUE,FALSE)</formula>
    </cfRule>
  </conditionalFormatting>
  <conditionalFormatting sqref="FF16:FF20">
    <cfRule type="expression" dxfId="1681" priority="1805" stopIfTrue="1">
      <formula>IF(FG$8="判定対象外",TRUE,FALSE)</formula>
    </cfRule>
  </conditionalFormatting>
  <conditionalFormatting sqref="FF11:FF20">
    <cfRule type="expression" dxfId="1680" priority="1804" stopIfTrue="1">
      <formula>IF(FG$8="判定対象外",TRUE,FALSE)</formula>
    </cfRule>
  </conditionalFormatting>
  <conditionalFormatting sqref="FF16:FF18">
    <cfRule type="expression" dxfId="1679" priority="1803" stopIfTrue="1">
      <formula>IF(FG$8="判定対象外",TRUE,FALSE)</formula>
    </cfRule>
  </conditionalFormatting>
  <conditionalFormatting sqref="FF20">
    <cfRule type="expression" dxfId="1678" priority="1802" stopIfTrue="1">
      <formula>IF(FG$8="判定対象外",TRUE,FALSE)</formula>
    </cfRule>
  </conditionalFormatting>
  <conditionalFormatting sqref="FF16:FF20">
    <cfRule type="expression" dxfId="1677" priority="1801" stopIfTrue="1">
      <formula>IF(FG$8="判定対象外",TRUE,FALSE)</formula>
    </cfRule>
  </conditionalFormatting>
  <conditionalFormatting sqref="FF11:FF13">
    <cfRule type="expression" dxfId="1676" priority="1800" stopIfTrue="1">
      <formula>IF(FG$8="判定対象外",TRUE,FALSE)</formula>
    </cfRule>
  </conditionalFormatting>
  <conditionalFormatting sqref="FF15">
    <cfRule type="expression" dxfId="1675" priority="1799" stopIfTrue="1">
      <formula>IF(FG$8="判定対象外",TRUE,FALSE)</formula>
    </cfRule>
  </conditionalFormatting>
  <conditionalFormatting sqref="FF19">
    <cfRule type="expression" dxfId="1674" priority="1798" stopIfTrue="1">
      <formula>IF(FG$8="判定対象外",TRUE,FALSE)</formula>
    </cfRule>
  </conditionalFormatting>
  <conditionalFormatting sqref="FF19">
    <cfRule type="expression" dxfId="1673" priority="1797" stopIfTrue="1">
      <formula>IF(FG$8="判定対象外",TRUE,FALSE)</formula>
    </cfRule>
  </conditionalFormatting>
  <conditionalFormatting sqref="FF20">
    <cfRule type="expression" dxfId="1672" priority="1796" stopIfTrue="1">
      <formula>IF(FG$8="判定対象外",TRUE,FALSE)</formula>
    </cfRule>
  </conditionalFormatting>
  <conditionalFormatting sqref="FF20">
    <cfRule type="expression" dxfId="1671" priority="1795" stopIfTrue="1">
      <formula>IF(FG$8="判定対象外",TRUE,FALSE)</formula>
    </cfRule>
  </conditionalFormatting>
  <conditionalFormatting sqref="FF20">
    <cfRule type="expression" dxfId="1670" priority="1794" stopIfTrue="1">
      <formula>IF(FG$8="判定対象外",TRUE,FALSE)</formula>
    </cfRule>
  </conditionalFormatting>
  <conditionalFormatting sqref="FF13">
    <cfRule type="expression" dxfId="1669" priority="1793" stopIfTrue="1">
      <formula>IF(FG$8="判定対象外",TRUE,FALSE)</formula>
    </cfRule>
  </conditionalFormatting>
  <conditionalFormatting sqref="FF47">
    <cfRule type="expression" dxfId="1668" priority="1792" stopIfTrue="1">
      <formula>IF(FG$8="判定対象外",TRUE,FALSE)</formula>
    </cfRule>
  </conditionalFormatting>
  <conditionalFormatting sqref="FF47">
    <cfRule type="expression" dxfId="1667" priority="1791" stopIfTrue="1">
      <formula>IF(FG$8="判定対象外",TRUE,FALSE)</formula>
    </cfRule>
  </conditionalFormatting>
  <conditionalFormatting sqref="FF49">
    <cfRule type="expression" dxfId="1666" priority="1790" stopIfTrue="1">
      <formula>IF(FG$8="判定対象外",TRUE,FALSE)</formula>
    </cfRule>
  </conditionalFormatting>
  <conditionalFormatting sqref="FF49">
    <cfRule type="expression" dxfId="1665" priority="1789" stopIfTrue="1">
      <formula>IF(FG$8="判定対象外",TRUE,FALSE)</formula>
    </cfRule>
  </conditionalFormatting>
  <conditionalFormatting sqref="FF50">
    <cfRule type="expression" dxfId="1664" priority="1788" stopIfTrue="1">
      <formula>IF(FG$8="判定対象外",TRUE,FALSE)</formula>
    </cfRule>
  </conditionalFormatting>
  <conditionalFormatting sqref="FF50">
    <cfRule type="expression" dxfId="1663" priority="1787" stopIfTrue="1">
      <formula>IF(FG$8="判定対象外",TRUE,FALSE)</formula>
    </cfRule>
  </conditionalFormatting>
  <conditionalFormatting sqref="FF53 FF56 FF68 FF71">
    <cfRule type="expression" dxfId="1662" priority="1786" stopIfTrue="1">
      <formula>IF(FG$8="判定対象外",TRUE,FALSE)</formula>
    </cfRule>
  </conditionalFormatting>
  <conditionalFormatting sqref="FF54 FF57 FF69">
    <cfRule type="expression" dxfId="1661" priority="1785" stopIfTrue="1">
      <formula>IF(FG$8="判定対象外",TRUE,FALSE)</formula>
    </cfRule>
  </conditionalFormatting>
  <conditionalFormatting sqref="FI57">
    <cfRule type="expression" dxfId="1660" priority="1783" stopIfTrue="1">
      <formula>IF(FI57="-",TRUE,FALSE)</formula>
    </cfRule>
    <cfRule type="expression" dxfId="1659" priority="1784" stopIfTrue="1">
      <formula>IF(OR(FI57="OK"),FALSE,TRUE)</formula>
    </cfRule>
  </conditionalFormatting>
  <conditionalFormatting sqref="FH57">
    <cfRule type="expression" dxfId="1658" priority="1782" stopIfTrue="1">
      <formula>IF(FG$8="判定対象外",TRUE,FALSE)</formula>
    </cfRule>
  </conditionalFormatting>
  <conditionalFormatting sqref="FG57">
    <cfRule type="expression" dxfId="1657" priority="1781" stopIfTrue="1">
      <formula>IF(FG$8="判定対象外",TRUE,FALSE)</formula>
    </cfRule>
  </conditionalFormatting>
  <conditionalFormatting sqref="FI68:FI70">
    <cfRule type="expression" dxfId="1656" priority="1779" stopIfTrue="1">
      <formula>IF(FI68="-",TRUE,FALSE)</formula>
    </cfRule>
    <cfRule type="expression" dxfId="1655" priority="1780" stopIfTrue="1">
      <formula>IF(OR(FI68="OK"),FALSE,TRUE)</formula>
    </cfRule>
  </conditionalFormatting>
  <conditionalFormatting sqref="FH68:FH70">
    <cfRule type="expression" dxfId="1654" priority="1778" stopIfTrue="1">
      <formula>IF(FG$8="判定対象外",TRUE,FALSE)</formula>
    </cfRule>
  </conditionalFormatting>
  <conditionalFormatting sqref="FG68:FG70">
    <cfRule type="expression" dxfId="1653" priority="1777" stopIfTrue="1">
      <formula>IF(FG$8="判定対象外",TRUE,FALSE)</formula>
    </cfRule>
  </conditionalFormatting>
  <conditionalFormatting sqref="FM8:FM10">
    <cfRule type="expression" dxfId="1652" priority="1775" stopIfTrue="1">
      <formula>IF(FM8="-",TRUE,FALSE)</formula>
    </cfRule>
    <cfRule type="expression" dxfId="1651" priority="1776" stopIfTrue="1">
      <formula>IF(OR(FM8="OK"),FALSE,TRUE)</formula>
    </cfRule>
  </conditionalFormatting>
  <conditionalFormatting sqref="FJ8:FJ10">
    <cfRule type="expression" dxfId="1650" priority="1774" stopIfTrue="1">
      <formula>IF(FK$8="判定対象外",TRUE,FALSE)</formula>
    </cfRule>
  </conditionalFormatting>
  <conditionalFormatting sqref="FK8:FK10">
    <cfRule type="expression" dxfId="1649" priority="1773" stopIfTrue="1">
      <formula>IF(FK$8="判定対象外",TRUE,FALSE)</formula>
    </cfRule>
  </conditionalFormatting>
  <conditionalFormatting sqref="FL8:FL10">
    <cfRule type="expression" dxfId="1648" priority="1772" stopIfTrue="1">
      <formula>IF(FK$8="判定対象外",TRUE,FALSE)</formula>
    </cfRule>
  </conditionalFormatting>
  <conditionalFormatting sqref="FM11:FM34 FM71:FM81 FM36:FM56">
    <cfRule type="expression" dxfId="1647" priority="1769" stopIfTrue="1">
      <formula>IF(FM11="-",TRUE,FALSE)</formula>
    </cfRule>
    <cfRule type="expression" dxfId="1646" priority="1770" stopIfTrue="1">
      <formula>IF(OR(FM11="OK"),FALSE,TRUE)</formula>
    </cfRule>
  </conditionalFormatting>
  <conditionalFormatting sqref="FL11:FL34 FL71:FL81 FL36:FL56">
    <cfRule type="expression" dxfId="1645" priority="1768" stopIfTrue="1">
      <formula>IF(FK$8="判定対象外",TRUE,FALSE)</formula>
    </cfRule>
  </conditionalFormatting>
  <conditionalFormatting sqref="FJ72:FJ81 FJ21:FJ34 FJ36:FJ46">
    <cfRule type="expression" dxfId="1644" priority="1767" stopIfTrue="1">
      <formula>IF(FK$8="判定対象外",TRUE,FALSE)</formula>
    </cfRule>
  </conditionalFormatting>
  <conditionalFormatting sqref="FJ29:FJ32">
    <cfRule type="expression" dxfId="1643" priority="1766" stopIfTrue="1">
      <formula>IF(FK$8="判定対象外",TRUE,FALSE)</formula>
    </cfRule>
  </conditionalFormatting>
  <conditionalFormatting sqref="FJ42:FJ44">
    <cfRule type="expression" dxfId="1642" priority="1765" stopIfTrue="1">
      <formula>IF(FK$8="判定対象外",TRUE,FALSE)</formula>
    </cfRule>
  </conditionalFormatting>
  <conditionalFormatting sqref="FJ46">
    <cfRule type="expression" dxfId="1641" priority="1764" stopIfTrue="1">
      <formula>IF(FK$8="判定対象外",TRUE,FALSE)</formula>
    </cfRule>
  </conditionalFormatting>
  <conditionalFormatting sqref="FJ42:FJ44">
    <cfRule type="expression" dxfId="1640" priority="1763" stopIfTrue="1">
      <formula>IF(FK$8="判定対象外",TRUE,FALSE)</formula>
    </cfRule>
  </conditionalFormatting>
  <conditionalFormatting sqref="FJ42:FJ44">
    <cfRule type="expression" dxfId="1639" priority="1762" stopIfTrue="1">
      <formula>IF(FK$8="判定対象外",TRUE,FALSE)</formula>
    </cfRule>
  </conditionalFormatting>
  <conditionalFormatting sqref="FJ42:FJ44">
    <cfRule type="expression" dxfId="1638" priority="1761" stopIfTrue="1">
      <formula>IF(FK$8="判定対象外",TRUE,FALSE)</formula>
    </cfRule>
  </conditionalFormatting>
  <conditionalFormatting sqref="FJ42:FJ44">
    <cfRule type="expression" dxfId="1637" priority="1760" stopIfTrue="1">
      <formula>IF(FK$8="判定対象外",TRUE,FALSE)</formula>
    </cfRule>
  </conditionalFormatting>
  <conditionalFormatting sqref="FJ42:FJ44">
    <cfRule type="expression" dxfId="1636" priority="1759" stopIfTrue="1">
      <formula>IF(FK$8="判定対象外",TRUE,FALSE)</formula>
    </cfRule>
  </conditionalFormatting>
  <conditionalFormatting sqref="FJ42:FJ44">
    <cfRule type="expression" dxfId="1635" priority="1758" stopIfTrue="1">
      <formula>IF(FK$8="判定対象外",TRUE,FALSE)</formula>
    </cfRule>
  </conditionalFormatting>
  <conditionalFormatting sqref="FJ42:FJ44">
    <cfRule type="expression" dxfId="1634" priority="1757" stopIfTrue="1">
      <formula>IF(FK$8="判定対象外",TRUE,FALSE)</formula>
    </cfRule>
  </conditionalFormatting>
  <conditionalFormatting sqref="FJ38">
    <cfRule type="expression" dxfId="1633" priority="1771" stopIfTrue="1">
      <formula>IF(#REF!="判定対象外",TRUE,FALSE)</formula>
    </cfRule>
  </conditionalFormatting>
  <conditionalFormatting sqref="FK11:FK34 FK71:FK81 FK36:FK56">
    <cfRule type="expression" dxfId="1632" priority="1756" stopIfTrue="1">
      <formula>IF(FK$8="判定対象外",TRUE,FALSE)</formula>
    </cfRule>
  </conditionalFormatting>
  <conditionalFormatting sqref="FJ48">
    <cfRule type="expression" dxfId="1631" priority="1755" stopIfTrue="1">
      <formula>IF(FK$8="判定対象外",TRUE,FALSE)</formula>
    </cfRule>
  </conditionalFormatting>
  <conditionalFormatting sqref="FJ51">
    <cfRule type="expression" dxfId="1630" priority="1754" stopIfTrue="1">
      <formula>IF(FK$8="判定対象外",TRUE,FALSE)</formula>
    </cfRule>
  </conditionalFormatting>
  <conditionalFormatting sqref="FJ52 FJ55 FJ70">
    <cfRule type="expression" dxfId="1629" priority="1753" stopIfTrue="1">
      <formula>IF(FK$8="判定対象外",TRUE,FALSE)</formula>
    </cfRule>
  </conditionalFormatting>
  <conditionalFormatting sqref="FJ11:FJ20">
    <cfRule type="expression" dxfId="1628" priority="1752" stopIfTrue="1">
      <formula>IF(FK$8="判定対象外",TRUE,FALSE)</formula>
    </cfRule>
  </conditionalFormatting>
  <conditionalFormatting sqref="FJ16:FJ18">
    <cfRule type="expression" dxfId="1627" priority="1751" stopIfTrue="1">
      <formula>IF(FK$8="判定対象外",TRUE,FALSE)</formula>
    </cfRule>
  </conditionalFormatting>
  <conditionalFormatting sqref="FJ20">
    <cfRule type="expression" dxfId="1626" priority="1750" stopIfTrue="1">
      <formula>IF(FK$8="判定対象外",TRUE,FALSE)</formula>
    </cfRule>
  </conditionalFormatting>
  <conditionalFormatting sqref="FJ16:FJ20">
    <cfRule type="expression" dxfId="1625" priority="1749" stopIfTrue="1">
      <formula>IF(FK$8="判定対象外",TRUE,FALSE)</formula>
    </cfRule>
  </conditionalFormatting>
  <conditionalFormatting sqref="FJ11:FJ20">
    <cfRule type="expression" dxfId="1624" priority="1748" stopIfTrue="1">
      <formula>IF(FK$8="判定対象外",TRUE,FALSE)</formula>
    </cfRule>
  </conditionalFormatting>
  <conditionalFormatting sqref="FJ16:FJ18">
    <cfRule type="expression" dxfId="1623" priority="1747" stopIfTrue="1">
      <formula>IF(FK$8="判定対象外",TRUE,FALSE)</formula>
    </cfRule>
  </conditionalFormatting>
  <conditionalFormatting sqref="FJ20">
    <cfRule type="expression" dxfId="1622" priority="1746" stopIfTrue="1">
      <formula>IF(FK$8="判定対象外",TRUE,FALSE)</formula>
    </cfRule>
  </conditionalFormatting>
  <conditionalFormatting sqref="FJ16:FJ20">
    <cfRule type="expression" dxfId="1621" priority="1745" stopIfTrue="1">
      <formula>IF(FK$8="判定対象外",TRUE,FALSE)</formula>
    </cfRule>
  </conditionalFormatting>
  <conditionalFormatting sqref="FJ11:FJ20">
    <cfRule type="expression" dxfId="1620" priority="1744" stopIfTrue="1">
      <formula>IF(FK$8="判定対象外",TRUE,FALSE)</formula>
    </cfRule>
  </conditionalFormatting>
  <conditionalFormatting sqref="FJ16:FJ18">
    <cfRule type="expression" dxfId="1619" priority="1743" stopIfTrue="1">
      <formula>IF(FK$8="判定対象外",TRUE,FALSE)</formula>
    </cfRule>
  </conditionalFormatting>
  <conditionalFormatting sqref="FJ20">
    <cfRule type="expression" dxfId="1618" priority="1742" stopIfTrue="1">
      <formula>IF(FK$8="判定対象外",TRUE,FALSE)</formula>
    </cfRule>
  </conditionalFormatting>
  <conditionalFormatting sqref="FJ16:FJ20">
    <cfRule type="expression" dxfId="1617" priority="1741" stopIfTrue="1">
      <formula>IF(FK$8="判定対象外",TRUE,FALSE)</formula>
    </cfRule>
  </conditionalFormatting>
  <conditionalFormatting sqref="FJ11:FJ13">
    <cfRule type="expression" dxfId="1616" priority="1740" stopIfTrue="1">
      <formula>IF(FK$8="判定対象外",TRUE,FALSE)</formula>
    </cfRule>
  </conditionalFormatting>
  <conditionalFormatting sqref="FJ15">
    <cfRule type="expression" dxfId="1615" priority="1739" stopIfTrue="1">
      <formula>IF(FK$8="判定対象外",TRUE,FALSE)</formula>
    </cfRule>
  </conditionalFormatting>
  <conditionalFormatting sqref="FJ19">
    <cfRule type="expression" dxfId="1614" priority="1738" stopIfTrue="1">
      <formula>IF(FK$8="判定対象外",TRUE,FALSE)</formula>
    </cfRule>
  </conditionalFormatting>
  <conditionalFormatting sqref="FJ19">
    <cfRule type="expression" dxfId="1613" priority="1737" stopIfTrue="1">
      <formula>IF(FK$8="判定対象外",TRUE,FALSE)</formula>
    </cfRule>
  </conditionalFormatting>
  <conditionalFormatting sqref="FJ20">
    <cfRule type="expression" dxfId="1612" priority="1736" stopIfTrue="1">
      <formula>IF(FK$8="判定対象外",TRUE,FALSE)</formula>
    </cfRule>
  </conditionalFormatting>
  <conditionalFormatting sqref="FJ20">
    <cfRule type="expression" dxfId="1611" priority="1735" stopIfTrue="1">
      <formula>IF(FK$8="判定対象外",TRUE,FALSE)</formula>
    </cfRule>
  </conditionalFormatting>
  <conditionalFormatting sqref="FJ20">
    <cfRule type="expression" dxfId="1610" priority="1734" stopIfTrue="1">
      <formula>IF(FK$8="判定対象外",TRUE,FALSE)</formula>
    </cfRule>
  </conditionalFormatting>
  <conditionalFormatting sqref="FJ13">
    <cfRule type="expression" dxfId="1609" priority="1733" stopIfTrue="1">
      <formula>IF(FK$8="判定対象外",TRUE,FALSE)</formula>
    </cfRule>
  </conditionalFormatting>
  <conditionalFormatting sqref="FJ47">
    <cfRule type="expression" dxfId="1608" priority="1732" stopIfTrue="1">
      <formula>IF(FK$8="判定対象外",TRUE,FALSE)</formula>
    </cfRule>
  </conditionalFormatting>
  <conditionalFormatting sqref="FJ47">
    <cfRule type="expression" dxfId="1607" priority="1731" stopIfTrue="1">
      <formula>IF(FK$8="判定対象外",TRUE,FALSE)</formula>
    </cfRule>
  </conditionalFormatting>
  <conditionalFormatting sqref="FJ49">
    <cfRule type="expression" dxfId="1606" priority="1730" stopIfTrue="1">
      <formula>IF(FK$8="判定対象外",TRUE,FALSE)</formula>
    </cfRule>
  </conditionalFormatting>
  <conditionalFormatting sqref="FJ49">
    <cfRule type="expression" dxfId="1605" priority="1729" stopIfTrue="1">
      <formula>IF(FK$8="判定対象外",TRUE,FALSE)</formula>
    </cfRule>
  </conditionalFormatting>
  <conditionalFormatting sqref="FJ50">
    <cfRule type="expression" dxfId="1604" priority="1728" stopIfTrue="1">
      <formula>IF(FK$8="判定対象外",TRUE,FALSE)</formula>
    </cfRule>
  </conditionalFormatting>
  <conditionalFormatting sqref="FJ50">
    <cfRule type="expression" dxfId="1603" priority="1727" stopIfTrue="1">
      <formula>IF(FK$8="判定対象外",TRUE,FALSE)</formula>
    </cfRule>
  </conditionalFormatting>
  <conditionalFormatting sqref="FJ53 FJ56 FJ68 FJ71">
    <cfRule type="expression" dxfId="1602" priority="1726" stopIfTrue="1">
      <formula>IF(FK$8="判定対象外",TRUE,FALSE)</formula>
    </cfRule>
  </conditionalFormatting>
  <conditionalFormatting sqref="FJ54 FJ57">
    <cfRule type="expression" dxfId="1601" priority="1725" stopIfTrue="1">
      <formula>IF(FK$8="判定対象外",TRUE,FALSE)</formula>
    </cfRule>
  </conditionalFormatting>
  <conditionalFormatting sqref="FM57">
    <cfRule type="expression" dxfId="1600" priority="1723" stopIfTrue="1">
      <formula>IF(FM57="-",TRUE,FALSE)</formula>
    </cfRule>
    <cfRule type="expression" dxfId="1599" priority="1724" stopIfTrue="1">
      <formula>IF(OR(FM57="OK"),FALSE,TRUE)</formula>
    </cfRule>
  </conditionalFormatting>
  <conditionalFormatting sqref="FL57">
    <cfRule type="expression" dxfId="1598" priority="1722" stopIfTrue="1">
      <formula>IF(FK$8="判定対象外",TRUE,FALSE)</formula>
    </cfRule>
  </conditionalFormatting>
  <conditionalFormatting sqref="FK57">
    <cfRule type="expression" dxfId="1597" priority="1721" stopIfTrue="1">
      <formula>IF(FK$8="判定対象外",TRUE,FALSE)</formula>
    </cfRule>
  </conditionalFormatting>
  <conditionalFormatting sqref="FM68:FM70">
    <cfRule type="expression" dxfId="1596" priority="1719" stopIfTrue="1">
      <formula>IF(FM68="-",TRUE,FALSE)</formula>
    </cfRule>
    <cfRule type="expression" dxfId="1595" priority="1720" stopIfTrue="1">
      <formula>IF(OR(FM68="OK"),FALSE,TRUE)</formula>
    </cfRule>
  </conditionalFormatting>
  <conditionalFormatting sqref="FL68:FL70">
    <cfRule type="expression" dxfId="1594" priority="1718" stopIfTrue="1">
      <formula>IF(FK$8="判定対象外",TRUE,FALSE)</formula>
    </cfRule>
  </conditionalFormatting>
  <conditionalFormatting sqref="FK68:FK70">
    <cfRule type="expression" dxfId="1593" priority="1717" stopIfTrue="1">
      <formula>IF(FK$8="判定対象外",TRUE,FALSE)</formula>
    </cfRule>
  </conditionalFormatting>
  <conditionalFormatting sqref="FN29:FN32">
    <cfRule type="expression" dxfId="1592" priority="1706" stopIfTrue="1">
      <formula>IF(FO$8="判定対象外",TRUE,FALSE)</formula>
    </cfRule>
  </conditionalFormatting>
  <conditionalFormatting sqref="FQ8:FQ10">
    <cfRule type="expression" dxfId="1591" priority="1715" stopIfTrue="1">
      <formula>IF(FQ8="-",TRUE,FALSE)</formula>
    </cfRule>
    <cfRule type="expression" dxfId="1590" priority="1716" stopIfTrue="1">
      <formula>IF(OR(FQ8="OK"),FALSE,TRUE)</formula>
    </cfRule>
  </conditionalFormatting>
  <conditionalFormatting sqref="FN8:FN10">
    <cfRule type="expression" dxfId="1589" priority="1714" stopIfTrue="1">
      <formula>IF(FO$8="判定対象外",TRUE,FALSE)</formula>
    </cfRule>
  </conditionalFormatting>
  <conditionalFormatting sqref="FO8:FO10">
    <cfRule type="expression" dxfId="1588" priority="1713" stopIfTrue="1">
      <formula>IF(FO$8="判定対象外",TRUE,FALSE)</formula>
    </cfRule>
  </conditionalFormatting>
  <conditionalFormatting sqref="FP8:FP10">
    <cfRule type="expression" dxfId="1587" priority="1712" stopIfTrue="1">
      <formula>IF(FO$8="判定対象外",TRUE,FALSE)</formula>
    </cfRule>
  </conditionalFormatting>
  <conditionalFormatting sqref="FQ11:FQ34 FQ71:FQ81 FQ36:FQ56">
    <cfRule type="expression" dxfId="1586" priority="1709" stopIfTrue="1">
      <formula>IF(FQ11="-",TRUE,FALSE)</formula>
    </cfRule>
    <cfRule type="expression" dxfId="1585" priority="1710" stopIfTrue="1">
      <formula>IF(OR(FQ11="OK"),FALSE,TRUE)</formula>
    </cfRule>
  </conditionalFormatting>
  <conditionalFormatting sqref="FP11:FP34 FP71:FP81 FP36:FP56">
    <cfRule type="expression" dxfId="1584" priority="1708" stopIfTrue="1">
      <formula>IF(FO$8="判定対象外",TRUE,FALSE)</formula>
    </cfRule>
  </conditionalFormatting>
  <conditionalFormatting sqref="FN72:FN81 FN21:FN34 FN36:FN46">
    <cfRule type="expression" dxfId="1583" priority="1707" stopIfTrue="1">
      <formula>IF(FO$8="判定対象外",TRUE,FALSE)</formula>
    </cfRule>
  </conditionalFormatting>
  <conditionalFormatting sqref="FN42:FN44">
    <cfRule type="expression" dxfId="1582" priority="1705" stopIfTrue="1">
      <formula>IF(FO$8="判定対象外",TRUE,FALSE)</formula>
    </cfRule>
  </conditionalFormatting>
  <conditionalFormatting sqref="FN46">
    <cfRule type="expression" dxfId="1581" priority="1704" stopIfTrue="1">
      <formula>IF(FO$8="判定対象外",TRUE,FALSE)</formula>
    </cfRule>
  </conditionalFormatting>
  <conditionalFormatting sqref="FN42:FN44">
    <cfRule type="expression" dxfId="1580" priority="1703" stopIfTrue="1">
      <formula>IF(FO$8="判定対象外",TRUE,FALSE)</formula>
    </cfRule>
  </conditionalFormatting>
  <conditionalFormatting sqref="FN42:FN44">
    <cfRule type="expression" dxfId="1579" priority="1702" stopIfTrue="1">
      <formula>IF(FO$8="判定対象外",TRUE,FALSE)</formula>
    </cfRule>
  </conditionalFormatting>
  <conditionalFormatting sqref="FN42:FN44">
    <cfRule type="expression" dxfId="1578" priority="1701" stopIfTrue="1">
      <formula>IF(FO$8="判定対象外",TRUE,FALSE)</formula>
    </cfRule>
  </conditionalFormatting>
  <conditionalFormatting sqref="FN42:FN44">
    <cfRule type="expression" dxfId="1577" priority="1700" stopIfTrue="1">
      <formula>IF(FO$8="判定対象外",TRUE,FALSE)</formula>
    </cfRule>
  </conditionalFormatting>
  <conditionalFormatting sqref="FN42:FN44">
    <cfRule type="expression" dxfId="1576" priority="1699" stopIfTrue="1">
      <formula>IF(FO$8="判定対象外",TRUE,FALSE)</formula>
    </cfRule>
  </conditionalFormatting>
  <conditionalFormatting sqref="FN42:FN44">
    <cfRule type="expression" dxfId="1575" priority="1698" stopIfTrue="1">
      <formula>IF(FO$8="判定対象外",TRUE,FALSE)</formula>
    </cfRule>
  </conditionalFormatting>
  <conditionalFormatting sqref="FN42:FN44">
    <cfRule type="expression" dxfId="1574" priority="1697" stopIfTrue="1">
      <formula>IF(FO$8="判定対象外",TRUE,FALSE)</formula>
    </cfRule>
  </conditionalFormatting>
  <conditionalFormatting sqref="FN38">
    <cfRule type="expression" dxfId="1573" priority="1711" stopIfTrue="1">
      <formula>IF(#REF!="判定対象外",TRUE,FALSE)</formula>
    </cfRule>
  </conditionalFormatting>
  <conditionalFormatting sqref="FO11:FO34 FO71:FO81 FO36:FO56">
    <cfRule type="expression" dxfId="1572" priority="1696" stopIfTrue="1">
      <formula>IF(FO$8="判定対象外",TRUE,FALSE)</formula>
    </cfRule>
  </conditionalFormatting>
  <conditionalFormatting sqref="FN48">
    <cfRule type="expression" dxfId="1571" priority="1695" stopIfTrue="1">
      <formula>IF(FO$8="判定対象外",TRUE,FALSE)</formula>
    </cfRule>
  </conditionalFormatting>
  <conditionalFormatting sqref="FN51">
    <cfRule type="expression" dxfId="1570" priority="1694" stopIfTrue="1">
      <formula>IF(FO$8="判定対象外",TRUE,FALSE)</formula>
    </cfRule>
  </conditionalFormatting>
  <conditionalFormatting sqref="FN52 FN55 FN70">
    <cfRule type="expression" dxfId="1569" priority="1693" stopIfTrue="1">
      <formula>IF(FO$8="判定対象外",TRUE,FALSE)</formula>
    </cfRule>
  </conditionalFormatting>
  <conditionalFormatting sqref="FN11:FN20">
    <cfRule type="expression" dxfId="1568" priority="1692" stopIfTrue="1">
      <formula>IF(FO$8="判定対象外",TRUE,FALSE)</formula>
    </cfRule>
  </conditionalFormatting>
  <conditionalFormatting sqref="FN16:FN18">
    <cfRule type="expression" dxfId="1567" priority="1691" stopIfTrue="1">
      <formula>IF(FO$8="判定対象外",TRUE,FALSE)</formula>
    </cfRule>
  </conditionalFormatting>
  <conditionalFormatting sqref="FN20">
    <cfRule type="expression" dxfId="1566" priority="1690" stopIfTrue="1">
      <formula>IF(FO$8="判定対象外",TRUE,FALSE)</formula>
    </cfRule>
  </conditionalFormatting>
  <conditionalFormatting sqref="FN16:FN20">
    <cfRule type="expression" dxfId="1565" priority="1689" stopIfTrue="1">
      <formula>IF(FO$8="判定対象外",TRUE,FALSE)</formula>
    </cfRule>
  </conditionalFormatting>
  <conditionalFormatting sqref="FN11:FN20">
    <cfRule type="expression" dxfId="1564" priority="1688" stopIfTrue="1">
      <formula>IF(FO$8="判定対象外",TRUE,FALSE)</formula>
    </cfRule>
  </conditionalFormatting>
  <conditionalFormatting sqref="FN20">
    <cfRule type="expression" dxfId="1563" priority="1686" stopIfTrue="1">
      <formula>IF(FO$8="判定対象外",TRUE,FALSE)</formula>
    </cfRule>
  </conditionalFormatting>
  <conditionalFormatting sqref="FN16:FN20">
    <cfRule type="expression" dxfId="1562" priority="1685" stopIfTrue="1">
      <formula>IF(FO$8="判定対象外",TRUE,FALSE)</formula>
    </cfRule>
  </conditionalFormatting>
  <conditionalFormatting sqref="FN11:FN20">
    <cfRule type="expression" dxfId="1561" priority="1684" stopIfTrue="1">
      <formula>IF(FO$8="判定対象外",TRUE,FALSE)</formula>
    </cfRule>
  </conditionalFormatting>
  <conditionalFormatting sqref="FN16:FN18">
    <cfRule type="expression" dxfId="1560" priority="1683" stopIfTrue="1">
      <formula>IF(FO$8="判定対象外",TRUE,FALSE)</formula>
    </cfRule>
  </conditionalFormatting>
  <conditionalFormatting sqref="FN20">
    <cfRule type="expression" dxfId="1559" priority="1682" stopIfTrue="1">
      <formula>IF(FO$8="判定対象外",TRUE,FALSE)</formula>
    </cfRule>
  </conditionalFormatting>
  <conditionalFormatting sqref="FN16:FN20">
    <cfRule type="expression" dxfId="1558" priority="1681" stopIfTrue="1">
      <formula>IF(FO$8="判定対象外",TRUE,FALSE)</formula>
    </cfRule>
  </conditionalFormatting>
  <conditionalFormatting sqref="FN11:FN13">
    <cfRule type="expression" dxfId="1557" priority="1680" stopIfTrue="1">
      <formula>IF(FO$8="判定対象外",TRUE,FALSE)</formula>
    </cfRule>
  </conditionalFormatting>
  <conditionalFormatting sqref="FN15">
    <cfRule type="expression" dxfId="1556" priority="1679" stopIfTrue="1">
      <formula>IF(FO$8="判定対象外",TRUE,FALSE)</formula>
    </cfRule>
  </conditionalFormatting>
  <conditionalFormatting sqref="FN19">
    <cfRule type="expression" dxfId="1555" priority="1678" stopIfTrue="1">
      <formula>IF(FO$8="判定対象外",TRUE,FALSE)</formula>
    </cfRule>
  </conditionalFormatting>
  <conditionalFormatting sqref="FN20">
    <cfRule type="expression" dxfId="1554" priority="1676" stopIfTrue="1">
      <formula>IF(FO$8="判定対象外",TRUE,FALSE)</formula>
    </cfRule>
  </conditionalFormatting>
  <conditionalFormatting sqref="FN20">
    <cfRule type="expression" dxfId="1553" priority="1675" stopIfTrue="1">
      <formula>IF(FO$8="判定対象外",TRUE,FALSE)</formula>
    </cfRule>
  </conditionalFormatting>
  <conditionalFormatting sqref="FN20">
    <cfRule type="expression" dxfId="1552" priority="1674" stopIfTrue="1">
      <formula>IF(FO$8="判定対象外",TRUE,FALSE)</formula>
    </cfRule>
  </conditionalFormatting>
  <conditionalFormatting sqref="FN13">
    <cfRule type="expression" dxfId="1551" priority="1673" stopIfTrue="1">
      <formula>IF(FO$8="判定対象外",TRUE,FALSE)</formula>
    </cfRule>
  </conditionalFormatting>
  <conditionalFormatting sqref="FN47">
    <cfRule type="expression" dxfId="1550" priority="1672" stopIfTrue="1">
      <formula>IF(FO$8="判定対象外",TRUE,FALSE)</formula>
    </cfRule>
  </conditionalFormatting>
  <conditionalFormatting sqref="FN47">
    <cfRule type="expression" dxfId="1549" priority="1671" stopIfTrue="1">
      <formula>IF(FO$8="判定対象外",TRUE,FALSE)</formula>
    </cfRule>
  </conditionalFormatting>
  <conditionalFormatting sqref="FN49">
    <cfRule type="expression" dxfId="1548" priority="1670" stopIfTrue="1">
      <formula>IF(FO$8="判定対象外",TRUE,FALSE)</formula>
    </cfRule>
  </conditionalFormatting>
  <conditionalFormatting sqref="FN49">
    <cfRule type="expression" dxfId="1547" priority="1669" stopIfTrue="1">
      <formula>IF(FO$8="判定対象外",TRUE,FALSE)</formula>
    </cfRule>
  </conditionalFormatting>
  <conditionalFormatting sqref="FN50">
    <cfRule type="expression" dxfId="1546" priority="1668" stopIfTrue="1">
      <formula>IF(FO$8="判定対象外",TRUE,FALSE)</formula>
    </cfRule>
  </conditionalFormatting>
  <conditionalFormatting sqref="FN50">
    <cfRule type="expression" dxfId="1545" priority="1667" stopIfTrue="1">
      <formula>IF(FO$8="判定対象外",TRUE,FALSE)</formula>
    </cfRule>
  </conditionalFormatting>
  <conditionalFormatting sqref="FN54 FN57 FN69">
    <cfRule type="expression" dxfId="1544" priority="1665" stopIfTrue="1">
      <formula>IF(FO$8="判定対象外",TRUE,FALSE)</formula>
    </cfRule>
  </conditionalFormatting>
  <conditionalFormatting sqref="FQ57">
    <cfRule type="expression" dxfId="1543" priority="1663" stopIfTrue="1">
      <formula>IF(FQ57="-",TRUE,FALSE)</formula>
    </cfRule>
    <cfRule type="expression" dxfId="1542" priority="1664" stopIfTrue="1">
      <formula>IF(OR(FQ57="OK"),FALSE,TRUE)</formula>
    </cfRule>
  </conditionalFormatting>
  <conditionalFormatting sqref="FP57">
    <cfRule type="expression" dxfId="1541" priority="1662" stopIfTrue="1">
      <formula>IF(FO$8="判定対象外",TRUE,FALSE)</formula>
    </cfRule>
  </conditionalFormatting>
  <conditionalFormatting sqref="FO57">
    <cfRule type="expression" dxfId="1540" priority="1661" stopIfTrue="1">
      <formula>IF(FO$8="判定対象外",TRUE,FALSE)</formula>
    </cfRule>
  </conditionalFormatting>
  <conditionalFormatting sqref="FQ58:FQ64">
    <cfRule type="expression" dxfId="1539" priority="1659" stopIfTrue="1">
      <formula>IF(FQ58="-",TRUE,FALSE)</formula>
    </cfRule>
    <cfRule type="expression" dxfId="1538" priority="1660" stopIfTrue="1">
      <formula>IF(OR(FQ58="OK"),FALSE,TRUE)</formula>
    </cfRule>
  </conditionalFormatting>
  <conditionalFormatting sqref="FP58:FP64">
    <cfRule type="expression" dxfId="1537" priority="1658" stopIfTrue="1">
      <formula>IF(FO$8="判定対象外",TRUE,FALSE)</formula>
    </cfRule>
  </conditionalFormatting>
  <conditionalFormatting sqref="FO58:FO64">
    <cfRule type="expression" dxfId="1536" priority="1657" stopIfTrue="1">
      <formula>IF(FO$8="判定対象外",TRUE,FALSE)</formula>
    </cfRule>
  </conditionalFormatting>
  <conditionalFormatting sqref="FQ65:FQ70">
    <cfRule type="expression" dxfId="1535" priority="1655" stopIfTrue="1">
      <formula>IF(FQ65="-",TRUE,FALSE)</formula>
    </cfRule>
    <cfRule type="expression" dxfId="1534" priority="1656" stopIfTrue="1">
      <formula>IF(OR(FQ65="OK"),FALSE,TRUE)</formula>
    </cfRule>
  </conditionalFormatting>
  <conditionalFormatting sqref="FP65:FP70">
    <cfRule type="expression" dxfId="1533" priority="1654" stopIfTrue="1">
      <formula>IF(FO$8="判定対象外",TRUE,FALSE)</formula>
    </cfRule>
  </conditionalFormatting>
  <conditionalFormatting sqref="FO65:FO70">
    <cfRule type="expression" dxfId="1532" priority="1653" stopIfTrue="1">
      <formula>IF(FO$8="判定対象外",TRUE,FALSE)</formula>
    </cfRule>
  </conditionalFormatting>
  <conditionalFormatting sqref="FN58">
    <cfRule type="expression" dxfId="1531" priority="1642" stopIfTrue="1">
      <formula>IF(FO$8="判定対象外",TRUE,FALSE)</formula>
    </cfRule>
  </conditionalFormatting>
  <conditionalFormatting sqref="FF58">
    <cfRule type="expression" dxfId="1530" priority="1652" stopIfTrue="1">
      <formula>IF(FG$8="判定対象外",TRUE,FALSE)</formula>
    </cfRule>
  </conditionalFormatting>
  <conditionalFormatting sqref="FI58">
    <cfRule type="expression" dxfId="1529" priority="1650" stopIfTrue="1">
      <formula>IF(FI58="-",TRUE,FALSE)</formula>
    </cfRule>
    <cfRule type="expression" dxfId="1528" priority="1651" stopIfTrue="1">
      <formula>IF(OR(FI58="OK"),FALSE,TRUE)</formula>
    </cfRule>
  </conditionalFormatting>
  <conditionalFormatting sqref="FH58">
    <cfRule type="expression" dxfId="1527" priority="1649" stopIfTrue="1">
      <formula>IF(FG$8="判定対象外",TRUE,FALSE)</formula>
    </cfRule>
  </conditionalFormatting>
  <conditionalFormatting sqref="FG58">
    <cfRule type="expression" dxfId="1526" priority="1648" stopIfTrue="1">
      <formula>IF(FG$8="判定対象外",TRUE,FALSE)</formula>
    </cfRule>
  </conditionalFormatting>
  <conditionalFormatting sqref="FJ58">
    <cfRule type="expression" dxfId="1525" priority="1647" stopIfTrue="1">
      <formula>IF(FK$8="判定対象外",TRUE,FALSE)</formula>
    </cfRule>
  </conditionalFormatting>
  <conditionalFormatting sqref="FM58">
    <cfRule type="expression" dxfId="1524" priority="1645" stopIfTrue="1">
      <formula>IF(FM58="-",TRUE,FALSE)</formula>
    </cfRule>
    <cfRule type="expression" dxfId="1523" priority="1646" stopIfTrue="1">
      <formula>IF(OR(FM58="OK"),FALSE,TRUE)</formula>
    </cfRule>
  </conditionalFormatting>
  <conditionalFormatting sqref="FL58">
    <cfRule type="expression" dxfId="1522" priority="1644" stopIfTrue="1">
      <formula>IF(FK$8="判定対象外",TRUE,FALSE)</formula>
    </cfRule>
  </conditionalFormatting>
  <conditionalFormatting sqref="FK58">
    <cfRule type="expression" dxfId="1521" priority="1643" stopIfTrue="1">
      <formula>IF(FK$8="判定対象外",TRUE,FALSE)</formula>
    </cfRule>
  </conditionalFormatting>
  <conditionalFormatting sqref="FJ59">
    <cfRule type="expression" dxfId="1520" priority="1636" stopIfTrue="1">
      <formula>IF(FK$8="判定対象外",TRUE,FALSE)</formula>
    </cfRule>
  </conditionalFormatting>
  <conditionalFormatting sqref="FM59">
    <cfRule type="expression" dxfId="1519" priority="1634" stopIfTrue="1">
      <formula>IF(FM59="-",TRUE,FALSE)</formula>
    </cfRule>
    <cfRule type="expression" dxfId="1518" priority="1635" stopIfTrue="1">
      <formula>IF(OR(FM59="OK"),FALSE,TRUE)</formula>
    </cfRule>
  </conditionalFormatting>
  <conditionalFormatting sqref="FL59">
    <cfRule type="expression" dxfId="1517" priority="1633" stopIfTrue="1">
      <formula>IF(FK$8="判定対象外",TRUE,FALSE)</formula>
    </cfRule>
  </conditionalFormatting>
  <conditionalFormatting sqref="FK59">
    <cfRule type="expression" dxfId="1516" priority="1632" stopIfTrue="1">
      <formula>IF(FK$8="判定対象外",TRUE,FALSE)</formula>
    </cfRule>
  </conditionalFormatting>
  <conditionalFormatting sqref="FJ60">
    <cfRule type="expression" dxfId="1515" priority="1625" stopIfTrue="1">
      <formula>IF(FK$8="判定対象外",TRUE,FALSE)</formula>
    </cfRule>
  </conditionalFormatting>
  <conditionalFormatting sqref="FM60">
    <cfRule type="expression" dxfId="1514" priority="1623" stopIfTrue="1">
      <formula>IF(FM60="-",TRUE,FALSE)</formula>
    </cfRule>
    <cfRule type="expression" dxfId="1513" priority="1624" stopIfTrue="1">
      <formula>IF(OR(FM60="OK"),FALSE,TRUE)</formula>
    </cfRule>
  </conditionalFormatting>
  <conditionalFormatting sqref="FL60">
    <cfRule type="expression" dxfId="1512" priority="1622" stopIfTrue="1">
      <formula>IF(FK$8="判定対象外",TRUE,FALSE)</formula>
    </cfRule>
  </conditionalFormatting>
  <conditionalFormatting sqref="FK60">
    <cfRule type="expression" dxfId="1511" priority="1621" stopIfTrue="1">
      <formula>IF(FK$8="判定対象外",TRUE,FALSE)</formula>
    </cfRule>
  </conditionalFormatting>
  <conditionalFormatting sqref="FJ61">
    <cfRule type="expression" dxfId="1510" priority="1614" stopIfTrue="1">
      <formula>IF(FK$8="判定対象外",TRUE,FALSE)</formula>
    </cfRule>
  </conditionalFormatting>
  <conditionalFormatting sqref="FM61">
    <cfRule type="expression" dxfId="1509" priority="1612" stopIfTrue="1">
      <formula>IF(FM61="-",TRUE,FALSE)</formula>
    </cfRule>
    <cfRule type="expression" dxfId="1508" priority="1613" stopIfTrue="1">
      <formula>IF(OR(FM61="OK"),FALSE,TRUE)</formula>
    </cfRule>
  </conditionalFormatting>
  <conditionalFormatting sqref="FL61">
    <cfRule type="expression" dxfId="1507" priority="1611" stopIfTrue="1">
      <formula>IF(FK$8="判定対象外",TRUE,FALSE)</formula>
    </cfRule>
  </conditionalFormatting>
  <conditionalFormatting sqref="FK61">
    <cfRule type="expression" dxfId="1506" priority="1610" stopIfTrue="1">
      <formula>IF(FK$8="判定対象外",TRUE,FALSE)</formula>
    </cfRule>
  </conditionalFormatting>
  <conditionalFormatting sqref="FJ62">
    <cfRule type="expression" dxfId="1505" priority="1603" stopIfTrue="1">
      <formula>IF(FK$8="判定対象外",TRUE,FALSE)</formula>
    </cfRule>
  </conditionalFormatting>
  <conditionalFormatting sqref="FM62">
    <cfRule type="expression" dxfId="1504" priority="1601" stopIfTrue="1">
      <formula>IF(FM62="-",TRUE,FALSE)</formula>
    </cfRule>
    <cfRule type="expression" dxfId="1503" priority="1602" stopIfTrue="1">
      <formula>IF(OR(FM62="OK"),FALSE,TRUE)</formula>
    </cfRule>
  </conditionalFormatting>
  <conditionalFormatting sqref="FL62">
    <cfRule type="expression" dxfId="1502" priority="1600" stopIfTrue="1">
      <formula>IF(FK$8="判定対象外",TRUE,FALSE)</formula>
    </cfRule>
  </conditionalFormatting>
  <conditionalFormatting sqref="FK62">
    <cfRule type="expression" dxfId="1501" priority="1599" stopIfTrue="1">
      <formula>IF(FK$8="判定対象外",TRUE,FALSE)</formula>
    </cfRule>
  </conditionalFormatting>
  <conditionalFormatting sqref="FJ63">
    <cfRule type="expression" dxfId="1500" priority="1592" stopIfTrue="1">
      <formula>IF(FK$8="判定対象外",TRUE,FALSE)</formula>
    </cfRule>
  </conditionalFormatting>
  <conditionalFormatting sqref="FM63">
    <cfRule type="expression" dxfId="1499" priority="1590" stopIfTrue="1">
      <formula>IF(FM63="-",TRUE,FALSE)</formula>
    </cfRule>
    <cfRule type="expression" dxfId="1498" priority="1591" stopIfTrue="1">
      <formula>IF(OR(FM63="OK"),FALSE,TRUE)</formula>
    </cfRule>
  </conditionalFormatting>
  <conditionalFormatting sqref="FL63">
    <cfRule type="expression" dxfId="1497" priority="1589" stopIfTrue="1">
      <formula>IF(FK$8="判定対象外",TRUE,FALSE)</formula>
    </cfRule>
  </conditionalFormatting>
  <conditionalFormatting sqref="FK63">
    <cfRule type="expression" dxfId="1496" priority="1588" stopIfTrue="1">
      <formula>IF(FK$8="判定対象外",TRUE,FALSE)</formula>
    </cfRule>
  </conditionalFormatting>
  <conditionalFormatting sqref="FJ64">
    <cfRule type="expression" dxfId="1495" priority="1581" stopIfTrue="1">
      <formula>IF(FK$8="判定対象外",TRUE,FALSE)</formula>
    </cfRule>
  </conditionalFormatting>
  <conditionalFormatting sqref="FM64">
    <cfRule type="expression" dxfId="1494" priority="1579" stopIfTrue="1">
      <formula>IF(FM64="-",TRUE,FALSE)</formula>
    </cfRule>
    <cfRule type="expression" dxfId="1493" priority="1580" stopIfTrue="1">
      <formula>IF(OR(FM64="OK"),FALSE,TRUE)</formula>
    </cfRule>
  </conditionalFormatting>
  <conditionalFormatting sqref="FL64">
    <cfRule type="expression" dxfId="1492" priority="1578" stopIfTrue="1">
      <formula>IF(FK$8="判定対象外",TRUE,FALSE)</formula>
    </cfRule>
  </conditionalFormatting>
  <conditionalFormatting sqref="FK64">
    <cfRule type="expression" dxfId="1491" priority="1577" stopIfTrue="1">
      <formula>IF(FK$8="判定対象外",TRUE,FALSE)</formula>
    </cfRule>
  </conditionalFormatting>
  <conditionalFormatting sqref="FJ65">
    <cfRule type="expression" dxfId="1490" priority="1570" stopIfTrue="1">
      <formula>IF(FK$8="判定対象外",TRUE,FALSE)</formula>
    </cfRule>
  </conditionalFormatting>
  <conditionalFormatting sqref="FM65">
    <cfRule type="expression" dxfId="1489" priority="1568" stopIfTrue="1">
      <formula>IF(FM65="-",TRUE,FALSE)</formula>
    </cfRule>
    <cfRule type="expression" dxfId="1488" priority="1569" stopIfTrue="1">
      <formula>IF(OR(FM65="OK"),FALSE,TRUE)</formula>
    </cfRule>
  </conditionalFormatting>
  <conditionalFormatting sqref="FL65">
    <cfRule type="expression" dxfId="1487" priority="1567" stopIfTrue="1">
      <formula>IF(FK$8="判定対象外",TRUE,FALSE)</formula>
    </cfRule>
  </conditionalFormatting>
  <conditionalFormatting sqref="FK65">
    <cfRule type="expression" dxfId="1486" priority="1566" stopIfTrue="1">
      <formula>IF(FK$8="判定対象外",TRUE,FALSE)</formula>
    </cfRule>
  </conditionalFormatting>
  <conditionalFormatting sqref="FI67">
    <cfRule type="expression" dxfId="1485" priority="1562" stopIfTrue="1">
      <formula>IF(FI67="-",TRUE,FALSE)</formula>
    </cfRule>
    <cfRule type="expression" dxfId="1484" priority="1563" stopIfTrue="1">
      <formula>IF(OR(FI67="OK"),FALSE,TRUE)</formula>
    </cfRule>
  </conditionalFormatting>
  <conditionalFormatting sqref="FH67">
    <cfRule type="expression" dxfId="1483" priority="1561" stopIfTrue="1">
      <formula>IF(FG$8="判定対象外",TRUE,FALSE)</formula>
    </cfRule>
  </conditionalFormatting>
  <conditionalFormatting sqref="FG67">
    <cfRule type="expression" dxfId="1482" priority="1560" stopIfTrue="1">
      <formula>IF(FG$8="判定対象外",TRUE,FALSE)</formula>
    </cfRule>
  </conditionalFormatting>
  <conditionalFormatting sqref="FM67">
    <cfRule type="expression" dxfId="1481" priority="1558" stopIfTrue="1">
      <formula>IF(FM67="-",TRUE,FALSE)</formula>
    </cfRule>
    <cfRule type="expression" dxfId="1480" priority="1559" stopIfTrue="1">
      <formula>IF(OR(FM67="OK"),FALSE,TRUE)</formula>
    </cfRule>
  </conditionalFormatting>
  <conditionalFormatting sqref="FL67">
    <cfRule type="expression" dxfId="1479" priority="1557" stopIfTrue="1">
      <formula>IF(FK$8="判定対象外",TRUE,FALSE)</formula>
    </cfRule>
  </conditionalFormatting>
  <conditionalFormatting sqref="FK67">
    <cfRule type="expression" dxfId="1478" priority="1556" stopIfTrue="1">
      <formula>IF(FK$8="判定対象外",TRUE,FALSE)</formula>
    </cfRule>
  </conditionalFormatting>
  <conditionalFormatting sqref="FJ67">
    <cfRule type="expression" dxfId="1477" priority="1555" stopIfTrue="1">
      <formula>IF(FK$8="判定対象外",TRUE,FALSE)</formula>
    </cfRule>
  </conditionalFormatting>
  <conditionalFormatting sqref="FJ66">
    <cfRule type="expression" dxfId="1476" priority="1548" stopIfTrue="1">
      <formula>IF(FK$8="判定対象外",TRUE,FALSE)</formula>
    </cfRule>
  </conditionalFormatting>
  <conditionalFormatting sqref="FM66">
    <cfRule type="expression" dxfId="1475" priority="1546" stopIfTrue="1">
      <formula>IF(FM66="-",TRUE,FALSE)</formula>
    </cfRule>
    <cfRule type="expression" dxfId="1474" priority="1547" stopIfTrue="1">
      <formula>IF(OR(FM66="OK"),FALSE,TRUE)</formula>
    </cfRule>
  </conditionalFormatting>
  <conditionalFormatting sqref="FL66">
    <cfRule type="expression" dxfId="1473" priority="1545" stopIfTrue="1">
      <formula>IF(FK$8="判定対象外",TRUE,FALSE)</formula>
    </cfRule>
  </conditionalFormatting>
  <conditionalFormatting sqref="FK66">
    <cfRule type="expression" dxfId="1472" priority="1544" stopIfTrue="1">
      <formula>IF(FK$8="判定対象外",TRUE,FALSE)</formula>
    </cfRule>
  </conditionalFormatting>
  <conditionalFormatting sqref="FF68">
    <cfRule type="expression" dxfId="1471" priority="1542" stopIfTrue="1">
      <formula>IF(FG$8="判定対象外",TRUE,FALSE)</formula>
    </cfRule>
  </conditionalFormatting>
  <conditionalFormatting sqref="FI68">
    <cfRule type="expression" dxfId="1470" priority="1540" stopIfTrue="1">
      <formula>IF(FI68="-",TRUE,FALSE)</formula>
    </cfRule>
    <cfRule type="expression" dxfId="1469" priority="1541" stopIfTrue="1">
      <formula>IF(OR(FI68="OK"),FALSE,TRUE)</formula>
    </cfRule>
  </conditionalFormatting>
  <conditionalFormatting sqref="FH68">
    <cfRule type="expression" dxfId="1468" priority="1539" stopIfTrue="1">
      <formula>IF(FG$8="判定対象外",TRUE,FALSE)</formula>
    </cfRule>
  </conditionalFormatting>
  <conditionalFormatting sqref="FG68">
    <cfRule type="expression" dxfId="1467" priority="1538" stopIfTrue="1">
      <formula>IF(FG$8="判定対象外",TRUE,FALSE)</formula>
    </cfRule>
  </conditionalFormatting>
  <conditionalFormatting sqref="FM68">
    <cfRule type="expression" dxfId="1466" priority="1536" stopIfTrue="1">
      <formula>IF(FM68="-",TRUE,FALSE)</formula>
    </cfRule>
    <cfRule type="expression" dxfId="1465" priority="1537" stopIfTrue="1">
      <formula>IF(OR(FM68="OK"),FALSE,TRUE)</formula>
    </cfRule>
  </conditionalFormatting>
  <conditionalFormatting sqref="FL68">
    <cfRule type="expression" dxfId="1464" priority="1535" stopIfTrue="1">
      <formula>IF(FK$8="判定対象外",TRUE,FALSE)</formula>
    </cfRule>
  </conditionalFormatting>
  <conditionalFormatting sqref="FK68">
    <cfRule type="expression" dxfId="1463" priority="1534" stopIfTrue="1">
      <formula>IF(FK$8="判定対象外",TRUE,FALSE)</formula>
    </cfRule>
  </conditionalFormatting>
  <conditionalFormatting sqref="FJ68">
    <cfRule type="expression" dxfId="1462" priority="1533" stopIfTrue="1">
      <formula>IF(FK$8="判定対象外",TRUE,FALSE)</formula>
    </cfRule>
  </conditionalFormatting>
  <conditionalFormatting sqref="FF67">
    <cfRule type="expression" dxfId="1461" priority="1531" stopIfTrue="1">
      <formula>IF(FG$8="判定対象外",TRUE,FALSE)</formula>
    </cfRule>
  </conditionalFormatting>
  <conditionalFormatting sqref="FI67">
    <cfRule type="expression" dxfId="1460" priority="1529" stopIfTrue="1">
      <formula>IF(FI67="-",TRUE,FALSE)</formula>
    </cfRule>
    <cfRule type="expression" dxfId="1459" priority="1530" stopIfTrue="1">
      <formula>IF(OR(FI67="OK"),FALSE,TRUE)</formula>
    </cfRule>
  </conditionalFormatting>
  <conditionalFormatting sqref="FH67">
    <cfRule type="expression" dxfId="1458" priority="1528" stopIfTrue="1">
      <formula>IF(FG$8="判定対象外",TRUE,FALSE)</formula>
    </cfRule>
  </conditionalFormatting>
  <conditionalFormatting sqref="FG67">
    <cfRule type="expression" dxfId="1457" priority="1527" stopIfTrue="1">
      <formula>IF(FG$8="判定対象外",TRUE,FALSE)</formula>
    </cfRule>
  </conditionalFormatting>
  <conditionalFormatting sqref="FJ67">
    <cfRule type="expression" dxfId="1456" priority="1526" stopIfTrue="1">
      <formula>IF(FK$8="判定対象外",TRUE,FALSE)</formula>
    </cfRule>
  </conditionalFormatting>
  <conditionalFormatting sqref="FM67">
    <cfRule type="expression" dxfId="1455" priority="1524" stopIfTrue="1">
      <formula>IF(FM67="-",TRUE,FALSE)</formula>
    </cfRule>
    <cfRule type="expression" dxfId="1454" priority="1525" stopIfTrue="1">
      <formula>IF(OR(FM67="OK"),FALSE,TRUE)</formula>
    </cfRule>
  </conditionalFormatting>
  <conditionalFormatting sqref="FL67">
    <cfRule type="expression" dxfId="1453" priority="1523" stopIfTrue="1">
      <formula>IF(FK$8="判定対象外",TRUE,FALSE)</formula>
    </cfRule>
  </conditionalFormatting>
  <conditionalFormatting sqref="FK67">
    <cfRule type="expression" dxfId="1452" priority="1522" stopIfTrue="1">
      <formula>IF(FK$8="判定対象外",TRUE,FALSE)</formula>
    </cfRule>
  </conditionalFormatting>
  <conditionalFormatting sqref="FN67">
    <cfRule type="expression" dxfId="1451" priority="1521" stopIfTrue="1">
      <formula>IF(FO$8="判定対象外",TRUE,FALSE)</formula>
    </cfRule>
  </conditionalFormatting>
  <conditionalFormatting sqref="FZ70">
    <cfRule type="expression" dxfId="1450" priority="1091" stopIfTrue="1">
      <formula>IF(GA$8="判定対象外",TRUE,FALSE)</formula>
    </cfRule>
  </conditionalFormatting>
  <conditionalFormatting sqref="FN69">
    <cfRule type="expression" dxfId="1449" priority="1518" stopIfTrue="1">
      <formula>IF(FO$8="判定対象外",TRUE,FALSE)</formula>
    </cfRule>
  </conditionalFormatting>
  <conditionalFormatting sqref="FF69">
    <cfRule type="expression" dxfId="1448" priority="1520" stopIfTrue="1">
      <formula>IF(FG$8="判定対象外",TRUE,FALSE)</formula>
    </cfRule>
  </conditionalFormatting>
  <conditionalFormatting sqref="FF69">
    <cfRule type="expression" dxfId="1447" priority="1506" stopIfTrue="1">
      <formula>IF(FG$8="判定対象外",TRUE,FALSE)</formula>
    </cfRule>
  </conditionalFormatting>
  <conditionalFormatting sqref="FI69">
    <cfRule type="expression" dxfId="1446" priority="1504" stopIfTrue="1">
      <formula>IF(FI69="-",TRUE,FALSE)</formula>
    </cfRule>
    <cfRule type="expression" dxfId="1445" priority="1505" stopIfTrue="1">
      <formula>IF(OR(FI69="OK"),FALSE,TRUE)</formula>
    </cfRule>
  </conditionalFormatting>
  <conditionalFormatting sqref="FH69">
    <cfRule type="expression" dxfId="1444" priority="1503" stopIfTrue="1">
      <formula>IF(FG$8="判定対象外",TRUE,FALSE)</formula>
    </cfRule>
  </conditionalFormatting>
  <conditionalFormatting sqref="FG69">
    <cfRule type="expression" dxfId="1443" priority="1502" stopIfTrue="1">
      <formula>IF(FG$8="判定対象外",TRUE,FALSE)</formula>
    </cfRule>
  </conditionalFormatting>
  <conditionalFormatting sqref="FM69">
    <cfRule type="expression" dxfId="1442" priority="1500" stopIfTrue="1">
      <formula>IF(FM69="-",TRUE,FALSE)</formula>
    </cfRule>
    <cfRule type="expression" dxfId="1441" priority="1501" stopIfTrue="1">
      <formula>IF(OR(FM69="OK"),FALSE,TRUE)</formula>
    </cfRule>
  </conditionalFormatting>
  <conditionalFormatting sqref="FL69">
    <cfRule type="expression" dxfId="1440" priority="1499" stopIfTrue="1">
      <formula>IF(FK$8="判定対象外",TRUE,FALSE)</formula>
    </cfRule>
  </conditionalFormatting>
  <conditionalFormatting sqref="FK69">
    <cfRule type="expression" dxfId="1439" priority="1498" stopIfTrue="1">
      <formula>IF(FK$8="判定対象外",TRUE,FALSE)</formula>
    </cfRule>
  </conditionalFormatting>
  <conditionalFormatting sqref="FF68">
    <cfRule type="expression" dxfId="1438" priority="1495" stopIfTrue="1">
      <formula>IF(FG$8="判定対象外",TRUE,FALSE)</formula>
    </cfRule>
  </conditionalFormatting>
  <conditionalFormatting sqref="FI68">
    <cfRule type="expression" dxfId="1437" priority="1493" stopIfTrue="1">
      <formula>IF(FI68="-",TRUE,FALSE)</formula>
    </cfRule>
    <cfRule type="expression" dxfId="1436" priority="1494" stopIfTrue="1">
      <formula>IF(OR(FI68="OK"),FALSE,TRUE)</formula>
    </cfRule>
  </conditionalFormatting>
  <conditionalFormatting sqref="FH68">
    <cfRule type="expression" dxfId="1435" priority="1492" stopIfTrue="1">
      <formula>IF(FG$8="判定対象外",TRUE,FALSE)</formula>
    </cfRule>
  </conditionalFormatting>
  <conditionalFormatting sqref="FG68">
    <cfRule type="expression" dxfId="1434" priority="1491" stopIfTrue="1">
      <formula>IF(FG$8="判定対象外",TRUE,FALSE)</formula>
    </cfRule>
  </conditionalFormatting>
  <conditionalFormatting sqref="FJ68">
    <cfRule type="expression" dxfId="1433" priority="1490" stopIfTrue="1">
      <formula>IF(FK$8="判定対象外",TRUE,FALSE)</formula>
    </cfRule>
  </conditionalFormatting>
  <conditionalFormatting sqref="FM68">
    <cfRule type="expression" dxfId="1432" priority="1488" stopIfTrue="1">
      <formula>IF(FM68="-",TRUE,FALSE)</formula>
    </cfRule>
    <cfRule type="expression" dxfId="1431" priority="1489" stopIfTrue="1">
      <formula>IF(OR(FM68="OK"),FALSE,TRUE)</formula>
    </cfRule>
  </conditionalFormatting>
  <conditionalFormatting sqref="FL68">
    <cfRule type="expression" dxfId="1430" priority="1487" stopIfTrue="1">
      <formula>IF(FK$8="判定対象外",TRUE,FALSE)</formula>
    </cfRule>
  </conditionalFormatting>
  <conditionalFormatting sqref="FK68">
    <cfRule type="expression" dxfId="1429" priority="1486" stopIfTrue="1">
      <formula>IF(FK$8="判定対象外",TRUE,FALSE)</formula>
    </cfRule>
  </conditionalFormatting>
  <conditionalFormatting sqref="FN68">
    <cfRule type="expression" dxfId="1428" priority="1485" stopIfTrue="1">
      <formula>IF(FO$8="判定対象外",TRUE,FALSE)</formula>
    </cfRule>
  </conditionalFormatting>
  <conditionalFormatting sqref="FY68">
    <cfRule type="expression" dxfId="1427" priority="1159" stopIfTrue="1">
      <formula>IF(FY68="-",TRUE,FALSE)</formula>
    </cfRule>
    <cfRule type="expression" dxfId="1426" priority="1160" stopIfTrue="1">
      <formula>IF(OR(FY68="OK"),FALSE,TRUE)</formula>
    </cfRule>
  </conditionalFormatting>
  <conditionalFormatting sqref="FX68">
    <cfRule type="expression" dxfId="1425" priority="1158" stopIfTrue="1">
      <formula>IF(FW$8="判定対象外",TRUE,FALSE)</formula>
    </cfRule>
  </conditionalFormatting>
  <conditionalFormatting sqref="FW68">
    <cfRule type="expression" dxfId="1424" priority="1157" stopIfTrue="1">
      <formula>IF(FW$8="判定対象外",TRUE,FALSE)</formula>
    </cfRule>
  </conditionalFormatting>
  <conditionalFormatting sqref="FV68">
    <cfRule type="expression" dxfId="1423" priority="1156" stopIfTrue="1">
      <formula>IF(FW$8="判定対象外",TRUE,FALSE)</formula>
    </cfRule>
  </conditionalFormatting>
  <conditionalFormatting sqref="FR67">
    <cfRule type="expression" dxfId="1422" priority="1212" stopIfTrue="1">
      <formula>IF(FS$8="判定対象外",TRUE,FALSE)</formula>
    </cfRule>
  </conditionalFormatting>
  <conditionalFormatting sqref="FZ68">
    <cfRule type="expression" dxfId="1421" priority="1155" stopIfTrue="1">
      <formula>IF(GA$8="判定対象外",TRUE,FALSE)</formula>
    </cfRule>
  </conditionalFormatting>
  <conditionalFormatting sqref="FR68">
    <cfRule type="expression" dxfId="1420" priority="1165" stopIfTrue="1">
      <formula>IF(FS$8="判定対象外",TRUE,FALSE)</formula>
    </cfRule>
  </conditionalFormatting>
  <conditionalFormatting sqref="FU68">
    <cfRule type="expression" dxfId="1419" priority="1163" stopIfTrue="1">
      <formula>IF(FU68="-",TRUE,FALSE)</formula>
    </cfRule>
    <cfRule type="expression" dxfId="1418" priority="1164" stopIfTrue="1">
      <formula>IF(OR(FU68="OK"),FALSE,TRUE)</formula>
    </cfRule>
  </conditionalFormatting>
  <conditionalFormatting sqref="FT68">
    <cfRule type="expression" dxfId="1417" priority="1162" stopIfTrue="1">
      <formula>IF(FS$8="判定対象外",TRUE,FALSE)</formula>
    </cfRule>
  </conditionalFormatting>
  <conditionalFormatting sqref="FS68">
    <cfRule type="expression" dxfId="1416" priority="1161" stopIfTrue="1">
      <formula>IF(FS$8="判定対象外",TRUE,FALSE)</formula>
    </cfRule>
  </conditionalFormatting>
  <conditionalFormatting sqref="FZ69">
    <cfRule type="expression" dxfId="1415" priority="1144" stopIfTrue="1">
      <formula>IF(GA$8="判定対象外",TRUE,FALSE)</formula>
    </cfRule>
  </conditionalFormatting>
  <conditionalFormatting sqref="FZ66">
    <cfRule type="expression" dxfId="1414" priority="1191" stopIfTrue="1">
      <formula>IF(GA$8="判定対象外",TRUE,FALSE)</formula>
    </cfRule>
  </conditionalFormatting>
  <conditionalFormatting sqref="FR66">
    <cfRule type="expression" dxfId="1413" priority="1201" stopIfTrue="1">
      <formula>IF(FS$8="判定対象外",TRUE,FALSE)</formula>
    </cfRule>
  </conditionalFormatting>
  <conditionalFormatting sqref="FU66">
    <cfRule type="expression" dxfId="1412" priority="1199" stopIfTrue="1">
      <formula>IF(FU66="-",TRUE,FALSE)</formula>
    </cfRule>
    <cfRule type="expression" dxfId="1411" priority="1200" stopIfTrue="1">
      <formula>IF(OR(FU66="OK"),FALSE,TRUE)</formula>
    </cfRule>
  </conditionalFormatting>
  <conditionalFormatting sqref="FT66">
    <cfRule type="expression" dxfId="1410" priority="1198" stopIfTrue="1">
      <formula>IF(FS$8="判定対象外",TRUE,FALSE)</formula>
    </cfRule>
  </conditionalFormatting>
  <conditionalFormatting sqref="FS66">
    <cfRule type="expression" dxfId="1409" priority="1197" stopIfTrue="1">
      <formula>IF(FS$8="判定対象外",TRUE,FALSE)</formula>
    </cfRule>
  </conditionalFormatting>
  <conditionalFormatting sqref="FZ68">
    <cfRule type="expression" dxfId="1408" priority="1180" stopIfTrue="1">
      <formula>IF(GA$8="判定対象外",TRUE,FALSE)</formula>
    </cfRule>
  </conditionalFormatting>
  <conditionalFormatting sqref="FZ65">
    <cfRule type="expression" dxfId="1407" priority="1213" stopIfTrue="1">
      <formula>IF(GA$8="判定対象外",TRUE,FALSE)</formula>
    </cfRule>
  </conditionalFormatting>
  <conditionalFormatting sqref="FR65">
    <cfRule type="expression" dxfId="1406" priority="1223" stopIfTrue="1">
      <formula>IF(FS$8="判定対象外",TRUE,FALSE)</formula>
    </cfRule>
  </conditionalFormatting>
  <conditionalFormatting sqref="FU65">
    <cfRule type="expression" dxfId="1405" priority="1221" stopIfTrue="1">
      <formula>IF(FU65="-",TRUE,FALSE)</formula>
    </cfRule>
    <cfRule type="expression" dxfId="1404" priority="1222" stopIfTrue="1">
      <formula>IF(OR(FU65="OK"),FALSE,TRUE)</formula>
    </cfRule>
  </conditionalFormatting>
  <conditionalFormatting sqref="FT65">
    <cfRule type="expression" dxfId="1403" priority="1220" stopIfTrue="1">
      <formula>IF(FS$8="判定対象外",TRUE,FALSE)</formula>
    </cfRule>
  </conditionalFormatting>
  <conditionalFormatting sqref="FS65">
    <cfRule type="expression" dxfId="1402" priority="1219" stopIfTrue="1">
      <formula>IF(FS$8="判定対象外",TRUE,FALSE)</formula>
    </cfRule>
  </conditionalFormatting>
  <conditionalFormatting sqref="FZ67">
    <cfRule type="expression" dxfId="1401" priority="1202" stopIfTrue="1">
      <formula>IF(GA$8="判定対象外",TRUE,FALSE)</formula>
    </cfRule>
  </conditionalFormatting>
  <conditionalFormatting sqref="FZ64">
    <cfRule type="expression" dxfId="1400" priority="1224" stopIfTrue="1">
      <formula>IF(GA$8="判定対象外",TRUE,FALSE)</formula>
    </cfRule>
  </conditionalFormatting>
  <conditionalFormatting sqref="FR64">
    <cfRule type="expression" dxfId="1399" priority="1234" stopIfTrue="1">
      <formula>IF(FS$8="判定対象外",TRUE,FALSE)</formula>
    </cfRule>
  </conditionalFormatting>
  <conditionalFormatting sqref="FU64">
    <cfRule type="expression" dxfId="1398" priority="1232" stopIfTrue="1">
      <formula>IF(FU64="-",TRUE,FALSE)</formula>
    </cfRule>
    <cfRule type="expression" dxfId="1397" priority="1233" stopIfTrue="1">
      <formula>IF(OR(FU64="OK"),FALSE,TRUE)</formula>
    </cfRule>
  </conditionalFormatting>
  <conditionalFormatting sqref="FT64">
    <cfRule type="expression" dxfId="1396" priority="1231" stopIfTrue="1">
      <formula>IF(FS$8="判定対象外",TRUE,FALSE)</formula>
    </cfRule>
  </conditionalFormatting>
  <conditionalFormatting sqref="FS64">
    <cfRule type="expression" dxfId="1395" priority="1230" stopIfTrue="1">
      <formula>IF(FS$8="判定対象外",TRUE,FALSE)</formula>
    </cfRule>
  </conditionalFormatting>
  <conditionalFormatting sqref="FZ63">
    <cfRule type="expression" dxfId="1394" priority="1235" stopIfTrue="1">
      <formula>IF(GA$8="判定対象外",TRUE,FALSE)</formula>
    </cfRule>
  </conditionalFormatting>
  <conditionalFormatting sqref="FR63">
    <cfRule type="expression" dxfId="1393" priority="1245" stopIfTrue="1">
      <formula>IF(FS$8="判定対象外",TRUE,FALSE)</formula>
    </cfRule>
  </conditionalFormatting>
  <conditionalFormatting sqref="FU63">
    <cfRule type="expression" dxfId="1392" priority="1243" stopIfTrue="1">
      <formula>IF(FU63="-",TRUE,FALSE)</formula>
    </cfRule>
    <cfRule type="expression" dxfId="1391" priority="1244" stopIfTrue="1">
      <formula>IF(OR(FU63="OK"),FALSE,TRUE)</formula>
    </cfRule>
  </conditionalFormatting>
  <conditionalFormatting sqref="FT63">
    <cfRule type="expression" dxfId="1390" priority="1242" stopIfTrue="1">
      <formula>IF(FS$8="判定対象外",TRUE,FALSE)</formula>
    </cfRule>
  </conditionalFormatting>
  <conditionalFormatting sqref="FS63">
    <cfRule type="expression" dxfId="1389" priority="1241" stopIfTrue="1">
      <formula>IF(FS$8="判定対象外",TRUE,FALSE)</formula>
    </cfRule>
  </conditionalFormatting>
  <conditionalFormatting sqref="FZ62">
    <cfRule type="expression" dxfId="1388" priority="1246" stopIfTrue="1">
      <formula>IF(GA$8="判定対象外",TRUE,FALSE)</formula>
    </cfRule>
  </conditionalFormatting>
  <conditionalFormatting sqref="FR62">
    <cfRule type="expression" dxfId="1387" priority="1256" stopIfTrue="1">
      <formula>IF(FS$8="判定対象外",TRUE,FALSE)</formula>
    </cfRule>
  </conditionalFormatting>
  <conditionalFormatting sqref="FU62">
    <cfRule type="expression" dxfId="1386" priority="1254" stopIfTrue="1">
      <formula>IF(FU62="-",TRUE,FALSE)</formula>
    </cfRule>
    <cfRule type="expression" dxfId="1385" priority="1255" stopIfTrue="1">
      <formula>IF(OR(FU62="OK"),FALSE,TRUE)</formula>
    </cfRule>
  </conditionalFormatting>
  <conditionalFormatting sqref="FT62">
    <cfRule type="expression" dxfId="1384" priority="1253" stopIfTrue="1">
      <formula>IF(FS$8="判定対象外",TRUE,FALSE)</formula>
    </cfRule>
  </conditionalFormatting>
  <conditionalFormatting sqref="FS62">
    <cfRule type="expression" dxfId="1383" priority="1252" stopIfTrue="1">
      <formula>IF(FS$8="判定対象外",TRUE,FALSE)</formula>
    </cfRule>
  </conditionalFormatting>
  <conditionalFormatting sqref="FZ61">
    <cfRule type="expression" dxfId="1382" priority="1257" stopIfTrue="1">
      <formula>IF(GA$8="判定対象外",TRUE,FALSE)</formula>
    </cfRule>
  </conditionalFormatting>
  <conditionalFormatting sqref="FR61">
    <cfRule type="expression" dxfId="1381" priority="1267" stopIfTrue="1">
      <formula>IF(FS$8="判定対象外",TRUE,FALSE)</formula>
    </cfRule>
  </conditionalFormatting>
  <conditionalFormatting sqref="FU61">
    <cfRule type="expression" dxfId="1380" priority="1265" stopIfTrue="1">
      <formula>IF(FU61="-",TRUE,FALSE)</formula>
    </cfRule>
    <cfRule type="expression" dxfId="1379" priority="1266" stopIfTrue="1">
      <formula>IF(OR(FU61="OK"),FALSE,TRUE)</formula>
    </cfRule>
  </conditionalFormatting>
  <conditionalFormatting sqref="FT61">
    <cfRule type="expression" dxfId="1378" priority="1264" stopIfTrue="1">
      <formula>IF(FS$8="判定対象外",TRUE,FALSE)</formula>
    </cfRule>
  </conditionalFormatting>
  <conditionalFormatting sqref="FS61">
    <cfRule type="expression" dxfId="1377" priority="1263" stopIfTrue="1">
      <formula>IF(FS$8="判定対象外",TRUE,FALSE)</formula>
    </cfRule>
  </conditionalFormatting>
  <conditionalFormatting sqref="FZ60">
    <cfRule type="expression" dxfId="1376" priority="1268" stopIfTrue="1">
      <formula>IF(GA$8="判定対象外",TRUE,FALSE)</formula>
    </cfRule>
  </conditionalFormatting>
  <conditionalFormatting sqref="FZ53 FZ56 FZ68 FZ71">
    <cfRule type="expression" dxfId="1375" priority="1314" stopIfTrue="1">
      <formula>IF(GA$8="判定対象外",TRUE,FALSE)</formula>
    </cfRule>
  </conditionalFormatting>
  <conditionalFormatting sqref="FR60">
    <cfRule type="expression" dxfId="1374" priority="1278" stopIfTrue="1">
      <formula>IF(FS$8="判定対象外",TRUE,FALSE)</formula>
    </cfRule>
  </conditionalFormatting>
  <conditionalFormatting sqref="FU60">
    <cfRule type="expression" dxfId="1373" priority="1276" stopIfTrue="1">
      <formula>IF(FU60="-",TRUE,FALSE)</formula>
    </cfRule>
    <cfRule type="expression" dxfId="1372" priority="1277" stopIfTrue="1">
      <formula>IF(OR(FU60="OK"),FALSE,TRUE)</formula>
    </cfRule>
  </conditionalFormatting>
  <conditionalFormatting sqref="FT60">
    <cfRule type="expression" dxfId="1371" priority="1275" stopIfTrue="1">
      <formula>IF(FS$8="判定対象外",TRUE,FALSE)</formula>
    </cfRule>
  </conditionalFormatting>
  <conditionalFormatting sqref="FS60">
    <cfRule type="expression" dxfId="1370" priority="1274" stopIfTrue="1">
      <formula>IF(FS$8="判定対象外",TRUE,FALSE)</formula>
    </cfRule>
  </conditionalFormatting>
  <conditionalFormatting sqref="FZ19">
    <cfRule type="expression" dxfId="1369" priority="1325" stopIfTrue="1">
      <formula>IF(GA$8="判定対象外",TRUE,FALSE)</formula>
    </cfRule>
  </conditionalFormatting>
  <conditionalFormatting sqref="FZ59">
    <cfRule type="expression" dxfId="1368" priority="1279" stopIfTrue="1">
      <formula>IF(GA$8="判定対象外",TRUE,FALSE)</formula>
    </cfRule>
  </conditionalFormatting>
  <conditionalFormatting sqref="FR59">
    <cfRule type="expression" dxfId="1367" priority="1289" stopIfTrue="1">
      <formula>IF(FS$8="判定対象外",TRUE,FALSE)</formula>
    </cfRule>
  </conditionalFormatting>
  <conditionalFormatting sqref="FU59">
    <cfRule type="expression" dxfId="1366" priority="1287" stopIfTrue="1">
      <formula>IF(FU59="-",TRUE,FALSE)</formula>
    </cfRule>
    <cfRule type="expression" dxfId="1365" priority="1288" stopIfTrue="1">
      <formula>IF(OR(FU59="OK"),FALSE,TRUE)</formula>
    </cfRule>
  </conditionalFormatting>
  <conditionalFormatting sqref="FT59">
    <cfRule type="expression" dxfId="1364" priority="1286" stopIfTrue="1">
      <formula>IF(FS$8="判定対象外",TRUE,FALSE)</formula>
    </cfRule>
  </conditionalFormatting>
  <conditionalFormatting sqref="FS59">
    <cfRule type="expression" dxfId="1363" priority="1285" stopIfTrue="1">
      <formula>IF(FS$8="判定対象外",TRUE,FALSE)</formula>
    </cfRule>
  </conditionalFormatting>
  <conditionalFormatting sqref="FZ16:FZ18">
    <cfRule type="expression" dxfId="1362" priority="1335" stopIfTrue="1">
      <formula>IF(GA$8="判定対象外",TRUE,FALSE)</formula>
    </cfRule>
  </conditionalFormatting>
  <conditionalFormatting sqref="FU8:FU10">
    <cfRule type="expression" dxfId="1361" priority="1483" stopIfTrue="1">
      <formula>IF(FU8="-",TRUE,FALSE)</formula>
    </cfRule>
    <cfRule type="expression" dxfId="1360" priority="1484" stopIfTrue="1">
      <formula>IF(OR(FU8="OK"),FALSE,TRUE)</formula>
    </cfRule>
  </conditionalFormatting>
  <conditionalFormatting sqref="FR8:FR10">
    <cfRule type="expression" dxfId="1359" priority="1482" stopIfTrue="1">
      <formula>IF(FS$8="判定対象外",TRUE,FALSE)</formula>
    </cfRule>
  </conditionalFormatting>
  <conditionalFormatting sqref="FS8:FS10">
    <cfRule type="expression" dxfId="1358" priority="1481" stopIfTrue="1">
      <formula>IF(FS$8="判定対象外",TRUE,FALSE)</formula>
    </cfRule>
  </conditionalFormatting>
  <conditionalFormatting sqref="FT8:FT10">
    <cfRule type="expression" dxfId="1357" priority="1480" stopIfTrue="1">
      <formula>IF(FS$8="判定対象外",TRUE,FALSE)</formula>
    </cfRule>
  </conditionalFormatting>
  <conditionalFormatting sqref="FU11:FU34 FU71:FU81 FU36:FU56">
    <cfRule type="expression" dxfId="1356" priority="1477" stopIfTrue="1">
      <formula>IF(FU11="-",TRUE,FALSE)</formula>
    </cfRule>
    <cfRule type="expression" dxfId="1355" priority="1478" stopIfTrue="1">
      <formula>IF(OR(FU11="OK"),FALSE,TRUE)</formula>
    </cfRule>
  </conditionalFormatting>
  <conditionalFormatting sqref="FT11:FT34 FT71:FT81 FT36:FT56">
    <cfRule type="expression" dxfId="1354" priority="1476" stopIfTrue="1">
      <formula>IF(FS$8="判定対象外",TRUE,FALSE)</formula>
    </cfRule>
  </conditionalFormatting>
  <conditionalFormatting sqref="FR72:FR81 FR21:FR34 FR36:FR46">
    <cfRule type="expression" dxfId="1353" priority="1475" stopIfTrue="1">
      <formula>IF(FS$8="判定対象外",TRUE,FALSE)</formula>
    </cfRule>
  </conditionalFormatting>
  <conditionalFormatting sqref="FR29:FR32">
    <cfRule type="expression" dxfId="1352" priority="1474" stopIfTrue="1">
      <formula>IF(FS$8="判定対象外",TRUE,FALSE)</formula>
    </cfRule>
  </conditionalFormatting>
  <conditionalFormatting sqref="FR42:FR44">
    <cfRule type="expression" dxfId="1351" priority="1473" stopIfTrue="1">
      <formula>IF(FS$8="判定対象外",TRUE,FALSE)</formula>
    </cfRule>
  </conditionalFormatting>
  <conditionalFormatting sqref="FR46">
    <cfRule type="expression" dxfId="1350" priority="1472" stopIfTrue="1">
      <formula>IF(FS$8="判定対象外",TRUE,FALSE)</formula>
    </cfRule>
  </conditionalFormatting>
  <conditionalFormatting sqref="FR42:FR44">
    <cfRule type="expression" dxfId="1349" priority="1471" stopIfTrue="1">
      <formula>IF(FS$8="判定対象外",TRUE,FALSE)</formula>
    </cfRule>
  </conditionalFormatting>
  <conditionalFormatting sqref="FR42:FR44">
    <cfRule type="expression" dxfId="1348" priority="1470" stopIfTrue="1">
      <formula>IF(FS$8="判定対象外",TRUE,FALSE)</formula>
    </cfRule>
  </conditionalFormatting>
  <conditionalFormatting sqref="FR42:FR44">
    <cfRule type="expression" dxfId="1347" priority="1469" stopIfTrue="1">
      <formula>IF(FS$8="判定対象外",TRUE,FALSE)</formula>
    </cfRule>
  </conditionalFormatting>
  <conditionalFormatting sqref="FR42:FR44">
    <cfRule type="expression" dxfId="1346" priority="1468" stopIfTrue="1">
      <formula>IF(FS$8="判定対象外",TRUE,FALSE)</formula>
    </cfRule>
  </conditionalFormatting>
  <conditionalFormatting sqref="FR42:FR44">
    <cfRule type="expression" dxfId="1345" priority="1467" stopIfTrue="1">
      <formula>IF(FS$8="判定対象外",TRUE,FALSE)</formula>
    </cfRule>
  </conditionalFormatting>
  <conditionalFormatting sqref="FR42:FR44">
    <cfRule type="expression" dxfId="1344" priority="1466" stopIfTrue="1">
      <formula>IF(FS$8="判定対象外",TRUE,FALSE)</formula>
    </cfRule>
  </conditionalFormatting>
  <conditionalFormatting sqref="FR42:FR44">
    <cfRule type="expression" dxfId="1343" priority="1465" stopIfTrue="1">
      <formula>IF(FS$8="判定対象外",TRUE,FALSE)</formula>
    </cfRule>
  </conditionalFormatting>
  <conditionalFormatting sqref="FR38">
    <cfRule type="expression" dxfId="1342" priority="1479" stopIfTrue="1">
      <formula>IF(#REF!="判定対象外",TRUE,FALSE)</formula>
    </cfRule>
  </conditionalFormatting>
  <conditionalFormatting sqref="FS11:FS34 FS71:FS81 FS36:FS56">
    <cfRule type="expression" dxfId="1341" priority="1464" stopIfTrue="1">
      <formula>IF(FS$8="判定対象外",TRUE,FALSE)</formula>
    </cfRule>
  </conditionalFormatting>
  <conditionalFormatting sqref="FR48">
    <cfRule type="expression" dxfId="1340" priority="1463" stopIfTrue="1">
      <formula>IF(FS$8="判定対象外",TRUE,FALSE)</formula>
    </cfRule>
  </conditionalFormatting>
  <conditionalFormatting sqref="FR51">
    <cfRule type="expression" dxfId="1339" priority="1462" stopIfTrue="1">
      <formula>IF(FS$8="判定対象外",TRUE,FALSE)</formula>
    </cfRule>
  </conditionalFormatting>
  <conditionalFormatting sqref="FR52 FR55 FR70">
    <cfRule type="expression" dxfId="1338" priority="1461" stopIfTrue="1">
      <formula>IF(FS$8="判定対象外",TRUE,FALSE)</formula>
    </cfRule>
  </conditionalFormatting>
  <conditionalFormatting sqref="FR11:FR20">
    <cfRule type="expression" dxfId="1337" priority="1460" stopIfTrue="1">
      <formula>IF(FS$8="判定対象外",TRUE,FALSE)</formula>
    </cfRule>
  </conditionalFormatting>
  <conditionalFormatting sqref="FR16:FR18">
    <cfRule type="expression" dxfId="1336" priority="1459" stopIfTrue="1">
      <formula>IF(FS$8="判定対象外",TRUE,FALSE)</formula>
    </cfRule>
  </conditionalFormatting>
  <conditionalFormatting sqref="FR20">
    <cfRule type="expression" dxfId="1335" priority="1458" stopIfTrue="1">
      <formula>IF(FS$8="判定対象外",TRUE,FALSE)</formula>
    </cfRule>
  </conditionalFormatting>
  <conditionalFormatting sqref="FR16:FR20">
    <cfRule type="expression" dxfId="1334" priority="1457" stopIfTrue="1">
      <formula>IF(FS$8="判定対象外",TRUE,FALSE)</formula>
    </cfRule>
  </conditionalFormatting>
  <conditionalFormatting sqref="FR11:FR20">
    <cfRule type="expression" dxfId="1333" priority="1456" stopIfTrue="1">
      <formula>IF(FS$8="判定対象外",TRUE,FALSE)</formula>
    </cfRule>
  </conditionalFormatting>
  <conditionalFormatting sqref="FR16:FR18">
    <cfRule type="expression" dxfId="1332" priority="1455" stopIfTrue="1">
      <formula>IF(FS$8="判定対象外",TRUE,FALSE)</formula>
    </cfRule>
  </conditionalFormatting>
  <conditionalFormatting sqref="FR20">
    <cfRule type="expression" dxfId="1331" priority="1454" stopIfTrue="1">
      <formula>IF(FS$8="判定対象外",TRUE,FALSE)</formula>
    </cfRule>
  </conditionalFormatting>
  <conditionalFormatting sqref="FR16:FR20">
    <cfRule type="expression" dxfId="1330" priority="1453" stopIfTrue="1">
      <formula>IF(FS$8="判定対象外",TRUE,FALSE)</formula>
    </cfRule>
  </conditionalFormatting>
  <conditionalFormatting sqref="FR11:FR20">
    <cfRule type="expression" dxfId="1329" priority="1452" stopIfTrue="1">
      <formula>IF(FS$8="判定対象外",TRUE,FALSE)</formula>
    </cfRule>
  </conditionalFormatting>
  <conditionalFormatting sqref="FR16:FR18">
    <cfRule type="expression" dxfId="1328" priority="1451" stopIfTrue="1">
      <formula>IF(FS$8="判定対象外",TRUE,FALSE)</formula>
    </cfRule>
  </conditionalFormatting>
  <conditionalFormatting sqref="FR20">
    <cfRule type="expression" dxfId="1327" priority="1450" stopIfTrue="1">
      <formula>IF(FS$8="判定対象外",TRUE,FALSE)</formula>
    </cfRule>
  </conditionalFormatting>
  <conditionalFormatting sqref="FR16:FR20">
    <cfRule type="expression" dxfId="1326" priority="1449" stopIfTrue="1">
      <formula>IF(FS$8="判定対象外",TRUE,FALSE)</formula>
    </cfRule>
  </conditionalFormatting>
  <conditionalFormatting sqref="FR11:FR13">
    <cfRule type="expression" dxfId="1325" priority="1448" stopIfTrue="1">
      <formula>IF(FS$8="判定対象外",TRUE,FALSE)</formula>
    </cfRule>
  </conditionalFormatting>
  <conditionalFormatting sqref="FR15">
    <cfRule type="expression" dxfId="1324" priority="1447" stopIfTrue="1">
      <formula>IF(FS$8="判定対象外",TRUE,FALSE)</formula>
    </cfRule>
  </conditionalFormatting>
  <conditionalFormatting sqref="FR19">
    <cfRule type="expression" dxfId="1323" priority="1446" stopIfTrue="1">
      <formula>IF(FS$8="判定対象外",TRUE,FALSE)</formula>
    </cfRule>
  </conditionalFormatting>
  <conditionalFormatting sqref="FR19">
    <cfRule type="expression" dxfId="1322" priority="1445" stopIfTrue="1">
      <formula>IF(FS$8="判定対象外",TRUE,FALSE)</formula>
    </cfRule>
  </conditionalFormatting>
  <conditionalFormatting sqref="FR20">
    <cfRule type="expression" dxfId="1321" priority="1444" stopIfTrue="1">
      <formula>IF(FS$8="判定対象外",TRUE,FALSE)</formula>
    </cfRule>
  </conditionalFormatting>
  <conditionalFormatting sqref="FR20">
    <cfRule type="expression" dxfId="1320" priority="1443" stopIfTrue="1">
      <formula>IF(FS$8="判定対象外",TRUE,FALSE)</formula>
    </cfRule>
  </conditionalFormatting>
  <conditionalFormatting sqref="FR20">
    <cfRule type="expression" dxfId="1319" priority="1442" stopIfTrue="1">
      <formula>IF(FS$8="判定対象外",TRUE,FALSE)</formula>
    </cfRule>
  </conditionalFormatting>
  <conditionalFormatting sqref="FR13">
    <cfRule type="expression" dxfId="1318" priority="1441" stopIfTrue="1">
      <formula>IF(FS$8="判定対象外",TRUE,FALSE)</formula>
    </cfRule>
  </conditionalFormatting>
  <conditionalFormatting sqref="FR47">
    <cfRule type="expression" dxfId="1317" priority="1440" stopIfTrue="1">
      <formula>IF(FS$8="判定対象外",TRUE,FALSE)</formula>
    </cfRule>
  </conditionalFormatting>
  <conditionalFormatting sqref="FR47">
    <cfRule type="expression" dxfId="1316" priority="1439" stopIfTrue="1">
      <formula>IF(FS$8="判定対象外",TRUE,FALSE)</formula>
    </cfRule>
  </conditionalFormatting>
  <conditionalFormatting sqref="FR49">
    <cfRule type="expression" dxfId="1315" priority="1438" stopIfTrue="1">
      <formula>IF(FS$8="判定対象外",TRUE,FALSE)</formula>
    </cfRule>
  </conditionalFormatting>
  <conditionalFormatting sqref="FR49">
    <cfRule type="expression" dxfId="1314" priority="1437" stopIfTrue="1">
      <formula>IF(FS$8="判定対象外",TRUE,FALSE)</formula>
    </cfRule>
  </conditionalFormatting>
  <conditionalFormatting sqref="FR50">
    <cfRule type="expression" dxfId="1313" priority="1436" stopIfTrue="1">
      <formula>IF(FS$8="判定対象外",TRUE,FALSE)</formula>
    </cfRule>
  </conditionalFormatting>
  <conditionalFormatting sqref="FR50">
    <cfRule type="expression" dxfId="1312" priority="1435" stopIfTrue="1">
      <formula>IF(FS$8="判定対象外",TRUE,FALSE)</formula>
    </cfRule>
  </conditionalFormatting>
  <conditionalFormatting sqref="FR53 FR56 FR68 FR71">
    <cfRule type="expression" dxfId="1311" priority="1434" stopIfTrue="1">
      <formula>IF(FS$8="判定対象外",TRUE,FALSE)</formula>
    </cfRule>
  </conditionalFormatting>
  <conditionalFormatting sqref="FR54 FR57 FR69">
    <cfRule type="expression" dxfId="1310" priority="1433" stopIfTrue="1">
      <formula>IF(FS$8="判定対象外",TRUE,FALSE)</formula>
    </cfRule>
  </conditionalFormatting>
  <conditionalFormatting sqref="FU57">
    <cfRule type="expression" dxfId="1309" priority="1431" stopIfTrue="1">
      <formula>IF(FU57="-",TRUE,FALSE)</formula>
    </cfRule>
    <cfRule type="expression" dxfId="1308" priority="1432" stopIfTrue="1">
      <formula>IF(OR(FU57="OK"),FALSE,TRUE)</formula>
    </cfRule>
  </conditionalFormatting>
  <conditionalFormatting sqref="FT57">
    <cfRule type="expression" dxfId="1307" priority="1430" stopIfTrue="1">
      <formula>IF(FS$8="判定対象外",TRUE,FALSE)</formula>
    </cfRule>
  </conditionalFormatting>
  <conditionalFormatting sqref="FS57">
    <cfRule type="expression" dxfId="1306" priority="1429" stopIfTrue="1">
      <formula>IF(FS$8="判定対象外",TRUE,FALSE)</formula>
    </cfRule>
  </conditionalFormatting>
  <conditionalFormatting sqref="FU68:FU70">
    <cfRule type="expression" dxfId="1305" priority="1427" stopIfTrue="1">
      <formula>IF(FU68="-",TRUE,FALSE)</formula>
    </cfRule>
    <cfRule type="expression" dxfId="1304" priority="1428" stopIfTrue="1">
      <formula>IF(OR(FU68="OK"),FALSE,TRUE)</formula>
    </cfRule>
  </conditionalFormatting>
  <conditionalFormatting sqref="FT68:FT70">
    <cfRule type="expression" dxfId="1303" priority="1426" stopIfTrue="1">
      <formula>IF(FS$8="判定対象外",TRUE,FALSE)</formula>
    </cfRule>
  </conditionalFormatting>
  <conditionalFormatting sqref="FS68:FS70">
    <cfRule type="expression" dxfId="1302" priority="1425" stopIfTrue="1">
      <formula>IF(FS$8="判定対象外",TRUE,FALSE)</formula>
    </cfRule>
  </conditionalFormatting>
  <conditionalFormatting sqref="FY8:FY10">
    <cfRule type="expression" dxfId="1301" priority="1423" stopIfTrue="1">
      <formula>IF(FY8="-",TRUE,FALSE)</formula>
    </cfRule>
    <cfRule type="expression" dxfId="1300" priority="1424" stopIfTrue="1">
      <formula>IF(OR(FY8="OK"),FALSE,TRUE)</formula>
    </cfRule>
  </conditionalFormatting>
  <conditionalFormatting sqref="FV8:FV10">
    <cfRule type="expression" dxfId="1299" priority="1422" stopIfTrue="1">
      <formula>IF(FW$8="判定対象外",TRUE,FALSE)</formula>
    </cfRule>
  </conditionalFormatting>
  <conditionalFormatting sqref="FW8:FW10">
    <cfRule type="expression" dxfId="1298" priority="1421" stopIfTrue="1">
      <formula>IF(FW$8="判定対象外",TRUE,FALSE)</formula>
    </cfRule>
  </conditionalFormatting>
  <conditionalFormatting sqref="FX8:FX10">
    <cfRule type="expression" dxfId="1297" priority="1420" stopIfTrue="1">
      <formula>IF(FW$8="判定対象外",TRUE,FALSE)</formula>
    </cfRule>
  </conditionalFormatting>
  <conditionalFormatting sqref="FY11:FY56 FY71:FY81">
    <cfRule type="expression" dxfId="1296" priority="1417" stopIfTrue="1">
      <formula>IF(FY11="-",TRUE,FALSE)</formula>
    </cfRule>
    <cfRule type="expression" dxfId="1295" priority="1418" stopIfTrue="1">
      <formula>IF(OR(FY11="OK"),FALSE,TRUE)</formula>
    </cfRule>
  </conditionalFormatting>
  <conditionalFormatting sqref="FX11:FX56 FX71:FX81">
    <cfRule type="expression" dxfId="1294" priority="1416" stopIfTrue="1">
      <formula>IF(FW$8="判定対象外",TRUE,FALSE)</formula>
    </cfRule>
  </conditionalFormatting>
  <conditionalFormatting sqref="FV72:FV81 FV21:FV34 FV36:FV46">
    <cfRule type="expression" dxfId="1293" priority="1415" stopIfTrue="1">
      <formula>IF(FW$8="判定対象外",TRUE,FALSE)</formula>
    </cfRule>
  </conditionalFormatting>
  <conditionalFormatting sqref="FV29:FV32">
    <cfRule type="expression" dxfId="1292" priority="1414" stopIfTrue="1">
      <formula>IF(FW$8="判定対象外",TRUE,FALSE)</formula>
    </cfRule>
  </conditionalFormatting>
  <conditionalFormatting sqref="FV42:FV44">
    <cfRule type="expression" dxfId="1291" priority="1413" stopIfTrue="1">
      <formula>IF(FW$8="判定対象外",TRUE,FALSE)</formula>
    </cfRule>
  </conditionalFormatting>
  <conditionalFormatting sqref="FV46">
    <cfRule type="expression" dxfId="1290" priority="1412" stopIfTrue="1">
      <formula>IF(FW$8="判定対象外",TRUE,FALSE)</formula>
    </cfRule>
  </conditionalFormatting>
  <conditionalFormatting sqref="FV42:FV44">
    <cfRule type="expression" dxfId="1289" priority="1411" stopIfTrue="1">
      <formula>IF(FW$8="判定対象外",TRUE,FALSE)</formula>
    </cfRule>
  </conditionalFormatting>
  <conditionalFormatting sqref="FV42:FV44">
    <cfRule type="expression" dxfId="1288" priority="1410" stopIfTrue="1">
      <formula>IF(FW$8="判定対象外",TRUE,FALSE)</formula>
    </cfRule>
  </conditionalFormatting>
  <conditionalFormatting sqref="FV42:FV44">
    <cfRule type="expression" dxfId="1287" priority="1409" stopIfTrue="1">
      <formula>IF(FW$8="判定対象外",TRUE,FALSE)</formula>
    </cfRule>
  </conditionalFormatting>
  <conditionalFormatting sqref="FV42:FV44">
    <cfRule type="expression" dxfId="1286" priority="1408" stopIfTrue="1">
      <formula>IF(FW$8="判定対象外",TRUE,FALSE)</formula>
    </cfRule>
  </conditionalFormatting>
  <conditionalFormatting sqref="FV42:FV44">
    <cfRule type="expression" dxfId="1285" priority="1407" stopIfTrue="1">
      <formula>IF(FW$8="判定対象外",TRUE,FALSE)</formula>
    </cfRule>
  </conditionalFormatting>
  <conditionalFormatting sqref="FV42:FV44">
    <cfRule type="expression" dxfId="1284" priority="1406" stopIfTrue="1">
      <formula>IF(FW$8="判定対象外",TRUE,FALSE)</formula>
    </cfRule>
  </conditionalFormatting>
  <conditionalFormatting sqref="FV42:FV44">
    <cfRule type="expression" dxfId="1283" priority="1405" stopIfTrue="1">
      <formula>IF(FW$8="判定対象外",TRUE,FALSE)</formula>
    </cfRule>
  </conditionalFormatting>
  <conditionalFormatting sqref="FV38">
    <cfRule type="expression" dxfId="1282" priority="1419" stopIfTrue="1">
      <formula>IF(#REF!="判定対象外",TRUE,FALSE)</formula>
    </cfRule>
  </conditionalFormatting>
  <conditionalFormatting sqref="FW11:FW56 FW71:FW81">
    <cfRule type="expression" dxfId="1281" priority="1404" stopIfTrue="1">
      <formula>IF(FW$8="判定対象外",TRUE,FALSE)</formula>
    </cfRule>
  </conditionalFormatting>
  <conditionalFormatting sqref="FV48">
    <cfRule type="expression" dxfId="1280" priority="1403" stopIfTrue="1">
      <formula>IF(FW$8="判定対象外",TRUE,FALSE)</formula>
    </cfRule>
  </conditionalFormatting>
  <conditionalFormatting sqref="FV51">
    <cfRule type="expression" dxfId="1279" priority="1402" stopIfTrue="1">
      <formula>IF(FW$8="判定対象外",TRUE,FALSE)</formula>
    </cfRule>
  </conditionalFormatting>
  <conditionalFormatting sqref="FV52 FV55">
    <cfRule type="expression" dxfId="1278" priority="1401" stopIfTrue="1">
      <formula>IF(FW$8="判定対象外",TRUE,FALSE)</formula>
    </cfRule>
  </conditionalFormatting>
  <conditionalFormatting sqref="FV11:FV20">
    <cfRule type="expression" dxfId="1277" priority="1400" stopIfTrue="1">
      <formula>IF(FW$8="判定対象外",TRUE,FALSE)</formula>
    </cfRule>
  </conditionalFormatting>
  <conditionalFormatting sqref="FV16:FV18">
    <cfRule type="expression" dxfId="1276" priority="1399" stopIfTrue="1">
      <formula>IF(FW$8="判定対象外",TRUE,FALSE)</formula>
    </cfRule>
  </conditionalFormatting>
  <conditionalFormatting sqref="FV20">
    <cfRule type="expression" dxfId="1275" priority="1398" stopIfTrue="1">
      <formula>IF(FW$8="判定対象外",TRUE,FALSE)</formula>
    </cfRule>
  </conditionalFormatting>
  <conditionalFormatting sqref="FV16:FV20">
    <cfRule type="expression" dxfId="1274" priority="1397" stopIfTrue="1">
      <formula>IF(FW$8="判定対象外",TRUE,FALSE)</formula>
    </cfRule>
  </conditionalFormatting>
  <conditionalFormatting sqref="FV11:FV20">
    <cfRule type="expression" dxfId="1273" priority="1396" stopIfTrue="1">
      <formula>IF(FW$8="判定対象外",TRUE,FALSE)</formula>
    </cfRule>
  </conditionalFormatting>
  <conditionalFormatting sqref="FV16:FV18">
    <cfRule type="expression" dxfId="1272" priority="1395" stopIfTrue="1">
      <formula>IF(FW$8="判定対象外",TRUE,FALSE)</formula>
    </cfRule>
  </conditionalFormatting>
  <conditionalFormatting sqref="FV20">
    <cfRule type="expression" dxfId="1271" priority="1394" stopIfTrue="1">
      <formula>IF(FW$8="判定対象外",TRUE,FALSE)</formula>
    </cfRule>
  </conditionalFormatting>
  <conditionalFormatting sqref="FV16:FV20">
    <cfRule type="expression" dxfId="1270" priority="1393" stopIfTrue="1">
      <formula>IF(FW$8="判定対象外",TRUE,FALSE)</formula>
    </cfRule>
  </conditionalFormatting>
  <conditionalFormatting sqref="FV11:FV20">
    <cfRule type="expression" dxfId="1269" priority="1392" stopIfTrue="1">
      <formula>IF(FW$8="判定対象外",TRUE,FALSE)</formula>
    </cfRule>
  </conditionalFormatting>
  <conditionalFormatting sqref="FV16:FV18">
    <cfRule type="expression" dxfId="1268" priority="1391" stopIfTrue="1">
      <formula>IF(FW$8="判定対象外",TRUE,FALSE)</formula>
    </cfRule>
  </conditionalFormatting>
  <conditionalFormatting sqref="FV20">
    <cfRule type="expression" dxfId="1267" priority="1390" stopIfTrue="1">
      <formula>IF(FW$8="判定対象外",TRUE,FALSE)</formula>
    </cfRule>
  </conditionalFormatting>
  <conditionalFormatting sqref="FV16:FV20">
    <cfRule type="expression" dxfId="1266" priority="1389" stopIfTrue="1">
      <formula>IF(FW$8="判定対象外",TRUE,FALSE)</formula>
    </cfRule>
  </conditionalFormatting>
  <conditionalFormatting sqref="FV11:FV13">
    <cfRule type="expression" dxfId="1265" priority="1388" stopIfTrue="1">
      <formula>IF(FW$8="判定対象外",TRUE,FALSE)</formula>
    </cfRule>
  </conditionalFormatting>
  <conditionalFormatting sqref="FV15">
    <cfRule type="expression" dxfId="1264" priority="1387" stopIfTrue="1">
      <formula>IF(FW$8="判定対象外",TRUE,FALSE)</formula>
    </cfRule>
  </conditionalFormatting>
  <conditionalFormatting sqref="FV19">
    <cfRule type="expression" dxfId="1263" priority="1386" stopIfTrue="1">
      <formula>IF(FW$8="判定対象外",TRUE,FALSE)</formula>
    </cfRule>
  </conditionalFormatting>
  <conditionalFormatting sqref="FV19">
    <cfRule type="expression" dxfId="1262" priority="1385" stopIfTrue="1">
      <formula>IF(FW$8="判定対象外",TRUE,FALSE)</formula>
    </cfRule>
  </conditionalFormatting>
  <conditionalFormatting sqref="FV20">
    <cfRule type="expression" dxfId="1261" priority="1384" stopIfTrue="1">
      <formula>IF(FW$8="判定対象外",TRUE,FALSE)</formula>
    </cfRule>
  </conditionalFormatting>
  <conditionalFormatting sqref="FV20">
    <cfRule type="expression" dxfId="1260" priority="1383" stopIfTrue="1">
      <formula>IF(FW$8="判定対象外",TRUE,FALSE)</formula>
    </cfRule>
  </conditionalFormatting>
  <conditionalFormatting sqref="FV20">
    <cfRule type="expression" dxfId="1259" priority="1382" stopIfTrue="1">
      <formula>IF(FW$8="判定対象外",TRUE,FALSE)</formula>
    </cfRule>
  </conditionalFormatting>
  <conditionalFormatting sqref="FV13">
    <cfRule type="expression" dxfId="1258" priority="1381" stopIfTrue="1">
      <formula>IF(FW$8="判定対象外",TRUE,FALSE)</formula>
    </cfRule>
  </conditionalFormatting>
  <conditionalFormatting sqref="FV47">
    <cfRule type="expression" dxfId="1257" priority="1380" stopIfTrue="1">
      <formula>IF(FW$8="判定対象外",TRUE,FALSE)</formula>
    </cfRule>
  </conditionalFormatting>
  <conditionalFormatting sqref="FV47">
    <cfRule type="expression" dxfId="1256" priority="1379" stopIfTrue="1">
      <formula>IF(FW$8="判定対象外",TRUE,FALSE)</formula>
    </cfRule>
  </conditionalFormatting>
  <conditionalFormatting sqref="FV49">
    <cfRule type="expression" dxfId="1255" priority="1378" stopIfTrue="1">
      <formula>IF(FW$8="判定対象外",TRUE,FALSE)</formula>
    </cfRule>
  </conditionalFormatting>
  <conditionalFormatting sqref="FV49">
    <cfRule type="expression" dxfId="1254" priority="1377" stopIfTrue="1">
      <formula>IF(FW$8="判定対象外",TRUE,FALSE)</formula>
    </cfRule>
  </conditionalFormatting>
  <conditionalFormatting sqref="FV50">
    <cfRule type="expression" dxfId="1253" priority="1376" stopIfTrue="1">
      <formula>IF(FW$8="判定対象外",TRUE,FALSE)</formula>
    </cfRule>
  </conditionalFormatting>
  <conditionalFormatting sqref="FV50">
    <cfRule type="expression" dxfId="1252" priority="1375" stopIfTrue="1">
      <formula>IF(FW$8="判定対象外",TRUE,FALSE)</formula>
    </cfRule>
  </conditionalFormatting>
  <conditionalFormatting sqref="FV53 FV56 FV68 FV71">
    <cfRule type="expression" dxfId="1251" priority="1374" stopIfTrue="1">
      <formula>IF(FW$8="判定対象外",TRUE,FALSE)</formula>
    </cfRule>
  </conditionalFormatting>
  <conditionalFormatting sqref="FV54 FV57 FV69">
    <cfRule type="expression" dxfId="1250" priority="1373" stopIfTrue="1">
      <formula>IF(FW$8="判定対象外",TRUE,FALSE)</formula>
    </cfRule>
  </conditionalFormatting>
  <conditionalFormatting sqref="FY57">
    <cfRule type="expression" dxfId="1249" priority="1371" stopIfTrue="1">
      <formula>IF(FY57="-",TRUE,FALSE)</formula>
    </cfRule>
    <cfRule type="expression" dxfId="1248" priority="1372" stopIfTrue="1">
      <formula>IF(OR(FY57="OK"),FALSE,TRUE)</formula>
    </cfRule>
  </conditionalFormatting>
  <conditionalFormatting sqref="FX57">
    <cfRule type="expression" dxfId="1247" priority="1370" stopIfTrue="1">
      <formula>IF(FW$8="判定対象外",TRUE,FALSE)</formula>
    </cfRule>
  </conditionalFormatting>
  <conditionalFormatting sqref="FW57">
    <cfRule type="expression" dxfId="1246" priority="1369" stopIfTrue="1">
      <formula>IF(FW$8="判定対象外",TRUE,FALSE)</formula>
    </cfRule>
  </conditionalFormatting>
  <conditionalFormatting sqref="FY68:FY70">
    <cfRule type="expression" dxfId="1245" priority="1367" stopIfTrue="1">
      <formula>IF(FY68="-",TRUE,FALSE)</formula>
    </cfRule>
    <cfRule type="expression" dxfId="1244" priority="1368" stopIfTrue="1">
      <formula>IF(OR(FY68="OK"),FALSE,TRUE)</formula>
    </cfRule>
  </conditionalFormatting>
  <conditionalFormatting sqref="FX68:FX70">
    <cfRule type="expression" dxfId="1243" priority="1366" stopIfTrue="1">
      <formula>IF(FW$8="判定対象外",TRUE,FALSE)</formula>
    </cfRule>
  </conditionalFormatting>
  <conditionalFormatting sqref="FW68:FW70">
    <cfRule type="expression" dxfId="1242" priority="1365" stopIfTrue="1">
      <formula>IF(FW$8="判定対象外",TRUE,FALSE)</formula>
    </cfRule>
  </conditionalFormatting>
  <conditionalFormatting sqref="FZ29:FZ32">
    <cfRule type="expression" dxfId="1241" priority="1354" stopIfTrue="1">
      <formula>IF(GA$8="判定対象外",TRUE,FALSE)</formula>
    </cfRule>
  </conditionalFormatting>
  <conditionalFormatting sqref="GC8:GC10">
    <cfRule type="expression" dxfId="1240" priority="1363" stopIfTrue="1">
      <formula>IF(GC8="-",TRUE,FALSE)</formula>
    </cfRule>
    <cfRule type="expression" dxfId="1239" priority="1364" stopIfTrue="1">
      <formula>IF(OR(GC8="OK"),FALSE,TRUE)</formula>
    </cfRule>
  </conditionalFormatting>
  <conditionalFormatting sqref="FZ8:FZ10">
    <cfRule type="expression" dxfId="1238" priority="1362" stopIfTrue="1">
      <formula>IF(GA$8="判定対象外",TRUE,FALSE)</formula>
    </cfRule>
  </conditionalFormatting>
  <conditionalFormatting sqref="GA8:GA10">
    <cfRule type="expression" dxfId="1237" priority="1361" stopIfTrue="1">
      <formula>IF(GA$8="判定対象外",TRUE,FALSE)</formula>
    </cfRule>
  </conditionalFormatting>
  <conditionalFormatting sqref="GB8:GB10">
    <cfRule type="expression" dxfId="1236" priority="1360" stopIfTrue="1">
      <formula>IF(GA$8="判定対象外",TRUE,FALSE)</formula>
    </cfRule>
  </conditionalFormatting>
  <conditionalFormatting sqref="GC11:GC56 GC71:GC81">
    <cfRule type="expression" dxfId="1235" priority="1357" stopIfTrue="1">
      <formula>IF(GC11="-",TRUE,FALSE)</formula>
    </cfRule>
    <cfRule type="expression" dxfId="1234" priority="1358" stopIfTrue="1">
      <formula>IF(OR(GC11="OK"),FALSE,TRUE)</formula>
    </cfRule>
  </conditionalFormatting>
  <conditionalFormatting sqref="GB11:GB56 GB71:GB81">
    <cfRule type="expression" dxfId="1233" priority="1356" stopIfTrue="1">
      <formula>IF(GA$8="判定対象外",TRUE,FALSE)</formula>
    </cfRule>
  </conditionalFormatting>
  <conditionalFormatting sqref="FZ72:FZ81 FZ21:FZ46">
    <cfRule type="expression" dxfId="1232" priority="1355" stopIfTrue="1">
      <formula>IF(GA$8="判定対象外",TRUE,FALSE)</formula>
    </cfRule>
  </conditionalFormatting>
  <conditionalFormatting sqref="FZ42:FZ44">
    <cfRule type="expression" dxfId="1231" priority="1353" stopIfTrue="1">
      <formula>IF(GA$8="判定対象外",TRUE,FALSE)</formula>
    </cfRule>
  </conditionalFormatting>
  <conditionalFormatting sqref="FZ46">
    <cfRule type="expression" dxfId="1230" priority="1352" stopIfTrue="1">
      <formula>IF(GA$8="判定対象外",TRUE,FALSE)</formula>
    </cfRule>
  </conditionalFormatting>
  <conditionalFormatting sqref="FZ42:FZ44">
    <cfRule type="expression" dxfId="1229" priority="1351" stopIfTrue="1">
      <formula>IF(GA$8="判定対象外",TRUE,FALSE)</formula>
    </cfRule>
  </conditionalFormatting>
  <conditionalFormatting sqref="FZ42:FZ44">
    <cfRule type="expression" dxfId="1228" priority="1350" stopIfTrue="1">
      <formula>IF(GA$8="判定対象外",TRUE,FALSE)</formula>
    </cfRule>
  </conditionalFormatting>
  <conditionalFormatting sqref="FZ42:FZ44">
    <cfRule type="expression" dxfId="1227" priority="1349" stopIfTrue="1">
      <formula>IF(GA$8="判定対象外",TRUE,FALSE)</formula>
    </cfRule>
  </conditionalFormatting>
  <conditionalFormatting sqref="FZ42:FZ44">
    <cfRule type="expression" dxfId="1226" priority="1348" stopIfTrue="1">
      <formula>IF(GA$8="判定対象外",TRUE,FALSE)</formula>
    </cfRule>
  </conditionalFormatting>
  <conditionalFormatting sqref="FZ42:FZ44">
    <cfRule type="expression" dxfId="1225" priority="1347" stopIfTrue="1">
      <formula>IF(GA$8="判定対象外",TRUE,FALSE)</formula>
    </cfRule>
  </conditionalFormatting>
  <conditionalFormatting sqref="FZ42:FZ44">
    <cfRule type="expression" dxfId="1224" priority="1346" stopIfTrue="1">
      <formula>IF(GA$8="判定対象外",TRUE,FALSE)</formula>
    </cfRule>
  </conditionalFormatting>
  <conditionalFormatting sqref="FZ42:FZ44">
    <cfRule type="expression" dxfId="1223" priority="1345" stopIfTrue="1">
      <formula>IF(GA$8="判定対象外",TRUE,FALSE)</formula>
    </cfRule>
  </conditionalFormatting>
  <conditionalFormatting sqref="FZ38">
    <cfRule type="expression" dxfId="1222" priority="1359" stopIfTrue="1">
      <formula>IF(#REF!="判定対象外",TRUE,FALSE)</formula>
    </cfRule>
  </conditionalFormatting>
  <conditionalFormatting sqref="GA11:GA56 GA71:GA81">
    <cfRule type="expression" dxfId="1221" priority="1344" stopIfTrue="1">
      <formula>IF(GA$8="判定対象外",TRUE,FALSE)</formula>
    </cfRule>
  </conditionalFormatting>
  <conditionalFormatting sqref="FZ48">
    <cfRule type="expression" dxfId="1220" priority="1343" stopIfTrue="1">
      <formula>IF(GA$8="判定対象外",TRUE,FALSE)</formula>
    </cfRule>
  </conditionalFormatting>
  <conditionalFormatting sqref="FZ51">
    <cfRule type="expression" dxfId="1219" priority="1342" stopIfTrue="1">
      <formula>IF(GA$8="判定対象外",TRUE,FALSE)</formula>
    </cfRule>
  </conditionalFormatting>
  <conditionalFormatting sqref="FZ52 FZ55 FZ70">
    <cfRule type="expression" dxfId="1218" priority="1341" stopIfTrue="1">
      <formula>IF(GA$8="判定対象外",TRUE,FALSE)</formula>
    </cfRule>
  </conditionalFormatting>
  <conditionalFormatting sqref="FZ11:FZ20">
    <cfRule type="expression" dxfId="1217" priority="1340" stopIfTrue="1">
      <formula>IF(GA$8="判定対象外",TRUE,FALSE)</formula>
    </cfRule>
  </conditionalFormatting>
  <conditionalFormatting sqref="FZ16:FZ18">
    <cfRule type="expression" dxfId="1216" priority="1339" stopIfTrue="1">
      <formula>IF(GA$8="判定対象外",TRUE,FALSE)</formula>
    </cfRule>
  </conditionalFormatting>
  <conditionalFormatting sqref="FZ20">
    <cfRule type="expression" dxfId="1215" priority="1338" stopIfTrue="1">
      <formula>IF(GA$8="判定対象外",TRUE,FALSE)</formula>
    </cfRule>
  </conditionalFormatting>
  <conditionalFormatting sqref="FZ16:FZ20">
    <cfRule type="expression" dxfId="1214" priority="1337" stopIfTrue="1">
      <formula>IF(GA$8="判定対象外",TRUE,FALSE)</formula>
    </cfRule>
  </conditionalFormatting>
  <conditionalFormatting sqref="FZ11:FZ20">
    <cfRule type="expression" dxfId="1213" priority="1336" stopIfTrue="1">
      <formula>IF(GA$8="判定対象外",TRUE,FALSE)</formula>
    </cfRule>
  </conditionalFormatting>
  <conditionalFormatting sqref="FZ20">
    <cfRule type="expression" dxfId="1212" priority="1334" stopIfTrue="1">
      <formula>IF(GA$8="判定対象外",TRUE,FALSE)</formula>
    </cfRule>
  </conditionalFormatting>
  <conditionalFormatting sqref="FZ16:FZ20">
    <cfRule type="expression" dxfId="1211" priority="1333" stopIfTrue="1">
      <formula>IF(GA$8="判定対象外",TRUE,FALSE)</formula>
    </cfRule>
  </conditionalFormatting>
  <conditionalFormatting sqref="FZ11:FZ20">
    <cfRule type="expression" dxfId="1210" priority="1332" stopIfTrue="1">
      <formula>IF(GA$8="判定対象外",TRUE,FALSE)</formula>
    </cfRule>
  </conditionalFormatting>
  <conditionalFormatting sqref="FZ16:FZ18">
    <cfRule type="expression" dxfId="1209" priority="1331" stopIfTrue="1">
      <formula>IF(GA$8="判定対象外",TRUE,FALSE)</formula>
    </cfRule>
  </conditionalFormatting>
  <conditionalFormatting sqref="FZ20">
    <cfRule type="expression" dxfId="1208" priority="1330" stopIfTrue="1">
      <formula>IF(GA$8="判定対象外",TRUE,FALSE)</formula>
    </cfRule>
  </conditionalFormatting>
  <conditionalFormatting sqref="FZ16:FZ20">
    <cfRule type="expression" dxfId="1207" priority="1329" stopIfTrue="1">
      <formula>IF(GA$8="判定対象外",TRUE,FALSE)</formula>
    </cfRule>
  </conditionalFormatting>
  <conditionalFormatting sqref="FZ11:FZ13">
    <cfRule type="expression" dxfId="1206" priority="1328" stopIfTrue="1">
      <formula>IF(GA$8="判定対象外",TRUE,FALSE)</formula>
    </cfRule>
  </conditionalFormatting>
  <conditionalFormatting sqref="FZ15">
    <cfRule type="expression" dxfId="1205" priority="1327" stopIfTrue="1">
      <formula>IF(GA$8="判定対象外",TRUE,FALSE)</formula>
    </cfRule>
  </conditionalFormatting>
  <conditionalFormatting sqref="FZ19">
    <cfRule type="expression" dxfId="1204" priority="1326" stopIfTrue="1">
      <formula>IF(GA$8="判定対象外",TRUE,FALSE)</formula>
    </cfRule>
  </conditionalFormatting>
  <conditionalFormatting sqref="FZ20">
    <cfRule type="expression" dxfId="1203" priority="1324" stopIfTrue="1">
      <formula>IF(GA$8="判定対象外",TRUE,FALSE)</formula>
    </cfRule>
  </conditionalFormatting>
  <conditionalFormatting sqref="FZ20">
    <cfRule type="expression" dxfId="1202" priority="1323" stopIfTrue="1">
      <formula>IF(GA$8="判定対象外",TRUE,FALSE)</formula>
    </cfRule>
  </conditionalFormatting>
  <conditionalFormatting sqref="FZ20">
    <cfRule type="expression" dxfId="1201" priority="1322" stopIfTrue="1">
      <formula>IF(GA$8="判定対象外",TRUE,FALSE)</formula>
    </cfRule>
  </conditionalFormatting>
  <conditionalFormatting sqref="FZ13">
    <cfRule type="expression" dxfId="1200" priority="1321" stopIfTrue="1">
      <formula>IF(GA$8="判定対象外",TRUE,FALSE)</formula>
    </cfRule>
  </conditionalFormatting>
  <conditionalFormatting sqref="FZ47">
    <cfRule type="expression" dxfId="1199" priority="1320" stopIfTrue="1">
      <formula>IF(GA$8="判定対象外",TRUE,FALSE)</formula>
    </cfRule>
  </conditionalFormatting>
  <conditionalFormatting sqref="FZ47">
    <cfRule type="expression" dxfId="1198" priority="1319" stopIfTrue="1">
      <formula>IF(GA$8="判定対象外",TRUE,FALSE)</formula>
    </cfRule>
  </conditionalFormatting>
  <conditionalFormatting sqref="FZ49">
    <cfRule type="expression" dxfId="1197" priority="1318" stopIfTrue="1">
      <formula>IF(GA$8="判定対象外",TRUE,FALSE)</formula>
    </cfRule>
  </conditionalFormatting>
  <conditionalFormatting sqref="FZ49">
    <cfRule type="expression" dxfId="1196" priority="1317" stopIfTrue="1">
      <formula>IF(GA$8="判定対象外",TRUE,FALSE)</formula>
    </cfRule>
  </conditionalFormatting>
  <conditionalFormatting sqref="FZ50">
    <cfRule type="expression" dxfId="1195" priority="1316" stopIfTrue="1">
      <formula>IF(GA$8="判定対象外",TRUE,FALSE)</formula>
    </cfRule>
  </conditionalFormatting>
  <conditionalFormatting sqref="FZ50">
    <cfRule type="expression" dxfId="1194" priority="1315" stopIfTrue="1">
      <formula>IF(GA$8="判定対象外",TRUE,FALSE)</formula>
    </cfRule>
  </conditionalFormatting>
  <conditionalFormatting sqref="FZ54 FZ57 FZ69">
    <cfRule type="expression" dxfId="1193" priority="1313" stopIfTrue="1">
      <formula>IF(GA$8="判定対象外",TRUE,FALSE)</formula>
    </cfRule>
  </conditionalFormatting>
  <conditionalFormatting sqref="GC57">
    <cfRule type="expression" dxfId="1192" priority="1311" stopIfTrue="1">
      <formula>IF(GC57="-",TRUE,FALSE)</formula>
    </cfRule>
    <cfRule type="expression" dxfId="1191" priority="1312" stopIfTrue="1">
      <formula>IF(OR(GC57="OK"),FALSE,TRUE)</formula>
    </cfRule>
  </conditionalFormatting>
  <conditionalFormatting sqref="GB57">
    <cfRule type="expression" dxfId="1190" priority="1310" stopIfTrue="1">
      <formula>IF(GA$8="判定対象外",TRUE,FALSE)</formula>
    </cfRule>
  </conditionalFormatting>
  <conditionalFormatting sqref="GA57">
    <cfRule type="expression" dxfId="1189" priority="1309" stopIfTrue="1">
      <formula>IF(GA$8="判定対象外",TRUE,FALSE)</formula>
    </cfRule>
  </conditionalFormatting>
  <conditionalFormatting sqref="GC58:GC64">
    <cfRule type="expression" dxfId="1188" priority="1307" stopIfTrue="1">
      <formula>IF(GC58="-",TRUE,FALSE)</formula>
    </cfRule>
    <cfRule type="expression" dxfId="1187" priority="1308" stopIfTrue="1">
      <formula>IF(OR(GC58="OK"),FALSE,TRUE)</formula>
    </cfRule>
  </conditionalFormatting>
  <conditionalFormatting sqref="GB58:GB64">
    <cfRule type="expression" dxfId="1186" priority="1306" stopIfTrue="1">
      <formula>IF(GA$8="判定対象外",TRUE,FALSE)</formula>
    </cfRule>
  </conditionalFormatting>
  <conditionalFormatting sqref="GA58:GA64">
    <cfRule type="expression" dxfId="1185" priority="1305" stopIfTrue="1">
      <formula>IF(GA$8="判定対象外",TRUE,FALSE)</formula>
    </cfRule>
  </conditionalFormatting>
  <conditionalFormatting sqref="GC65:GC70">
    <cfRule type="expression" dxfId="1184" priority="1303" stopIfTrue="1">
      <formula>IF(GC65="-",TRUE,FALSE)</formula>
    </cfRule>
    <cfRule type="expression" dxfId="1183" priority="1304" stopIfTrue="1">
      <formula>IF(OR(GC65="OK"),FALSE,TRUE)</formula>
    </cfRule>
  </conditionalFormatting>
  <conditionalFormatting sqref="GB65:GB70">
    <cfRule type="expression" dxfId="1182" priority="1302" stopIfTrue="1">
      <formula>IF(GA$8="判定対象外",TRUE,FALSE)</formula>
    </cfRule>
  </conditionalFormatting>
  <conditionalFormatting sqref="GA65:GA70">
    <cfRule type="expression" dxfId="1181" priority="1301" stopIfTrue="1">
      <formula>IF(GA$8="判定対象外",TRUE,FALSE)</formula>
    </cfRule>
  </conditionalFormatting>
  <conditionalFormatting sqref="FZ58">
    <cfRule type="expression" dxfId="1180" priority="1290" stopIfTrue="1">
      <formula>IF(GA$8="判定対象外",TRUE,FALSE)</formula>
    </cfRule>
  </conditionalFormatting>
  <conditionalFormatting sqref="FR58">
    <cfRule type="expression" dxfId="1179" priority="1300" stopIfTrue="1">
      <formula>IF(FS$8="判定対象外",TRUE,FALSE)</formula>
    </cfRule>
  </conditionalFormatting>
  <conditionalFormatting sqref="FU58">
    <cfRule type="expression" dxfId="1178" priority="1298" stopIfTrue="1">
      <formula>IF(FU58="-",TRUE,FALSE)</formula>
    </cfRule>
    <cfRule type="expression" dxfId="1177" priority="1299" stopIfTrue="1">
      <formula>IF(OR(FU58="OK"),FALSE,TRUE)</formula>
    </cfRule>
  </conditionalFormatting>
  <conditionalFormatting sqref="FT58">
    <cfRule type="expression" dxfId="1176" priority="1297" stopIfTrue="1">
      <formula>IF(FS$8="判定対象外",TRUE,FALSE)</formula>
    </cfRule>
  </conditionalFormatting>
  <conditionalFormatting sqref="FS58">
    <cfRule type="expression" dxfId="1175" priority="1296" stopIfTrue="1">
      <formula>IF(FS$8="判定対象外",TRUE,FALSE)</formula>
    </cfRule>
  </conditionalFormatting>
  <conditionalFormatting sqref="FV58">
    <cfRule type="expression" dxfId="1174" priority="1295" stopIfTrue="1">
      <formula>IF(FW$8="判定対象外",TRUE,FALSE)</formula>
    </cfRule>
  </conditionalFormatting>
  <conditionalFormatting sqref="FY58">
    <cfRule type="expression" dxfId="1173" priority="1293" stopIfTrue="1">
      <formula>IF(FY58="-",TRUE,FALSE)</formula>
    </cfRule>
    <cfRule type="expression" dxfId="1172" priority="1294" stopIfTrue="1">
      <formula>IF(OR(FY58="OK"),FALSE,TRUE)</formula>
    </cfRule>
  </conditionalFormatting>
  <conditionalFormatting sqref="FX58">
    <cfRule type="expression" dxfId="1171" priority="1292" stopIfTrue="1">
      <formula>IF(FW$8="判定対象外",TRUE,FALSE)</formula>
    </cfRule>
  </conditionalFormatting>
  <conditionalFormatting sqref="FW58">
    <cfRule type="expression" dxfId="1170" priority="1291" stopIfTrue="1">
      <formula>IF(FW$8="判定対象外",TRUE,FALSE)</formula>
    </cfRule>
  </conditionalFormatting>
  <conditionalFormatting sqref="FV59">
    <cfRule type="expression" dxfId="1169" priority="1284" stopIfTrue="1">
      <formula>IF(FW$8="判定対象外",TRUE,FALSE)</formula>
    </cfRule>
  </conditionalFormatting>
  <conditionalFormatting sqref="FY59">
    <cfRule type="expression" dxfId="1168" priority="1282" stopIfTrue="1">
      <formula>IF(FY59="-",TRUE,FALSE)</formula>
    </cfRule>
    <cfRule type="expression" dxfId="1167" priority="1283" stopIfTrue="1">
      <formula>IF(OR(FY59="OK"),FALSE,TRUE)</formula>
    </cfRule>
  </conditionalFormatting>
  <conditionalFormatting sqref="FX59">
    <cfRule type="expression" dxfId="1166" priority="1281" stopIfTrue="1">
      <formula>IF(FW$8="判定対象外",TRUE,FALSE)</formula>
    </cfRule>
  </conditionalFormatting>
  <conditionalFormatting sqref="FW59">
    <cfRule type="expression" dxfId="1165" priority="1280" stopIfTrue="1">
      <formula>IF(FW$8="判定対象外",TRUE,FALSE)</formula>
    </cfRule>
  </conditionalFormatting>
  <conditionalFormatting sqref="FV60">
    <cfRule type="expression" dxfId="1164" priority="1273" stopIfTrue="1">
      <formula>IF(FW$8="判定対象外",TRUE,FALSE)</formula>
    </cfRule>
  </conditionalFormatting>
  <conditionalFormatting sqref="FY60">
    <cfRule type="expression" dxfId="1163" priority="1271" stopIfTrue="1">
      <formula>IF(FY60="-",TRUE,FALSE)</formula>
    </cfRule>
    <cfRule type="expression" dxfId="1162" priority="1272" stopIfTrue="1">
      <formula>IF(OR(FY60="OK"),FALSE,TRUE)</formula>
    </cfRule>
  </conditionalFormatting>
  <conditionalFormatting sqref="FX60">
    <cfRule type="expression" dxfId="1161" priority="1270" stopIfTrue="1">
      <formula>IF(FW$8="判定対象外",TRUE,FALSE)</formula>
    </cfRule>
  </conditionalFormatting>
  <conditionalFormatting sqref="FW60">
    <cfRule type="expression" dxfId="1160" priority="1269" stopIfTrue="1">
      <formula>IF(FW$8="判定対象外",TRUE,FALSE)</formula>
    </cfRule>
  </conditionalFormatting>
  <conditionalFormatting sqref="FV61">
    <cfRule type="expression" dxfId="1159" priority="1262" stopIfTrue="1">
      <formula>IF(FW$8="判定対象外",TRUE,FALSE)</formula>
    </cfRule>
  </conditionalFormatting>
  <conditionalFormatting sqref="FY61">
    <cfRule type="expression" dxfId="1158" priority="1260" stopIfTrue="1">
      <formula>IF(FY61="-",TRUE,FALSE)</formula>
    </cfRule>
    <cfRule type="expression" dxfId="1157" priority="1261" stopIfTrue="1">
      <formula>IF(OR(FY61="OK"),FALSE,TRUE)</formula>
    </cfRule>
  </conditionalFormatting>
  <conditionalFormatting sqref="FX61">
    <cfRule type="expression" dxfId="1156" priority="1259" stopIfTrue="1">
      <formula>IF(FW$8="判定対象外",TRUE,FALSE)</formula>
    </cfRule>
  </conditionalFormatting>
  <conditionalFormatting sqref="FW61">
    <cfRule type="expression" dxfId="1155" priority="1258" stopIfTrue="1">
      <formula>IF(FW$8="判定対象外",TRUE,FALSE)</formula>
    </cfRule>
  </conditionalFormatting>
  <conditionalFormatting sqref="FV62">
    <cfRule type="expression" dxfId="1154" priority="1251" stopIfTrue="1">
      <formula>IF(FW$8="判定対象外",TRUE,FALSE)</formula>
    </cfRule>
  </conditionalFormatting>
  <conditionalFormatting sqref="FY62">
    <cfRule type="expression" dxfId="1153" priority="1249" stopIfTrue="1">
      <formula>IF(FY62="-",TRUE,FALSE)</formula>
    </cfRule>
    <cfRule type="expression" dxfId="1152" priority="1250" stopIfTrue="1">
      <formula>IF(OR(FY62="OK"),FALSE,TRUE)</formula>
    </cfRule>
  </conditionalFormatting>
  <conditionalFormatting sqref="FX62">
    <cfRule type="expression" dxfId="1151" priority="1248" stopIfTrue="1">
      <formula>IF(FW$8="判定対象外",TRUE,FALSE)</formula>
    </cfRule>
  </conditionalFormatting>
  <conditionalFormatting sqref="FW62">
    <cfRule type="expression" dxfId="1150" priority="1247" stopIfTrue="1">
      <formula>IF(FW$8="判定対象外",TRUE,FALSE)</formula>
    </cfRule>
  </conditionalFormatting>
  <conditionalFormatting sqref="FV63">
    <cfRule type="expression" dxfId="1149" priority="1240" stopIfTrue="1">
      <formula>IF(FW$8="判定対象外",TRUE,FALSE)</formula>
    </cfRule>
  </conditionalFormatting>
  <conditionalFormatting sqref="FY63">
    <cfRule type="expression" dxfId="1148" priority="1238" stopIfTrue="1">
      <formula>IF(FY63="-",TRUE,FALSE)</formula>
    </cfRule>
    <cfRule type="expression" dxfId="1147" priority="1239" stopIfTrue="1">
      <formula>IF(OR(FY63="OK"),FALSE,TRUE)</formula>
    </cfRule>
  </conditionalFormatting>
  <conditionalFormatting sqref="FX63">
    <cfRule type="expression" dxfId="1146" priority="1237" stopIfTrue="1">
      <formula>IF(FW$8="判定対象外",TRUE,FALSE)</formula>
    </cfRule>
  </conditionalFormatting>
  <conditionalFormatting sqref="FW63">
    <cfRule type="expression" dxfId="1145" priority="1236" stopIfTrue="1">
      <formula>IF(FW$8="判定対象外",TRUE,FALSE)</formula>
    </cfRule>
  </conditionalFormatting>
  <conditionalFormatting sqref="FV64">
    <cfRule type="expression" dxfId="1144" priority="1229" stopIfTrue="1">
      <formula>IF(FW$8="判定対象外",TRUE,FALSE)</formula>
    </cfRule>
  </conditionalFormatting>
  <conditionalFormatting sqref="FY64">
    <cfRule type="expression" dxfId="1143" priority="1227" stopIfTrue="1">
      <formula>IF(FY64="-",TRUE,FALSE)</formula>
    </cfRule>
    <cfRule type="expression" dxfId="1142" priority="1228" stopIfTrue="1">
      <formula>IF(OR(FY64="OK"),FALSE,TRUE)</formula>
    </cfRule>
  </conditionalFormatting>
  <conditionalFormatting sqref="FX64">
    <cfRule type="expression" dxfId="1141" priority="1226" stopIfTrue="1">
      <formula>IF(FW$8="判定対象外",TRUE,FALSE)</formula>
    </cfRule>
  </conditionalFormatting>
  <conditionalFormatting sqref="FW64">
    <cfRule type="expression" dxfId="1140" priority="1225" stopIfTrue="1">
      <formula>IF(FW$8="判定対象外",TRUE,FALSE)</formula>
    </cfRule>
  </conditionalFormatting>
  <conditionalFormatting sqref="FV65">
    <cfRule type="expression" dxfId="1139" priority="1218" stopIfTrue="1">
      <formula>IF(FW$8="判定対象外",TRUE,FALSE)</formula>
    </cfRule>
  </conditionalFormatting>
  <conditionalFormatting sqref="FU67">
    <cfRule type="expression" dxfId="1138" priority="1210" stopIfTrue="1">
      <formula>IF(FU67="-",TRUE,FALSE)</formula>
    </cfRule>
    <cfRule type="expression" dxfId="1137" priority="1211" stopIfTrue="1">
      <formula>IF(OR(FU67="OK"),FALSE,TRUE)</formula>
    </cfRule>
  </conditionalFormatting>
  <conditionalFormatting sqref="FT67">
    <cfRule type="expression" dxfId="1136" priority="1209" stopIfTrue="1">
      <formula>IF(FS$8="判定対象外",TRUE,FALSE)</formula>
    </cfRule>
  </conditionalFormatting>
  <conditionalFormatting sqref="FS67">
    <cfRule type="expression" dxfId="1135" priority="1208" stopIfTrue="1">
      <formula>IF(FS$8="判定対象外",TRUE,FALSE)</formula>
    </cfRule>
  </conditionalFormatting>
  <conditionalFormatting sqref="FY67">
    <cfRule type="expression" dxfId="1134" priority="1206" stopIfTrue="1">
      <formula>IF(FY67="-",TRUE,FALSE)</formula>
    </cfRule>
    <cfRule type="expression" dxfId="1133" priority="1207" stopIfTrue="1">
      <formula>IF(OR(FY67="OK"),FALSE,TRUE)</formula>
    </cfRule>
  </conditionalFormatting>
  <conditionalFormatting sqref="FX67">
    <cfRule type="expression" dxfId="1132" priority="1205" stopIfTrue="1">
      <formula>IF(FW$8="判定対象外",TRUE,FALSE)</formula>
    </cfRule>
  </conditionalFormatting>
  <conditionalFormatting sqref="FW67">
    <cfRule type="expression" dxfId="1131" priority="1204" stopIfTrue="1">
      <formula>IF(FW$8="判定対象外",TRUE,FALSE)</formula>
    </cfRule>
  </conditionalFormatting>
  <conditionalFormatting sqref="FV67">
    <cfRule type="expression" dxfId="1130" priority="1203" stopIfTrue="1">
      <formula>IF(FW$8="判定対象外",TRUE,FALSE)</formula>
    </cfRule>
  </conditionalFormatting>
  <conditionalFormatting sqref="FV66">
    <cfRule type="expression" dxfId="1129" priority="1196" stopIfTrue="1">
      <formula>IF(FW$8="判定対象外",TRUE,FALSE)</formula>
    </cfRule>
  </conditionalFormatting>
  <conditionalFormatting sqref="FY66">
    <cfRule type="expression" dxfId="1128" priority="1194" stopIfTrue="1">
      <formula>IF(FY66="-",TRUE,FALSE)</formula>
    </cfRule>
    <cfRule type="expression" dxfId="1127" priority="1195" stopIfTrue="1">
      <formula>IF(OR(FY66="OK"),FALSE,TRUE)</formula>
    </cfRule>
  </conditionalFormatting>
  <conditionalFormatting sqref="FX66">
    <cfRule type="expression" dxfId="1126" priority="1193" stopIfTrue="1">
      <formula>IF(FW$8="判定対象外",TRUE,FALSE)</formula>
    </cfRule>
  </conditionalFormatting>
  <conditionalFormatting sqref="FW66">
    <cfRule type="expression" dxfId="1125" priority="1192" stopIfTrue="1">
      <formula>IF(FW$8="判定対象外",TRUE,FALSE)</formula>
    </cfRule>
  </conditionalFormatting>
  <conditionalFormatting sqref="FR68">
    <cfRule type="expression" dxfId="1124" priority="1190" stopIfTrue="1">
      <formula>IF(FS$8="判定対象外",TRUE,FALSE)</formula>
    </cfRule>
  </conditionalFormatting>
  <conditionalFormatting sqref="FU68">
    <cfRule type="expression" dxfId="1123" priority="1188" stopIfTrue="1">
      <formula>IF(FU68="-",TRUE,FALSE)</formula>
    </cfRule>
    <cfRule type="expression" dxfId="1122" priority="1189" stopIfTrue="1">
      <formula>IF(OR(FU68="OK"),FALSE,TRUE)</formula>
    </cfRule>
  </conditionalFormatting>
  <conditionalFormatting sqref="FT68">
    <cfRule type="expression" dxfId="1121" priority="1187" stopIfTrue="1">
      <formula>IF(FS$8="判定対象外",TRUE,FALSE)</formula>
    </cfRule>
  </conditionalFormatting>
  <conditionalFormatting sqref="FS68">
    <cfRule type="expression" dxfId="1120" priority="1186" stopIfTrue="1">
      <formula>IF(FS$8="判定対象外",TRUE,FALSE)</formula>
    </cfRule>
  </conditionalFormatting>
  <conditionalFormatting sqref="FY68">
    <cfRule type="expression" dxfId="1119" priority="1184" stopIfTrue="1">
      <formula>IF(FY68="-",TRUE,FALSE)</formula>
    </cfRule>
    <cfRule type="expression" dxfId="1118" priority="1185" stopIfTrue="1">
      <formula>IF(OR(FY68="OK"),FALSE,TRUE)</formula>
    </cfRule>
  </conditionalFormatting>
  <conditionalFormatting sqref="FX68">
    <cfRule type="expression" dxfId="1117" priority="1183" stopIfTrue="1">
      <formula>IF(FW$8="判定対象外",TRUE,FALSE)</formula>
    </cfRule>
  </conditionalFormatting>
  <conditionalFormatting sqref="FW68">
    <cfRule type="expression" dxfId="1116" priority="1182" stopIfTrue="1">
      <formula>IF(FW$8="判定対象外",TRUE,FALSE)</formula>
    </cfRule>
  </conditionalFormatting>
  <conditionalFormatting sqref="FV68">
    <cfRule type="expression" dxfId="1115" priority="1181" stopIfTrue="1">
      <formula>IF(FW$8="判定対象外",TRUE,FALSE)</formula>
    </cfRule>
  </conditionalFormatting>
  <conditionalFormatting sqref="FR67">
    <cfRule type="expression" dxfId="1114" priority="1179" stopIfTrue="1">
      <formula>IF(FS$8="判定対象外",TRUE,FALSE)</formula>
    </cfRule>
  </conditionalFormatting>
  <conditionalFormatting sqref="FU67">
    <cfRule type="expression" dxfId="1113" priority="1177" stopIfTrue="1">
      <formula>IF(FU67="-",TRUE,FALSE)</formula>
    </cfRule>
    <cfRule type="expression" dxfId="1112" priority="1178" stopIfTrue="1">
      <formula>IF(OR(FU67="OK"),FALSE,TRUE)</formula>
    </cfRule>
  </conditionalFormatting>
  <conditionalFormatting sqref="FT67">
    <cfRule type="expression" dxfId="1111" priority="1176" stopIfTrue="1">
      <formula>IF(FS$8="判定対象外",TRUE,FALSE)</formula>
    </cfRule>
  </conditionalFormatting>
  <conditionalFormatting sqref="FS67">
    <cfRule type="expression" dxfId="1110" priority="1175" stopIfTrue="1">
      <formula>IF(FS$8="判定対象外",TRUE,FALSE)</formula>
    </cfRule>
  </conditionalFormatting>
  <conditionalFormatting sqref="FV67">
    <cfRule type="expression" dxfId="1109" priority="1174" stopIfTrue="1">
      <formula>IF(FW$8="判定対象外",TRUE,FALSE)</formula>
    </cfRule>
  </conditionalFormatting>
  <conditionalFormatting sqref="FY67">
    <cfRule type="expression" dxfId="1108" priority="1172" stopIfTrue="1">
      <formula>IF(FY67="-",TRUE,FALSE)</formula>
    </cfRule>
    <cfRule type="expression" dxfId="1107" priority="1173" stopIfTrue="1">
      <formula>IF(OR(FY67="OK"),FALSE,TRUE)</formula>
    </cfRule>
  </conditionalFormatting>
  <conditionalFormatting sqref="FX67">
    <cfRule type="expression" dxfId="1106" priority="1171" stopIfTrue="1">
      <formula>IF(FW$8="判定対象外",TRUE,FALSE)</formula>
    </cfRule>
  </conditionalFormatting>
  <conditionalFormatting sqref="FW67">
    <cfRule type="expression" dxfId="1105" priority="1170" stopIfTrue="1">
      <formula>IF(FW$8="判定対象外",TRUE,FALSE)</formula>
    </cfRule>
  </conditionalFormatting>
  <conditionalFormatting sqref="FZ67">
    <cfRule type="expression" dxfId="1104" priority="1169" stopIfTrue="1">
      <formula>IF(GA$8="判定対象外",TRUE,FALSE)</formula>
    </cfRule>
  </conditionalFormatting>
  <conditionalFormatting sqref="FZ69">
    <cfRule type="expression" dxfId="1103" priority="1166" stopIfTrue="1">
      <formula>IF(GA$8="判定対象外",TRUE,FALSE)</formula>
    </cfRule>
  </conditionalFormatting>
  <conditionalFormatting sqref="FR69">
    <cfRule type="expression" dxfId="1102" priority="1168" stopIfTrue="1">
      <formula>IF(FS$8="判定対象外",TRUE,FALSE)</formula>
    </cfRule>
  </conditionalFormatting>
  <conditionalFormatting sqref="FV69">
    <cfRule type="expression" dxfId="1101" priority="1167" stopIfTrue="1">
      <formula>IF(FW$8="判定対象外",TRUE,FALSE)</formula>
    </cfRule>
  </conditionalFormatting>
  <conditionalFormatting sqref="FR69">
    <cfRule type="expression" dxfId="1100" priority="1154" stopIfTrue="1">
      <formula>IF(FS$8="判定対象外",TRUE,FALSE)</formula>
    </cfRule>
  </conditionalFormatting>
  <conditionalFormatting sqref="FU69">
    <cfRule type="expression" dxfId="1099" priority="1152" stopIfTrue="1">
      <formula>IF(FU69="-",TRUE,FALSE)</formula>
    </cfRule>
    <cfRule type="expression" dxfId="1098" priority="1153" stopIfTrue="1">
      <formula>IF(OR(FU69="OK"),FALSE,TRUE)</formula>
    </cfRule>
  </conditionalFormatting>
  <conditionalFormatting sqref="FT69">
    <cfRule type="expression" dxfId="1097" priority="1151" stopIfTrue="1">
      <formula>IF(FS$8="判定対象外",TRUE,FALSE)</formula>
    </cfRule>
  </conditionalFormatting>
  <conditionalFormatting sqref="FS69">
    <cfRule type="expression" dxfId="1096" priority="1150" stopIfTrue="1">
      <formula>IF(FS$8="判定対象外",TRUE,FALSE)</formula>
    </cfRule>
  </conditionalFormatting>
  <conditionalFormatting sqref="FY69">
    <cfRule type="expression" dxfId="1095" priority="1148" stopIfTrue="1">
      <formula>IF(FY69="-",TRUE,FALSE)</formula>
    </cfRule>
    <cfRule type="expression" dxfId="1094" priority="1149" stopIfTrue="1">
      <formula>IF(OR(FY69="OK"),FALSE,TRUE)</formula>
    </cfRule>
  </conditionalFormatting>
  <conditionalFormatting sqref="FX69">
    <cfRule type="expression" dxfId="1093" priority="1147" stopIfTrue="1">
      <formula>IF(FW$8="判定対象外",TRUE,FALSE)</formula>
    </cfRule>
  </conditionalFormatting>
  <conditionalFormatting sqref="FW69">
    <cfRule type="expression" dxfId="1092" priority="1146" stopIfTrue="1">
      <formula>IF(FW$8="判定対象外",TRUE,FALSE)</formula>
    </cfRule>
  </conditionalFormatting>
  <conditionalFormatting sqref="FV69">
    <cfRule type="expression" dxfId="1091" priority="1145" stopIfTrue="1">
      <formula>IF(FW$8="判定対象外",TRUE,FALSE)</formula>
    </cfRule>
  </conditionalFormatting>
  <conditionalFormatting sqref="FR68">
    <cfRule type="expression" dxfId="1090" priority="1143" stopIfTrue="1">
      <formula>IF(FS$8="判定対象外",TRUE,FALSE)</formula>
    </cfRule>
  </conditionalFormatting>
  <conditionalFormatting sqref="FU68">
    <cfRule type="expression" dxfId="1089" priority="1141" stopIfTrue="1">
      <formula>IF(FU68="-",TRUE,FALSE)</formula>
    </cfRule>
    <cfRule type="expression" dxfId="1088" priority="1142" stopIfTrue="1">
      <formula>IF(OR(FU68="OK"),FALSE,TRUE)</formula>
    </cfRule>
  </conditionalFormatting>
  <conditionalFormatting sqref="FT68">
    <cfRule type="expression" dxfId="1087" priority="1140" stopIfTrue="1">
      <formula>IF(FS$8="判定対象外",TRUE,FALSE)</formula>
    </cfRule>
  </conditionalFormatting>
  <conditionalFormatting sqref="FS68">
    <cfRule type="expression" dxfId="1086" priority="1139" stopIfTrue="1">
      <formula>IF(FS$8="判定対象外",TRUE,FALSE)</formula>
    </cfRule>
  </conditionalFormatting>
  <conditionalFormatting sqref="FV68">
    <cfRule type="expression" dxfId="1085" priority="1138" stopIfTrue="1">
      <formula>IF(FW$8="判定対象外",TRUE,FALSE)</formula>
    </cfRule>
  </conditionalFormatting>
  <conditionalFormatting sqref="FY68">
    <cfRule type="expression" dxfId="1084" priority="1136" stopIfTrue="1">
      <formula>IF(FY68="-",TRUE,FALSE)</formula>
    </cfRule>
    <cfRule type="expression" dxfId="1083" priority="1137" stopIfTrue="1">
      <formula>IF(OR(FY68="OK"),FALSE,TRUE)</formula>
    </cfRule>
  </conditionalFormatting>
  <conditionalFormatting sqref="FX68">
    <cfRule type="expression" dxfId="1082" priority="1135" stopIfTrue="1">
      <formula>IF(FW$8="判定対象外",TRUE,FALSE)</formula>
    </cfRule>
  </conditionalFormatting>
  <conditionalFormatting sqref="FW68">
    <cfRule type="expression" dxfId="1081" priority="1134" stopIfTrue="1">
      <formula>IF(FW$8="判定対象外",TRUE,FALSE)</formula>
    </cfRule>
  </conditionalFormatting>
  <conditionalFormatting sqref="FZ68">
    <cfRule type="expression" dxfId="1080" priority="1133" stopIfTrue="1">
      <formula>IF(GA$8="判定対象外",TRUE,FALSE)</formula>
    </cfRule>
  </conditionalFormatting>
  <conditionalFormatting sqref="GL71">
    <cfRule type="expression" dxfId="1079" priority="613" stopIfTrue="1">
      <formula>IF(GM$8="判定対象外",TRUE,FALSE)</formula>
    </cfRule>
  </conditionalFormatting>
  <conditionalFormatting sqref="FZ69">
    <cfRule type="expression" dxfId="1078" priority="1116" stopIfTrue="1">
      <formula>IF(GA$8="判定対象外",TRUE,FALSE)</formula>
    </cfRule>
  </conditionalFormatting>
  <conditionalFormatting sqref="FZ69">
    <cfRule type="expression" dxfId="1077" priority="1128" stopIfTrue="1">
      <formula>IF(GA$8="判定対象外",TRUE,FALSE)</formula>
    </cfRule>
  </conditionalFormatting>
  <conditionalFormatting sqref="FR69">
    <cfRule type="expression" dxfId="1076" priority="1132" stopIfTrue="1">
      <formula>IF(FS$8="判定対象外",TRUE,FALSE)</formula>
    </cfRule>
  </conditionalFormatting>
  <conditionalFormatting sqref="FR70">
    <cfRule type="expression" dxfId="1075" priority="1131" stopIfTrue="1">
      <formula>IF(FS$8="判定対象外",TRUE,FALSE)</formula>
    </cfRule>
  </conditionalFormatting>
  <conditionalFormatting sqref="FV69">
    <cfRule type="expression" dxfId="1074" priority="1130" stopIfTrue="1">
      <formula>IF(FW$8="判定対象外",TRUE,FALSE)</formula>
    </cfRule>
  </conditionalFormatting>
  <conditionalFormatting sqref="FZ70">
    <cfRule type="expression" dxfId="1073" priority="1127" stopIfTrue="1">
      <formula>IF(GA$8="判定対象外",TRUE,FALSE)</formula>
    </cfRule>
  </conditionalFormatting>
  <conditionalFormatting sqref="FR69">
    <cfRule type="expression" dxfId="1072" priority="1126" stopIfTrue="1">
      <formula>IF(FS$8="判定対象外",TRUE,FALSE)</formula>
    </cfRule>
  </conditionalFormatting>
  <conditionalFormatting sqref="FU69">
    <cfRule type="expression" dxfId="1071" priority="1124" stopIfTrue="1">
      <formula>IF(FU69="-",TRUE,FALSE)</formula>
    </cfRule>
    <cfRule type="expression" dxfId="1070" priority="1125" stopIfTrue="1">
      <formula>IF(OR(FU69="OK"),FALSE,TRUE)</formula>
    </cfRule>
  </conditionalFormatting>
  <conditionalFormatting sqref="FT69">
    <cfRule type="expression" dxfId="1069" priority="1123" stopIfTrue="1">
      <formula>IF(FS$8="判定対象外",TRUE,FALSE)</formula>
    </cfRule>
  </conditionalFormatting>
  <conditionalFormatting sqref="FS69">
    <cfRule type="expression" dxfId="1068" priority="1122" stopIfTrue="1">
      <formula>IF(FS$8="判定対象外",TRUE,FALSE)</formula>
    </cfRule>
  </conditionalFormatting>
  <conditionalFormatting sqref="FY69">
    <cfRule type="expression" dxfId="1067" priority="1120" stopIfTrue="1">
      <formula>IF(FY69="-",TRUE,FALSE)</formula>
    </cfRule>
    <cfRule type="expression" dxfId="1066" priority="1121" stopIfTrue="1">
      <formula>IF(OR(FY69="OK"),FALSE,TRUE)</formula>
    </cfRule>
  </conditionalFormatting>
  <conditionalFormatting sqref="FX69">
    <cfRule type="expression" dxfId="1065" priority="1119" stopIfTrue="1">
      <formula>IF(FW$8="判定対象外",TRUE,FALSE)</formula>
    </cfRule>
  </conditionalFormatting>
  <conditionalFormatting sqref="FW69">
    <cfRule type="expression" dxfId="1064" priority="1118" stopIfTrue="1">
      <formula>IF(FW$8="判定対象外",TRUE,FALSE)</formula>
    </cfRule>
  </conditionalFormatting>
  <conditionalFormatting sqref="FV69">
    <cfRule type="expression" dxfId="1063" priority="1117" stopIfTrue="1">
      <formula>IF(FW$8="判定対象外",TRUE,FALSE)</formula>
    </cfRule>
  </conditionalFormatting>
  <conditionalFormatting sqref="FZ70">
    <cfRule type="expression" dxfId="1062" priority="1113" stopIfTrue="1">
      <formula>IF(GA$8="判定対象外",TRUE,FALSE)</formula>
    </cfRule>
  </conditionalFormatting>
  <conditionalFormatting sqref="FR70">
    <cfRule type="expression" dxfId="1061" priority="1115" stopIfTrue="1">
      <formula>IF(FS$8="判定対象外",TRUE,FALSE)</formula>
    </cfRule>
  </conditionalFormatting>
  <conditionalFormatting sqref="FR70">
    <cfRule type="expression" dxfId="1060" priority="1101" stopIfTrue="1">
      <formula>IF(FS$8="判定対象外",TRUE,FALSE)</formula>
    </cfRule>
  </conditionalFormatting>
  <conditionalFormatting sqref="FU70">
    <cfRule type="expression" dxfId="1059" priority="1099" stopIfTrue="1">
      <formula>IF(FU70="-",TRUE,FALSE)</formula>
    </cfRule>
    <cfRule type="expression" dxfId="1058" priority="1100" stopIfTrue="1">
      <formula>IF(OR(FU70="OK"),FALSE,TRUE)</formula>
    </cfRule>
  </conditionalFormatting>
  <conditionalFormatting sqref="FT70">
    <cfRule type="expression" dxfId="1057" priority="1098" stopIfTrue="1">
      <formula>IF(FS$8="判定対象外",TRUE,FALSE)</formula>
    </cfRule>
  </conditionalFormatting>
  <conditionalFormatting sqref="FS70">
    <cfRule type="expression" dxfId="1056" priority="1097" stopIfTrue="1">
      <formula>IF(FS$8="判定対象外",TRUE,FALSE)</formula>
    </cfRule>
  </conditionalFormatting>
  <conditionalFormatting sqref="FY70">
    <cfRule type="expression" dxfId="1055" priority="1095" stopIfTrue="1">
      <formula>IF(FY70="-",TRUE,FALSE)</formula>
    </cfRule>
    <cfRule type="expression" dxfId="1054" priority="1096" stopIfTrue="1">
      <formula>IF(OR(FY70="OK"),FALSE,TRUE)</formula>
    </cfRule>
  </conditionalFormatting>
  <conditionalFormatting sqref="FX70">
    <cfRule type="expression" dxfId="1053" priority="1094" stopIfTrue="1">
      <formula>IF(FW$8="判定対象外",TRUE,FALSE)</formula>
    </cfRule>
  </conditionalFormatting>
  <conditionalFormatting sqref="FW70">
    <cfRule type="expression" dxfId="1052" priority="1093" stopIfTrue="1">
      <formula>IF(FW$8="判定対象外",TRUE,FALSE)</formula>
    </cfRule>
  </conditionalFormatting>
  <conditionalFormatting sqref="FR69">
    <cfRule type="expression" dxfId="1051" priority="1090" stopIfTrue="1">
      <formula>IF(FS$8="判定対象外",TRUE,FALSE)</formula>
    </cfRule>
  </conditionalFormatting>
  <conditionalFormatting sqref="FU69">
    <cfRule type="expression" dxfId="1050" priority="1088" stopIfTrue="1">
      <formula>IF(FU69="-",TRUE,FALSE)</formula>
    </cfRule>
    <cfRule type="expression" dxfId="1049" priority="1089" stopIfTrue="1">
      <formula>IF(OR(FU69="OK"),FALSE,TRUE)</formula>
    </cfRule>
  </conditionalFormatting>
  <conditionalFormatting sqref="FT69">
    <cfRule type="expression" dxfId="1048" priority="1087" stopIfTrue="1">
      <formula>IF(FS$8="判定対象外",TRUE,FALSE)</formula>
    </cfRule>
  </conditionalFormatting>
  <conditionalFormatting sqref="FS69">
    <cfRule type="expression" dxfId="1047" priority="1086" stopIfTrue="1">
      <formula>IF(FS$8="判定対象外",TRUE,FALSE)</formula>
    </cfRule>
  </conditionalFormatting>
  <conditionalFormatting sqref="FV69">
    <cfRule type="expression" dxfId="1046" priority="1085" stopIfTrue="1">
      <formula>IF(FW$8="判定対象外",TRUE,FALSE)</formula>
    </cfRule>
  </conditionalFormatting>
  <conditionalFormatting sqref="FY69">
    <cfRule type="expression" dxfId="1045" priority="1083" stopIfTrue="1">
      <formula>IF(FY69="-",TRUE,FALSE)</formula>
    </cfRule>
    <cfRule type="expression" dxfId="1044" priority="1084" stopIfTrue="1">
      <formula>IF(OR(FY69="OK"),FALSE,TRUE)</formula>
    </cfRule>
  </conditionalFormatting>
  <conditionalFormatting sqref="FX69">
    <cfRule type="expression" dxfId="1043" priority="1082" stopIfTrue="1">
      <formula>IF(FW$8="判定対象外",TRUE,FALSE)</formula>
    </cfRule>
  </conditionalFormatting>
  <conditionalFormatting sqref="FW69">
    <cfRule type="expression" dxfId="1042" priority="1081" stopIfTrue="1">
      <formula>IF(FW$8="判定対象外",TRUE,FALSE)</formula>
    </cfRule>
  </conditionalFormatting>
  <conditionalFormatting sqref="FZ69">
    <cfRule type="expression" dxfId="1041" priority="1080" stopIfTrue="1">
      <formula>IF(GA$8="判定対象外",TRUE,FALSE)</formula>
    </cfRule>
  </conditionalFormatting>
  <conditionalFormatting sqref="GK69">
    <cfRule type="expression" dxfId="1040" priority="701" stopIfTrue="1">
      <formula>IF(GK69="-",TRUE,FALSE)</formula>
    </cfRule>
    <cfRule type="expression" dxfId="1039" priority="702" stopIfTrue="1">
      <formula>IF(OR(GK69="OK"),FALSE,TRUE)</formula>
    </cfRule>
  </conditionalFormatting>
  <conditionalFormatting sqref="GJ69">
    <cfRule type="expression" dxfId="1038" priority="700" stopIfTrue="1">
      <formula>IF(GI$8="判定対象外",TRUE,FALSE)</formula>
    </cfRule>
  </conditionalFormatting>
  <conditionalFormatting sqref="GI69">
    <cfRule type="expression" dxfId="1037" priority="699" stopIfTrue="1">
      <formula>IF(GI$8="判定対象外",TRUE,FALSE)</formula>
    </cfRule>
  </conditionalFormatting>
  <conditionalFormatting sqref="GH69">
    <cfRule type="expression" dxfId="1036" priority="698" stopIfTrue="1">
      <formula>IF(GI$8="判定対象外",TRUE,FALSE)</formula>
    </cfRule>
  </conditionalFormatting>
  <conditionalFormatting sqref="GK65">
    <cfRule type="expression" dxfId="1035" priority="811" stopIfTrue="1">
      <formula>IF(GK65="-",TRUE,FALSE)</formula>
    </cfRule>
    <cfRule type="expression" dxfId="1034" priority="812" stopIfTrue="1">
      <formula>IF(OR(GK65="OK"),FALSE,TRUE)</formula>
    </cfRule>
  </conditionalFormatting>
  <conditionalFormatting sqref="GJ65">
    <cfRule type="expression" dxfId="1033" priority="810" stopIfTrue="1">
      <formula>IF(GI$8="判定対象外",TRUE,FALSE)</formula>
    </cfRule>
  </conditionalFormatting>
  <conditionalFormatting sqref="GI65">
    <cfRule type="expression" dxfId="1032" priority="809" stopIfTrue="1">
      <formula>IF(GI$8="判定対象外",TRUE,FALSE)</formula>
    </cfRule>
  </conditionalFormatting>
  <conditionalFormatting sqref="GL69">
    <cfRule type="expression" dxfId="1031" priority="697" stopIfTrue="1">
      <formula>IF(GM$8="判定対象外",TRUE,FALSE)</formula>
    </cfRule>
  </conditionalFormatting>
  <conditionalFormatting sqref="GD69">
    <cfRule type="expression" dxfId="1030" priority="707" stopIfTrue="1">
      <formula>IF(GE$8="判定対象外",TRUE,FALSE)</formula>
    </cfRule>
  </conditionalFormatting>
  <conditionalFormatting sqref="GG69">
    <cfRule type="expression" dxfId="1029" priority="705" stopIfTrue="1">
      <formula>IF(GG69="-",TRUE,FALSE)</formula>
    </cfRule>
    <cfRule type="expression" dxfId="1028" priority="706" stopIfTrue="1">
      <formula>IF(OR(GG69="OK"),FALSE,TRUE)</formula>
    </cfRule>
  </conditionalFormatting>
  <conditionalFormatting sqref="GF69">
    <cfRule type="expression" dxfId="1027" priority="704" stopIfTrue="1">
      <formula>IF(GE$8="判定対象外",TRUE,FALSE)</formula>
    </cfRule>
  </conditionalFormatting>
  <conditionalFormatting sqref="GE69">
    <cfRule type="expression" dxfId="1026" priority="703" stopIfTrue="1">
      <formula>IF(GE$8="判定対象外",TRUE,FALSE)</formula>
    </cfRule>
  </conditionalFormatting>
  <conditionalFormatting sqref="GL70">
    <cfRule type="expression" dxfId="1025" priority="686" stopIfTrue="1">
      <formula>IF(GM$8="判定対象外",TRUE,FALSE)</formula>
    </cfRule>
  </conditionalFormatting>
  <conditionalFormatting sqref="GK68">
    <cfRule type="expression" dxfId="1024" priority="754" stopIfTrue="1">
      <formula>IF(GK68="-",TRUE,FALSE)</formula>
    </cfRule>
    <cfRule type="expression" dxfId="1023" priority="755" stopIfTrue="1">
      <formula>IF(OR(GK68="OK"),FALSE,TRUE)</formula>
    </cfRule>
  </conditionalFormatting>
  <conditionalFormatting sqref="GJ68">
    <cfRule type="expression" dxfId="1022" priority="753" stopIfTrue="1">
      <formula>IF(GI$8="判定対象外",TRUE,FALSE)</formula>
    </cfRule>
  </conditionalFormatting>
  <conditionalFormatting sqref="GI68">
    <cfRule type="expression" dxfId="1021" priority="752" stopIfTrue="1">
      <formula>IF(GI$8="判定対象外",TRUE,FALSE)</formula>
    </cfRule>
  </conditionalFormatting>
  <conditionalFormatting sqref="GH68">
    <cfRule type="expression" dxfId="1020" priority="751" stopIfTrue="1">
      <formula>IF(GI$8="判定対象外",TRUE,FALSE)</formula>
    </cfRule>
  </conditionalFormatting>
  <conditionalFormatting sqref="GD67">
    <cfRule type="expression" dxfId="1019" priority="807" stopIfTrue="1">
      <formula>IF(GE$8="判定対象外",TRUE,FALSE)</formula>
    </cfRule>
  </conditionalFormatting>
  <conditionalFormatting sqref="GL68">
    <cfRule type="expression" dxfId="1018" priority="750" stopIfTrue="1">
      <formula>IF(GM$8="判定対象外",TRUE,FALSE)</formula>
    </cfRule>
  </conditionalFormatting>
  <conditionalFormatting sqref="GD68">
    <cfRule type="expression" dxfId="1017" priority="760" stopIfTrue="1">
      <formula>IF(GE$8="判定対象外",TRUE,FALSE)</formula>
    </cfRule>
  </conditionalFormatting>
  <conditionalFormatting sqref="GG68">
    <cfRule type="expression" dxfId="1016" priority="758" stopIfTrue="1">
      <formula>IF(GG68="-",TRUE,FALSE)</formula>
    </cfRule>
    <cfRule type="expression" dxfId="1015" priority="759" stopIfTrue="1">
      <formula>IF(OR(GG68="OK"),FALSE,TRUE)</formula>
    </cfRule>
  </conditionalFormatting>
  <conditionalFormatting sqref="GF68">
    <cfRule type="expression" dxfId="1014" priority="757" stopIfTrue="1">
      <formula>IF(GE$8="判定対象外",TRUE,FALSE)</formula>
    </cfRule>
  </conditionalFormatting>
  <conditionalFormatting sqref="GE68">
    <cfRule type="expression" dxfId="1013" priority="756" stopIfTrue="1">
      <formula>IF(GE$8="判定対象外",TRUE,FALSE)</formula>
    </cfRule>
  </conditionalFormatting>
  <conditionalFormatting sqref="GL69">
    <cfRule type="expression" dxfId="1012" priority="739" stopIfTrue="1">
      <formula>IF(GM$8="判定対象外",TRUE,FALSE)</formula>
    </cfRule>
  </conditionalFormatting>
  <conditionalFormatting sqref="GL66">
    <cfRule type="expression" dxfId="1011" priority="786" stopIfTrue="1">
      <formula>IF(GM$8="判定対象外",TRUE,FALSE)</formula>
    </cfRule>
  </conditionalFormatting>
  <conditionalFormatting sqref="GD66">
    <cfRule type="expression" dxfId="1010" priority="796" stopIfTrue="1">
      <formula>IF(GE$8="判定対象外",TRUE,FALSE)</formula>
    </cfRule>
  </conditionalFormatting>
  <conditionalFormatting sqref="GG66">
    <cfRule type="expression" dxfId="1009" priority="794" stopIfTrue="1">
      <formula>IF(GG66="-",TRUE,FALSE)</formula>
    </cfRule>
    <cfRule type="expression" dxfId="1008" priority="795" stopIfTrue="1">
      <formula>IF(OR(GG66="OK"),FALSE,TRUE)</formula>
    </cfRule>
  </conditionalFormatting>
  <conditionalFormatting sqref="GF66">
    <cfRule type="expression" dxfId="1007" priority="793" stopIfTrue="1">
      <formula>IF(GE$8="判定対象外",TRUE,FALSE)</formula>
    </cfRule>
  </conditionalFormatting>
  <conditionalFormatting sqref="GE66">
    <cfRule type="expression" dxfId="1006" priority="792" stopIfTrue="1">
      <formula>IF(GE$8="判定対象外",TRUE,FALSE)</formula>
    </cfRule>
  </conditionalFormatting>
  <conditionalFormatting sqref="GL68">
    <cfRule type="expression" dxfId="1005" priority="775" stopIfTrue="1">
      <formula>IF(GM$8="判定対象外",TRUE,FALSE)</formula>
    </cfRule>
  </conditionalFormatting>
  <conditionalFormatting sqref="GL65">
    <cfRule type="expression" dxfId="1004" priority="808" stopIfTrue="1">
      <formula>IF(GM$8="判定対象外",TRUE,FALSE)</formula>
    </cfRule>
  </conditionalFormatting>
  <conditionalFormatting sqref="GD65">
    <cfRule type="expression" dxfId="1003" priority="818" stopIfTrue="1">
      <formula>IF(GE$8="判定対象外",TRUE,FALSE)</formula>
    </cfRule>
  </conditionalFormatting>
  <conditionalFormatting sqref="GG65">
    <cfRule type="expression" dxfId="1002" priority="816" stopIfTrue="1">
      <formula>IF(GG65="-",TRUE,FALSE)</formula>
    </cfRule>
    <cfRule type="expression" dxfId="1001" priority="817" stopIfTrue="1">
      <formula>IF(OR(GG65="OK"),FALSE,TRUE)</formula>
    </cfRule>
  </conditionalFormatting>
  <conditionalFormatting sqref="GF65">
    <cfRule type="expression" dxfId="1000" priority="815" stopIfTrue="1">
      <formula>IF(GE$8="判定対象外",TRUE,FALSE)</formula>
    </cfRule>
  </conditionalFormatting>
  <conditionalFormatting sqref="GE65">
    <cfRule type="expression" dxfId="999" priority="814" stopIfTrue="1">
      <formula>IF(GE$8="判定対象外",TRUE,FALSE)</formula>
    </cfRule>
  </conditionalFormatting>
  <conditionalFormatting sqref="GL67">
    <cfRule type="expression" dxfId="998" priority="797" stopIfTrue="1">
      <formula>IF(GM$8="判定対象外",TRUE,FALSE)</formula>
    </cfRule>
  </conditionalFormatting>
  <conditionalFormatting sqref="GL64">
    <cfRule type="expression" dxfId="997" priority="819" stopIfTrue="1">
      <formula>IF(GM$8="判定対象外",TRUE,FALSE)</formula>
    </cfRule>
  </conditionalFormatting>
  <conditionalFormatting sqref="GD64">
    <cfRule type="expression" dxfId="996" priority="829" stopIfTrue="1">
      <formula>IF(GE$8="判定対象外",TRUE,FALSE)</formula>
    </cfRule>
  </conditionalFormatting>
  <conditionalFormatting sqref="GG64">
    <cfRule type="expression" dxfId="995" priority="827" stopIfTrue="1">
      <formula>IF(GG64="-",TRUE,FALSE)</formula>
    </cfRule>
    <cfRule type="expression" dxfId="994" priority="828" stopIfTrue="1">
      <formula>IF(OR(GG64="OK"),FALSE,TRUE)</formula>
    </cfRule>
  </conditionalFormatting>
  <conditionalFormatting sqref="GF64">
    <cfRule type="expression" dxfId="993" priority="826" stopIfTrue="1">
      <formula>IF(GE$8="判定対象外",TRUE,FALSE)</formula>
    </cfRule>
  </conditionalFormatting>
  <conditionalFormatting sqref="GE64">
    <cfRule type="expression" dxfId="992" priority="825" stopIfTrue="1">
      <formula>IF(GE$8="判定対象外",TRUE,FALSE)</formula>
    </cfRule>
  </conditionalFormatting>
  <conditionalFormatting sqref="GL63">
    <cfRule type="expression" dxfId="991" priority="830" stopIfTrue="1">
      <formula>IF(GM$8="判定対象外",TRUE,FALSE)</formula>
    </cfRule>
  </conditionalFormatting>
  <conditionalFormatting sqref="GD63">
    <cfRule type="expression" dxfId="990" priority="840" stopIfTrue="1">
      <formula>IF(GE$8="判定対象外",TRUE,FALSE)</formula>
    </cfRule>
  </conditionalFormatting>
  <conditionalFormatting sqref="GG63">
    <cfRule type="expression" dxfId="989" priority="838" stopIfTrue="1">
      <formula>IF(GG63="-",TRUE,FALSE)</formula>
    </cfRule>
    <cfRule type="expression" dxfId="988" priority="839" stopIfTrue="1">
      <formula>IF(OR(GG63="OK"),FALSE,TRUE)</formula>
    </cfRule>
  </conditionalFormatting>
  <conditionalFormatting sqref="GF63">
    <cfRule type="expression" dxfId="987" priority="837" stopIfTrue="1">
      <formula>IF(GE$8="判定対象外",TRUE,FALSE)</formula>
    </cfRule>
  </conditionalFormatting>
  <conditionalFormatting sqref="GE63">
    <cfRule type="expression" dxfId="986" priority="836" stopIfTrue="1">
      <formula>IF(GE$8="判定対象外",TRUE,FALSE)</formula>
    </cfRule>
  </conditionalFormatting>
  <conditionalFormatting sqref="GL62">
    <cfRule type="expression" dxfId="985" priority="841" stopIfTrue="1">
      <formula>IF(GM$8="判定対象外",TRUE,FALSE)</formula>
    </cfRule>
  </conditionalFormatting>
  <conditionalFormatting sqref="GD62">
    <cfRule type="expression" dxfId="984" priority="851" stopIfTrue="1">
      <formula>IF(GE$8="判定対象外",TRUE,FALSE)</formula>
    </cfRule>
  </conditionalFormatting>
  <conditionalFormatting sqref="GG62">
    <cfRule type="expression" dxfId="983" priority="849" stopIfTrue="1">
      <formula>IF(GG62="-",TRUE,FALSE)</formula>
    </cfRule>
    <cfRule type="expression" dxfId="982" priority="850" stopIfTrue="1">
      <formula>IF(OR(GG62="OK"),FALSE,TRUE)</formula>
    </cfRule>
  </conditionalFormatting>
  <conditionalFormatting sqref="GF62">
    <cfRule type="expression" dxfId="981" priority="848" stopIfTrue="1">
      <formula>IF(GE$8="判定対象外",TRUE,FALSE)</formula>
    </cfRule>
  </conditionalFormatting>
  <conditionalFormatting sqref="GE62">
    <cfRule type="expression" dxfId="980" priority="847" stopIfTrue="1">
      <formula>IF(GE$8="判定対象外",TRUE,FALSE)</formula>
    </cfRule>
  </conditionalFormatting>
  <conditionalFormatting sqref="GL61">
    <cfRule type="expression" dxfId="979" priority="852" stopIfTrue="1">
      <formula>IF(GM$8="判定対象外",TRUE,FALSE)</formula>
    </cfRule>
  </conditionalFormatting>
  <conditionalFormatting sqref="GD61">
    <cfRule type="expression" dxfId="978" priority="862" stopIfTrue="1">
      <formula>IF(GE$8="判定対象外",TRUE,FALSE)</formula>
    </cfRule>
  </conditionalFormatting>
  <conditionalFormatting sqref="GG61">
    <cfRule type="expression" dxfId="977" priority="860" stopIfTrue="1">
      <formula>IF(GG61="-",TRUE,FALSE)</formula>
    </cfRule>
    <cfRule type="expression" dxfId="976" priority="861" stopIfTrue="1">
      <formula>IF(OR(GG61="OK"),FALSE,TRUE)</formula>
    </cfRule>
  </conditionalFormatting>
  <conditionalFormatting sqref="GF61">
    <cfRule type="expression" dxfId="975" priority="859" stopIfTrue="1">
      <formula>IF(GE$8="判定対象外",TRUE,FALSE)</formula>
    </cfRule>
  </conditionalFormatting>
  <conditionalFormatting sqref="GE61">
    <cfRule type="expression" dxfId="974" priority="858" stopIfTrue="1">
      <formula>IF(GE$8="判定対象外",TRUE,FALSE)</formula>
    </cfRule>
  </conditionalFormatting>
  <conditionalFormatting sqref="GL60">
    <cfRule type="expression" dxfId="973" priority="863" stopIfTrue="1">
      <formula>IF(GM$8="判定対象外",TRUE,FALSE)</formula>
    </cfRule>
  </conditionalFormatting>
  <conditionalFormatting sqref="GL53 GL56 GL68 GL71">
    <cfRule type="expression" dxfId="972" priority="909" stopIfTrue="1">
      <formula>IF(GM$8="判定対象外",TRUE,FALSE)</formula>
    </cfRule>
  </conditionalFormatting>
  <conditionalFormatting sqref="GD60">
    <cfRule type="expression" dxfId="971" priority="873" stopIfTrue="1">
      <formula>IF(GE$8="判定対象外",TRUE,FALSE)</formula>
    </cfRule>
  </conditionalFormatting>
  <conditionalFormatting sqref="GG60">
    <cfRule type="expression" dxfId="970" priority="871" stopIfTrue="1">
      <formula>IF(GG60="-",TRUE,FALSE)</formula>
    </cfRule>
    <cfRule type="expression" dxfId="969" priority="872" stopIfTrue="1">
      <formula>IF(OR(GG60="OK"),FALSE,TRUE)</formula>
    </cfRule>
  </conditionalFormatting>
  <conditionalFormatting sqref="GF60">
    <cfRule type="expression" dxfId="968" priority="870" stopIfTrue="1">
      <formula>IF(GE$8="判定対象外",TRUE,FALSE)</formula>
    </cfRule>
  </conditionalFormatting>
  <conditionalFormatting sqref="GE60">
    <cfRule type="expression" dxfId="967" priority="869" stopIfTrue="1">
      <formula>IF(GE$8="判定対象外",TRUE,FALSE)</formula>
    </cfRule>
  </conditionalFormatting>
  <conditionalFormatting sqref="GL19">
    <cfRule type="expression" dxfId="966" priority="920" stopIfTrue="1">
      <formula>IF(GM$8="判定対象外",TRUE,FALSE)</formula>
    </cfRule>
  </conditionalFormatting>
  <conditionalFormatting sqref="GL59">
    <cfRule type="expression" dxfId="965" priority="874" stopIfTrue="1">
      <formula>IF(GM$8="判定対象外",TRUE,FALSE)</formula>
    </cfRule>
  </conditionalFormatting>
  <conditionalFormatting sqref="GD59">
    <cfRule type="expression" dxfId="964" priority="884" stopIfTrue="1">
      <formula>IF(GE$8="判定対象外",TRUE,FALSE)</formula>
    </cfRule>
  </conditionalFormatting>
  <conditionalFormatting sqref="GG59">
    <cfRule type="expression" dxfId="963" priority="882" stopIfTrue="1">
      <formula>IF(GG59="-",TRUE,FALSE)</formula>
    </cfRule>
    <cfRule type="expression" dxfId="962" priority="883" stopIfTrue="1">
      <formula>IF(OR(GG59="OK"),FALSE,TRUE)</formula>
    </cfRule>
  </conditionalFormatting>
  <conditionalFormatting sqref="GF59">
    <cfRule type="expression" dxfId="961" priority="881" stopIfTrue="1">
      <formula>IF(GE$8="判定対象外",TRUE,FALSE)</formula>
    </cfRule>
  </conditionalFormatting>
  <conditionalFormatting sqref="GE59">
    <cfRule type="expression" dxfId="960" priority="880" stopIfTrue="1">
      <formula>IF(GE$8="判定対象外",TRUE,FALSE)</formula>
    </cfRule>
  </conditionalFormatting>
  <conditionalFormatting sqref="GL16:GL18">
    <cfRule type="expression" dxfId="959" priority="930" stopIfTrue="1">
      <formula>IF(GM$8="判定対象外",TRUE,FALSE)</formula>
    </cfRule>
  </conditionalFormatting>
  <conditionalFormatting sqref="GG8:GG10">
    <cfRule type="expression" dxfId="958" priority="1078" stopIfTrue="1">
      <formula>IF(GG8="-",TRUE,FALSE)</formula>
    </cfRule>
    <cfRule type="expression" dxfId="957" priority="1079" stopIfTrue="1">
      <formula>IF(OR(GG8="OK"),FALSE,TRUE)</formula>
    </cfRule>
  </conditionalFormatting>
  <conditionalFormatting sqref="GD8:GD10">
    <cfRule type="expression" dxfId="956" priority="1077" stopIfTrue="1">
      <formula>IF(GE$8="判定対象外",TRUE,FALSE)</formula>
    </cfRule>
  </conditionalFormatting>
  <conditionalFormatting sqref="GE8:GE10">
    <cfRule type="expression" dxfId="955" priority="1076" stopIfTrue="1">
      <formula>IF(GE$8="判定対象外",TRUE,FALSE)</formula>
    </cfRule>
  </conditionalFormatting>
  <conditionalFormatting sqref="GF8:GF10">
    <cfRule type="expression" dxfId="954" priority="1075" stopIfTrue="1">
      <formula>IF(GE$8="判定対象外",TRUE,FALSE)</formula>
    </cfRule>
  </conditionalFormatting>
  <conditionalFormatting sqref="GG11:GG56 GG71:GG81">
    <cfRule type="expression" dxfId="953" priority="1072" stopIfTrue="1">
      <formula>IF(GG11="-",TRUE,FALSE)</formula>
    </cfRule>
    <cfRule type="expression" dxfId="952" priority="1073" stopIfTrue="1">
      <formula>IF(OR(GG11="OK"),FALSE,TRUE)</formula>
    </cfRule>
  </conditionalFormatting>
  <conditionalFormatting sqref="GF11:GF56 GF71:GF81">
    <cfRule type="expression" dxfId="951" priority="1071" stopIfTrue="1">
      <formula>IF(GE$8="判定対象外",TRUE,FALSE)</formula>
    </cfRule>
  </conditionalFormatting>
  <conditionalFormatting sqref="GD72:GD81 GD21:GD46">
    <cfRule type="expression" dxfId="950" priority="1070" stopIfTrue="1">
      <formula>IF(GE$8="判定対象外",TRUE,FALSE)</formula>
    </cfRule>
  </conditionalFormatting>
  <conditionalFormatting sqref="GD29:GD32">
    <cfRule type="expression" dxfId="949" priority="1069" stopIfTrue="1">
      <formula>IF(GE$8="判定対象外",TRUE,FALSE)</formula>
    </cfRule>
  </conditionalFormatting>
  <conditionalFormatting sqref="GD42:GD44">
    <cfRule type="expression" dxfId="948" priority="1068" stopIfTrue="1">
      <formula>IF(GE$8="判定対象外",TRUE,FALSE)</formula>
    </cfRule>
  </conditionalFormatting>
  <conditionalFormatting sqref="GD46">
    <cfRule type="expression" dxfId="947" priority="1067" stopIfTrue="1">
      <formula>IF(GE$8="判定対象外",TRUE,FALSE)</formula>
    </cfRule>
  </conditionalFormatting>
  <conditionalFormatting sqref="GD42:GD44">
    <cfRule type="expression" dxfId="946" priority="1066" stopIfTrue="1">
      <formula>IF(GE$8="判定対象外",TRUE,FALSE)</formula>
    </cfRule>
  </conditionalFormatting>
  <conditionalFormatting sqref="GD42:GD44">
    <cfRule type="expression" dxfId="945" priority="1065" stopIfTrue="1">
      <formula>IF(GE$8="判定対象外",TRUE,FALSE)</formula>
    </cfRule>
  </conditionalFormatting>
  <conditionalFormatting sqref="GD42:GD44">
    <cfRule type="expression" dxfId="944" priority="1064" stopIfTrue="1">
      <formula>IF(GE$8="判定対象外",TRUE,FALSE)</formula>
    </cfRule>
  </conditionalFormatting>
  <conditionalFormatting sqref="GD42:GD44">
    <cfRule type="expression" dxfId="943" priority="1063" stopIfTrue="1">
      <formula>IF(GE$8="判定対象外",TRUE,FALSE)</formula>
    </cfRule>
  </conditionalFormatting>
  <conditionalFormatting sqref="GD42:GD44">
    <cfRule type="expression" dxfId="942" priority="1062" stopIfTrue="1">
      <formula>IF(GE$8="判定対象外",TRUE,FALSE)</formula>
    </cfRule>
  </conditionalFormatting>
  <conditionalFormatting sqref="GD42:GD44">
    <cfRule type="expression" dxfId="941" priority="1061" stopIfTrue="1">
      <formula>IF(GE$8="判定対象外",TRUE,FALSE)</formula>
    </cfRule>
  </conditionalFormatting>
  <conditionalFormatting sqref="GD42:GD44">
    <cfRule type="expression" dxfId="940" priority="1060" stopIfTrue="1">
      <formula>IF(GE$8="判定対象外",TRUE,FALSE)</formula>
    </cfRule>
  </conditionalFormatting>
  <conditionalFormatting sqref="GD38">
    <cfRule type="expression" dxfId="939" priority="1074" stopIfTrue="1">
      <formula>IF(#REF!="判定対象外",TRUE,FALSE)</formula>
    </cfRule>
  </conditionalFormatting>
  <conditionalFormatting sqref="GE11:GE56 GE71:GE81">
    <cfRule type="expression" dxfId="938" priority="1059" stopIfTrue="1">
      <formula>IF(GE$8="判定対象外",TRUE,FALSE)</formula>
    </cfRule>
  </conditionalFormatting>
  <conditionalFormatting sqref="GD48">
    <cfRule type="expression" dxfId="937" priority="1058" stopIfTrue="1">
      <formula>IF(GE$8="判定対象外",TRUE,FALSE)</formula>
    </cfRule>
  </conditionalFormatting>
  <conditionalFormatting sqref="GD51">
    <cfRule type="expression" dxfId="936" priority="1057" stopIfTrue="1">
      <formula>IF(GE$8="判定対象外",TRUE,FALSE)</formula>
    </cfRule>
  </conditionalFormatting>
  <conditionalFormatting sqref="GD52 GD55 GD70">
    <cfRule type="expression" dxfId="935" priority="1056" stopIfTrue="1">
      <formula>IF(GE$8="判定対象外",TRUE,FALSE)</formula>
    </cfRule>
  </conditionalFormatting>
  <conditionalFormatting sqref="GD11:GD20">
    <cfRule type="expression" dxfId="934" priority="1055" stopIfTrue="1">
      <formula>IF(GE$8="判定対象外",TRUE,FALSE)</formula>
    </cfRule>
  </conditionalFormatting>
  <conditionalFormatting sqref="GD16:GD18">
    <cfRule type="expression" dxfId="933" priority="1054" stopIfTrue="1">
      <formula>IF(GE$8="判定対象外",TRUE,FALSE)</formula>
    </cfRule>
  </conditionalFormatting>
  <conditionalFormatting sqref="GD20">
    <cfRule type="expression" dxfId="932" priority="1053" stopIfTrue="1">
      <formula>IF(GE$8="判定対象外",TRUE,FALSE)</formula>
    </cfRule>
  </conditionalFormatting>
  <conditionalFormatting sqref="GD16:GD20">
    <cfRule type="expression" dxfId="931" priority="1052" stopIfTrue="1">
      <formula>IF(GE$8="判定対象外",TRUE,FALSE)</formula>
    </cfRule>
  </conditionalFormatting>
  <conditionalFormatting sqref="GD11:GD20">
    <cfRule type="expression" dxfId="930" priority="1051" stopIfTrue="1">
      <formula>IF(GE$8="判定対象外",TRUE,FALSE)</formula>
    </cfRule>
  </conditionalFormatting>
  <conditionalFormatting sqref="GD16:GD18">
    <cfRule type="expression" dxfId="929" priority="1050" stopIfTrue="1">
      <formula>IF(GE$8="判定対象外",TRUE,FALSE)</formula>
    </cfRule>
  </conditionalFormatting>
  <conditionalFormatting sqref="GD20">
    <cfRule type="expression" dxfId="928" priority="1049" stopIfTrue="1">
      <formula>IF(GE$8="判定対象外",TRUE,FALSE)</formula>
    </cfRule>
  </conditionalFormatting>
  <conditionalFormatting sqref="GD16:GD20">
    <cfRule type="expression" dxfId="927" priority="1048" stopIfTrue="1">
      <formula>IF(GE$8="判定対象外",TRUE,FALSE)</formula>
    </cfRule>
  </conditionalFormatting>
  <conditionalFormatting sqref="GD11:GD20">
    <cfRule type="expression" dxfId="926" priority="1047" stopIfTrue="1">
      <formula>IF(GE$8="判定対象外",TRUE,FALSE)</formula>
    </cfRule>
  </conditionalFormatting>
  <conditionalFormatting sqref="GD16:GD18">
    <cfRule type="expression" dxfId="925" priority="1046" stopIfTrue="1">
      <formula>IF(GE$8="判定対象外",TRUE,FALSE)</formula>
    </cfRule>
  </conditionalFormatting>
  <conditionalFormatting sqref="GD20">
    <cfRule type="expression" dxfId="924" priority="1045" stopIfTrue="1">
      <formula>IF(GE$8="判定対象外",TRUE,FALSE)</formula>
    </cfRule>
  </conditionalFormatting>
  <conditionalFormatting sqref="GD16:GD20">
    <cfRule type="expression" dxfId="923" priority="1044" stopIfTrue="1">
      <formula>IF(GE$8="判定対象外",TRUE,FALSE)</formula>
    </cfRule>
  </conditionalFormatting>
  <conditionalFormatting sqref="GD11:GD13">
    <cfRule type="expression" dxfId="922" priority="1043" stopIfTrue="1">
      <formula>IF(GE$8="判定対象外",TRUE,FALSE)</formula>
    </cfRule>
  </conditionalFormatting>
  <conditionalFormatting sqref="GD15">
    <cfRule type="expression" dxfId="921" priority="1042" stopIfTrue="1">
      <formula>IF(GE$8="判定対象外",TRUE,FALSE)</formula>
    </cfRule>
  </conditionalFormatting>
  <conditionalFormatting sqref="GD19">
    <cfRule type="expression" dxfId="920" priority="1041" stopIfTrue="1">
      <formula>IF(GE$8="判定対象外",TRUE,FALSE)</formula>
    </cfRule>
  </conditionalFormatting>
  <conditionalFormatting sqref="GD19">
    <cfRule type="expression" dxfId="919" priority="1040" stopIfTrue="1">
      <formula>IF(GE$8="判定対象外",TRUE,FALSE)</formula>
    </cfRule>
  </conditionalFormatting>
  <conditionalFormatting sqref="GD20">
    <cfRule type="expression" dxfId="918" priority="1039" stopIfTrue="1">
      <formula>IF(GE$8="判定対象外",TRUE,FALSE)</formula>
    </cfRule>
  </conditionalFormatting>
  <conditionalFormatting sqref="GD20">
    <cfRule type="expression" dxfId="917" priority="1038" stopIfTrue="1">
      <formula>IF(GE$8="判定対象外",TRUE,FALSE)</formula>
    </cfRule>
  </conditionalFormatting>
  <conditionalFormatting sqref="GD20">
    <cfRule type="expression" dxfId="916" priority="1037" stopIfTrue="1">
      <formula>IF(GE$8="判定対象外",TRUE,FALSE)</formula>
    </cfRule>
  </conditionalFormatting>
  <conditionalFormatting sqref="GD13">
    <cfRule type="expression" dxfId="915" priority="1036" stopIfTrue="1">
      <formula>IF(GE$8="判定対象外",TRUE,FALSE)</formula>
    </cfRule>
  </conditionalFormatting>
  <conditionalFormatting sqref="GD47">
    <cfRule type="expression" dxfId="914" priority="1035" stopIfTrue="1">
      <formula>IF(GE$8="判定対象外",TRUE,FALSE)</formula>
    </cfRule>
  </conditionalFormatting>
  <conditionalFormatting sqref="GD47">
    <cfRule type="expression" dxfId="913" priority="1034" stopIfTrue="1">
      <formula>IF(GE$8="判定対象外",TRUE,FALSE)</formula>
    </cfRule>
  </conditionalFormatting>
  <conditionalFormatting sqref="GD49">
    <cfRule type="expression" dxfId="912" priority="1033" stopIfTrue="1">
      <formula>IF(GE$8="判定対象外",TRUE,FALSE)</formula>
    </cfRule>
  </conditionalFormatting>
  <conditionalFormatting sqref="GD49">
    <cfRule type="expression" dxfId="911" priority="1032" stopIfTrue="1">
      <formula>IF(GE$8="判定対象外",TRUE,FALSE)</formula>
    </cfRule>
  </conditionalFormatting>
  <conditionalFormatting sqref="GD50">
    <cfRule type="expression" dxfId="910" priority="1031" stopIfTrue="1">
      <formula>IF(GE$8="判定対象外",TRUE,FALSE)</formula>
    </cfRule>
  </conditionalFormatting>
  <conditionalFormatting sqref="GD50">
    <cfRule type="expression" dxfId="909" priority="1030" stopIfTrue="1">
      <formula>IF(GE$8="判定対象外",TRUE,FALSE)</formula>
    </cfRule>
  </conditionalFormatting>
  <conditionalFormatting sqref="GD53 GD56 GD68 GD71">
    <cfRule type="expression" dxfId="908" priority="1029" stopIfTrue="1">
      <formula>IF(GE$8="判定対象外",TRUE,FALSE)</formula>
    </cfRule>
  </conditionalFormatting>
  <conditionalFormatting sqref="GD54 GD57 GD69">
    <cfRule type="expression" dxfId="907" priority="1028" stopIfTrue="1">
      <formula>IF(GE$8="判定対象外",TRUE,FALSE)</formula>
    </cfRule>
  </conditionalFormatting>
  <conditionalFormatting sqref="GG57">
    <cfRule type="expression" dxfId="906" priority="1026" stopIfTrue="1">
      <formula>IF(GG57="-",TRUE,FALSE)</formula>
    </cfRule>
    <cfRule type="expression" dxfId="905" priority="1027" stopIfTrue="1">
      <formula>IF(OR(GG57="OK"),FALSE,TRUE)</formula>
    </cfRule>
  </conditionalFormatting>
  <conditionalFormatting sqref="GF57">
    <cfRule type="expression" dxfId="904" priority="1025" stopIfTrue="1">
      <formula>IF(GE$8="判定対象外",TRUE,FALSE)</formula>
    </cfRule>
  </conditionalFormatting>
  <conditionalFormatting sqref="GE57">
    <cfRule type="expression" dxfId="903" priority="1024" stopIfTrue="1">
      <formula>IF(GE$8="判定対象外",TRUE,FALSE)</formula>
    </cfRule>
  </conditionalFormatting>
  <conditionalFormatting sqref="GG68:GG71">
    <cfRule type="expression" dxfId="902" priority="1022" stopIfTrue="1">
      <formula>IF(GG68="-",TRUE,FALSE)</formula>
    </cfRule>
    <cfRule type="expression" dxfId="901" priority="1023" stopIfTrue="1">
      <formula>IF(OR(GG68="OK"),FALSE,TRUE)</formula>
    </cfRule>
  </conditionalFormatting>
  <conditionalFormatting sqref="GF68:GF71">
    <cfRule type="expression" dxfId="900" priority="1021" stopIfTrue="1">
      <formula>IF(GE$8="判定対象外",TRUE,FALSE)</formula>
    </cfRule>
  </conditionalFormatting>
  <conditionalFormatting sqref="GE68:GE71">
    <cfRule type="expression" dxfId="899" priority="1020" stopIfTrue="1">
      <formula>IF(GE$8="判定対象外",TRUE,FALSE)</formula>
    </cfRule>
  </conditionalFormatting>
  <conditionalFormatting sqref="GK8:GK10">
    <cfRule type="expression" dxfId="898" priority="1018" stopIfTrue="1">
      <formula>IF(GK8="-",TRUE,FALSE)</formula>
    </cfRule>
    <cfRule type="expression" dxfId="897" priority="1019" stopIfTrue="1">
      <formula>IF(OR(GK8="OK"),FALSE,TRUE)</formula>
    </cfRule>
  </conditionalFormatting>
  <conditionalFormatting sqref="GH8:GH10">
    <cfRule type="expression" dxfId="896" priority="1017" stopIfTrue="1">
      <formula>IF(GI$8="判定対象外",TRUE,FALSE)</formula>
    </cfRule>
  </conditionalFormatting>
  <conditionalFormatting sqref="GI8:GI10">
    <cfRule type="expression" dxfId="895" priority="1016" stopIfTrue="1">
      <formula>IF(GI$8="判定対象外",TRUE,FALSE)</formula>
    </cfRule>
  </conditionalFormatting>
  <conditionalFormatting sqref="GJ8:GJ10">
    <cfRule type="expression" dxfId="894" priority="1015" stopIfTrue="1">
      <formula>IF(GI$8="判定対象外",TRUE,FALSE)</formula>
    </cfRule>
  </conditionalFormatting>
  <conditionalFormatting sqref="GK11:GK56 GK71:GK81">
    <cfRule type="expression" dxfId="893" priority="1012" stopIfTrue="1">
      <formula>IF(GK11="-",TRUE,FALSE)</formula>
    </cfRule>
    <cfRule type="expression" dxfId="892" priority="1013" stopIfTrue="1">
      <formula>IF(OR(GK11="OK"),FALSE,TRUE)</formula>
    </cfRule>
  </conditionalFormatting>
  <conditionalFormatting sqref="GJ11:GJ56 GJ71:GJ81">
    <cfRule type="expression" dxfId="891" priority="1011" stopIfTrue="1">
      <formula>IF(GI$8="判定対象外",TRUE,FALSE)</formula>
    </cfRule>
  </conditionalFormatting>
  <conditionalFormatting sqref="GH72:GH81 GH21:GH46">
    <cfRule type="expression" dxfId="890" priority="1010" stopIfTrue="1">
      <formula>IF(GI$8="判定対象外",TRUE,FALSE)</formula>
    </cfRule>
  </conditionalFormatting>
  <conditionalFormatting sqref="GH29:GH32">
    <cfRule type="expression" dxfId="889" priority="1009" stopIfTrue="1">
      <formula>IF(GI$8="判定対象外",TRUE,FALSE)</formula>
    </cfRule>
  </conditionalFormatting>
  <conditionalFormatting sqref="GH42:GH44">
    <cfRule type="expression" dxfId="888" priority="1008" stopIfTrue="1">
      <formula>IF(GI$8="判定対象外",TRUE,FALSE)</formula>
    </cfRule>
  </conditionalFormatting>
  <conditionalFormatting sqref="GH46">
    <cfRule type="expression" dxfId="887" priority="1007" stopIfTrue="1">
      <formula>IF(GI$8="判定対象外",TRUE,FALSE)</formula>
    </cfRule>
  </conditionalFormatting>
  <conditionalFormatting sqref="GH42:GH44">
    <cfRule type="expression" dxfId="886" priority="1006" stopIfTrue="1">
      <formula>IF(GI$8="判定対象外",TRUE,FALSE)</formula>
    </cfRule>
  </conditionalFormatting>
  <conditionalFormatting sqref="GH42:GH44">
    <cfRule type="expression" dxfId="885" priority="1005" stopIfTrue="1">
      <formula>IF(GI$8="判定対象外",TRUE,FALSE)</formula>
    </cfRule>
  </conditionalFormatting>
  <conditionalFormatting sqref="GH42:GH44">
    <cfRule type="expression" dxfId="884" priority="1004" stopIfTrue="1">
      <formula>IF(GI$8="判定対象外",TRUE,FALSE)</formula>
    </cfRule>
  </conditionalFormatting>
  <conditionalFormatting sqref="GH42:GH44">
    <cfRule type="expression" dxfId="883" priority="1003" stopIfTrue="1">
      <formula>IF(GI$8="判定対象外",TRUE,FALSE)</formula>
    </cfRule>
  </conditionalFormatting>
  <conditionalFormatting sqref="GH42:GH44">
    <cfRule type="expression" dxfId="882" priority="1002" stopIfTrue="1">
      <formula>IF(GI$8="判定対象外",TRUE,FALSE)</formula>
    </cfRule>
  </conditionalFormatting>
  <conditionalFormatting sqref="GH42:GH44">
    <cfRule type="expression" dxfId="881" priority="1001" stopIfTrue="1">
      <formula>IF(GI$8="判定対象外",TRUE,FALSE)</formula>
    </cfRule>
  </conditionalFormatting>
  <conditionalFormatting sqref="GH42:GH44">
    <cfRule type="expression" dxfId="880" priority="1000" stopIfTrue="1">
      <formula>IF(GI$8="判定対象外",TRUE,FALSE)</formula>
    </cfRule>
  </conditionalFormatting>
  <conditionalFormatting sqref="GH38">
    <cfRule type="expression" dxfId="879" priority="1014" stopIfTrue="1">
      <formula>IF(#REF!="判定対象外",TRUE,FALSE)</formula>
    </cfRule>
  </conditionalFormatting>
  <conditionalFormatting sqref="GI11:GI56 GI71:GI81">
    <cfRule type="expression" dxfId="878" priority="999" stopIfTrue="1">
      <formula>IF(GI$8="判定対象外",TRUE,FALSE)</formula>
    </cfRule>
  </conditionalFormatting>
  <conditionalFormatting sqref="GH48">
    <cfRule type="expression" dxfId="877" priority="998" stopIfTrue="1">
      <formula>IF(GI$8="判定対象外",TRUE,FALSE)</formula>
    </cfRule>
  </conditionalFormatting>
  <conditionalFormatting sqref="GH51">
    <cfRule type="expression" dxfId="876" priority="997" stopIfTrue="1">
      <formula>IF(GI$8="判定対象外",TRUE,FALSE)</formula>
    </cfRule>
  </conditionalFormatting>
  <conditionalFormatting sqref="GH52 GH55 GH70">
    <cfRule type="expression" dxfId="875" priority="996" stopIfTrue="1">
      <formula>IF(GI$8="判定対象外",TRUE,FALSE)</formula>
    </cfRule>
  </conditionalFormatting>
  <conditionalFormatting sqref="GH11:GH20">
    <cfRule type="expression" dxfId="874" priority="995" stopIfTrue="1">
      <formula>IF(GI$8="判定対象外",TRUE,FALSE)</formula>
    </cfRule>
  </conditionalFormatting>
  <conditionalFormatting sqref="GH16:GH18">
    <cfRule type="expression" dxfId="873" priority="994" stopIfTrue="1">
      <formula>IF(GI$8="判定対象外",TRUE,FALSE)</formula>
    </cfRule>
  </conditionalFormatting>
  <conditionalFormatting sqref="GH20">
    <cfRule type="expression" dxfId="872" priority="993" stopIfTrue="1">
      <formula>IF(GI$8="判定対象外",TRUE,FALSE)</formula>
    </cfRule>
  </conditionalFormatting>
  <conditionalFormatting sqref="GH16:GH20">
    <cfRule type="expression" dxfId="871" priority="992" stopIfTrue="1">
      <formula>IF(GI$8="判定対象外",TRUE,FALSE)</formula>
    </cfRule>
  </conditionalFormatting>
  <conditionalFormatting sqref="GH11:GH20">
    <cfRule type="expression" dxfId="870" priority="991" stopIfTrue="1">
      <formula>IF(GI$8="判定対象外",TRUE,FALSE)</formula>
    </cfRule>
  </conditionalFormatting>
  <conditionalFormatting sqref="GH16:GH18">
    <cfRule type="expression" dxfId="869" priority="990" stopIfTrue="1">
      <formula>IF(GI$8="判定対象外",TRUE,FALSE)</formula>
    </cfRule>
  </conditionalFormatting>
  <conditionalFormatting sqref="GH20">
    <cfRule type="expression" dxfId="868" priority="989" stopIfTrue="1">
      <formula>IF(GI$8="判定対象外",TRUE,FALSE)</formula>
    </cfRule>
  </conditionalFormatting>
  <conditionalFormatting sqref="GH16:GH20">
    <cfRule type="expression" dxfId="867" priority="988" stopIfTrue="1">
      <formula>IF(GI$8="判定対象外",TRUE,FALSE)</formula>
    </cfRule>
  </conditionalFormatting>
  <conditionalFormatting sqref="GH11:GH20">
    <cfRule type="expression" dxfId="866" priority="987" stopIfTrue="1">
      <formula>IF(GI$8="判定対象外",TRUE,FALSE)</formula>
    </cfRule>
  </conditionalFormatting>
  <conditionalFormatting sqref="GH16:GH18">
    <cfRule type="expression" dxfId="865" priority="986" stopIfTrue="1">
      <formula>IF(GI$8="判定対象外",TRUE,FALSE)</formula>
    </cfRule>
  </conditionalFormatting>
  <conditionalFormatting sqref="GH20">
    <cfRule type="expression" dxfId="864" priority="985" stopIfTrue="1">
      <formula>IF(GI$8="判定対象外",TRUE,FALSE)</formula>
    </cfRule>
  </conditionalFormatting>
  <conditionalFormatting sqref="GH16:GH20">
    <cfRule type="expression" dxfId="863" priority="984" stopIfTrue="1">
      <formula>IF(GI$8="判定対象外",TRUE,FALSE)</formula>
    </cfRule>
  </conditionalFormatting>
  <conditionalFormatting sqref="GH11:GH13">
    <cfRule type="expression" dxfId="862" priority="983" stopIfTrue="1">
      <formula>IF(GI$8="判定対象外",TRUE,FALSE)</formula>
    </cfRule>
  </conditionalFormatting>
  <conditionalFormatting sqref="GH15">
    <cfRule type="expression" dxfId="861" priority="982" stopIfTrue="1">
      <formula>IF(GI$8="判定対象外",TRUE,FALSE)</formula>
    </cfRule>
  </conditionalFormatting>
  <conditionalFormatting sqref="GH19">
    <cfRule type="expression" dxfId="860" priority="981" stopIfTrue="1">
      <formula>IF(GI$8="判定対象外",TRUE,FALSE)</formula>
    </cfRule>
  </conditionalFormatting>
  <conditionalFormatting sqref="GH19">
    <cfRule type="expression" dxfId="859" priority="980" stopIfTrue="1">
      <formula>IF(GI$8="判定対象外",TRUE,FALSE)</formula>
    </cfRule>
  </conditionalFormatting>
  <conditionalFormatting sqref="GH20">
    <cfRule type="expression" dxfId="858" priority="979" stopIfTrue="1">
      <formula>IF(GI$8="判定対象外",TRUE,FALSE)</formula>
    </cfRule>
  </conditionalFormatting>
  <conditionalFormatting sqref="GH20">
    <cfRule type="expression" dxfId="857" priority="978" stopIfTrue="1">
      <formula>IF(GI$8="判定対象外",TRUE,FALSE)</formula>
    </cfRule>
  </conditionalFormatting>
  <conditionalFormatting sqref="GH20">
    <cfRule type="expression" dxfId="856" priority="977" stopIfTrue="1">
      <formula>IF(GI$8="判定対象外",TRUE,FALSE)</formula>
    </cfRule>
  </conditionalFormatting>
  <conditionalFormatting sqref="GH13">
    <cfRule type="expression" dxfId="855" priority="976" stopIfTrue="1">
      <formula>IF(GI$8="判定対象外",TRUE,FALSE)</formula>
    </cfRule>
  </conditionalFormatting>
  <conditionalFormatting sqref="GH47">
    <cfRule type="expression" dxfId="854" priority="975" stopIfTrue="1">
      <formula>IF(GI$8="判定対象外",TRUE,FALSE)</formula>
    </cfRule>
  </conditionalFormatting>
  <conditionalFormatting sqref="GH47">
    <cfRule type="expression" dxfId="853" priority="974" stopIfTrue="1">
      <formula>IF(GI$8="判定対象外",TRUE,FALSE)</formula>
    </cfRule>
  </conditionalFormatting>
  <conditionalFormatting sqref="GH49">
    <cfRule type="expression" dxfId="852" priority="973" stopIfTrue="1">
      <formula>IF(GI$8="判定対象外",TRUE,FALSE)</formula>
    </cfRule>
  </conditionalFormatting>
  <conditionalFormatting sqref="GH49">
    <cfRule type="expression" dxfId="851" priority="972" stopIfTrue="1">
      <formula>IF(GI$8="判定対象外",TRUE,FALSE)</formula>
    </cfRule>
  </conditionalFormatting>
  <conditionalFormatting sqref="GH50">
    <cfRule type="expression" dxfId="850" priority="971" stopIfTrue="1">
      <formula>IF(GI$8="判定対象外",TRUE,FALSE)</formula>
    </cfRule>
  </conditionalFormatting>
  <conditionalFormatting sqref="GH50">
    <cfRule type="expression" dxfId="849" priority="970" stopIfTrue="1">
      <formula>IF(GI$8="判定対象外",TRUE,FALSE)</formula>
    </cfRule>
  </conditionalFormatting>
  <conditionalFormatting sqref="GH53 GH56 GH68">
    <cfRule type="expression" dxfId="848" priority="969" stopIfTrue="1">
      <formula>IF(GI$8="判定対象外",TRUE,FALSE)</formula>
    </cfRule>
  </conditionalFormatting>
  <conditionalFormatting sqref="GH54 GH57 GH69">
    <cfRule type="expression" dxfId="847" priority="968" stopIfTrue="1">
      <formula>IF(GI$8="判定対象外",TRUE,FALSE)</formula>
    </cfRule>
  </conditionalFormatting>
  <conditionalFormatting sqref="GK57">
    <cfRule type="expression" dxfId="846" priority="966" stopIfTrue="1">
      <formula>IF(GK57="-",TRUE,FALSE)</formula>
    </cfRule>
    <cfRule type="expression" dxfId="845" priority="967" stopIfTrue="1">
      <formula>IF(OR(GK57="OK"),FALSE,TRUE)</formula>
    </cfRule>
  </conditionalFormatting>
  <conditionalFormatting sqref="GJ57">
    <cfRule type="expression" dxfId="844" priority="965" stopIfTrue="1">
      <formula>IF(GI$8="判定対象外",TRUE,FALSE)</formula>
    </cfRule>
  </conditionalFormatting>
  <conditionalFormatting sqref="GI57">
    <cfRule type="expression" dxfId="843" priority="964" stopIfTrue="1">
      <formula>IF(GI$8="判定対象外",TRUE,FALSE)</formula>
    </cfRule>
  </conditionalFormatting>
  <conditionalFormatting sqref="GK68:GK71">
    <cfRule type="expression" dxfId="842" priority="962" stopIfTrue="1">
      <formula>IF(GK68="-",TRUE,FALSE)</formula>
    </cfRule>
    <cfRule type="expression" dxfId="841" priority="963" stopIfTrue="1">
      <formula>IF(OR(GK68="OK"),FALSE,TRUE)</formula>
    </cfRule>
  </conditionalFormatting>
  <conditionalFormatting sqref="GJ68:GJ71">
    <cfRule type="expression" dxfId="840" priority="961" stopIfTrue="1">
      <formula>IF(GI$8="判定対象外",TRUE,FALSE)</formula>
    </cfRule>
  </conditionalFormatting>
  <conditionalFormatting sqref="GI68:GI71">
    <cfRule type="expression" dxfId="839" priority="960" stopIfTrue="1">
      <formula>IF(GI$8="判定対象外",TRUE,FALSE)</formula>
    </cfRule>
  </conditionalFormatting>
  <conditionalFormatting sqref="GL29:GL32">
    <cfRule type="expression" dxfId="838" priority="949" stopIfTrue="1">
      <formula>IF(GM$8="判定対象外",TRUE,FALSE)</formula>
    </cfRule>
  </conditionalFormatting>
  <conditionalFormatting sqref="GO8:GO10">
    <cfRule type="expression" dxfId="837" priority="958" stopIfTrue="1">
      <formula>IF(GO8="-",TRUE,FALSE)</formula>
    </cfRule>
    <cfRule type="expression" dxfId="836" priority="959" stopIfTrue="1">
      <formula>IF(OR(GO8="OK"),FALSE,TRUE)</formula>
    </cfRule>
  </conditionalFormatting>
  <conditionalFormatting sqref="GL8:GL10">
    <cfRule type="expression" dxfId="835" priority="957" stopIfTrue="1">
      <formula>IF(GM$8="判定対象外",TRUE,FALSE)</formula>
    </cfRule>
  </conditionalFormatting>
  <conditionalFormatting sqref="GM8:GM10">
    <cfRule type="expression" dxfId="834" priority="956" stopIfTrue="1">
      <formula>IF(GM$8="判定対象外",TRUE,FALSE)</formula>
    </cfRule>
  </conditionalFormatting>
  <conditionalFormatting sqref="GN8:GN10">
    <cfRule type="expression" dxfId="833" priority="955" stopIfTrue="1">
      <formula>IF(GM$8="判定対象外",TRUE,FALSE)</formula>
    </cfRule>
  </conditionalFormatting>
  <conditionalFormatting sqref="GO11:GO56 GO71:GO81">
    <cfRule type="expression" dxfId="832" priority="952" stopIfTrue="1">
      <formula>IF(GO11="-",TRUE,FALSE)</formula>
    </cfRule>
    <cfRule type="expression" dxfId="831" priority="953" stopIfTrue="1">
      <formula>IF(OR(GO11="OK"),FALSE,TRUE)</formula>
    </cfRule>
  </conditionalFormatting>
  <conditionalFormatting sqref="GN11:GN56 GN71:GN81">
    <cfRule type="expression" dxfId="830" priority="951" stopIfTrue="1">
      <formula>IF(GM$8="判定対象外",TRUE,FALSE)</formula>
    </cfRule>
  </conditionalFormatting>
  <conditionalFormatting sqref="GL72:GL81 GL21:GL46">
    <cfRule type="expression" dxfId="829" priority="950" stopIfTrue="1">
      <formula>IF(GM$8="判定対象外",TRUE,FALSE)</formula>
    </cfRule>
  </conditionalFormatting>
  <conditionalFormatting sqref="GL42:GL44">
    <cfRule type="expression" dxfId="828" priority="948" stopIfTrue="1">
      <formula>IF(GM$8="判定対象外",TRUE,FALSE)</formula>
    </cfRule>
  </conditionalFormatting>
  <conditionalFormatting sqref="GL46">
    <cfRule type="expression" dxfId="827" priority="947" stopIfTrue="1">
      <formula>IF(GM$8="判定対象外",TRUE,FALSE)</formula>
    </cfRule>
  </conditionalFormatting>
  <conditionalFormatting sqref="GL42:GL44">
    <cfRule type="expression" dxfId="826" priority="946" stopIfTrue="1">
      <formula>IF(GM$8="判定対象外",TRUE,FALSE)</formula>
    </cfRule>
  </conditionalFormatting>
  <conditionalFormatting sqref="GL42:GL44">
    <cfRule type="expression" dxfId="825" priority="945" stopIfTrue="1">
      <formula>IF(GM$8="判定対象外",TRUE,FALSE)</formula>
    </cfRule>
  </conditionalFormatting>
  <conditionalFormatting sqref="GL42:GL44">
    <cfRule type="expression" dxfId="824" priority="944" stopIfTrue="1">
      <formula>IF(GM$8="判定対象外",TRUE,FALSE)</formula>
    </cfRule>
  </conditionalFormatting>
  <conditionalFormatting sqref="GL42:GL44">
    <cfRule type="expression" dxfId="823" priority="943" stopIfTrue="1">
      <formula>IF(GM$8="判定対象外",TRUE,FALSE)</formula>
    </cfRule>
  </conditionalFormatting>
  <conditionalFormatting sqref="GL42:GL44">
    <cfRule type="expression" dxfId="822" priority="942" stopIfTrue="1">
      <formula>IF(GM$8="判定対象外",TRUE,FALSE)</formula>
    </cfRule>
  </conditionalFormatting>
  <conditionalFormatting sqref="GL42:GL44">
    <cfRule type="expression" dxfId="821" priority="941" stopIfTrue="1">
      <formula>IF(GM$8="判定対象外",TRUE,FALSE)</formula>
    </cfRule>
  </conditionalFormatting>
  <conditionalFormatting sqref="GL42:GL44">
    <cfRule type="expression" dxfId="820" priority="940" stopIfTrue="1">
      <formula>IF(GM$8="判定対象外",TRUE,FALSE)</formula>
    </cfRule>
  </conditionalFormatting>
  <conditionalFormatting sqref="GL38">
    <cfRule type="expression" dxfId="819" priority="954" stopIfTrue="1">
      <formula>IF(#REF!="判定対象外",TRUE,FALSE)</formula>
    </cfRule>
  </conditionalFormatting>
  <conditionalFormatting sqref="GM11:GM56 GM71:GM81">
    <cfRule type="expression" dxfId="818" priority="939" stopIfTrue="1">
      <formula>IF(GM$8="判定対象外",TRUE,FALSE)</formula>
    </cfRule>
  </conditionalFormatting>
  <conditionalFormatting sqref="GL48">
    <cfRule type="expression" dxfId="817" priority="938" stopIfTrue="1">
      <formula>IF(GM$8="判定対象外",TRUE,FALSE)</formula>
    </cfRule>
  </conditionalFormatting>
  <conditionalFormatting sqref="GL51">
    <cfRule type="expression" dxfId="816" priority="937" stopIfTrue="1">
      <formula>IF(GM$8="判定対象外",TRUE,FALSE)</formula>
    </cfRule>
  </conditionalFormatting>
  <conditionalFormatting sqref="GL52 GL55 GL70">
    <cfRule type="expression" dxfId="815" priority="936" stopIfTrue="1">
      <formula>IF(GM$8="判定対象外",TRUE,FALSE)</formula>
    </cfRule>
  </conditionalFormatting>
  <conditionalFormatting sqref="GL11:GL20">
    <cfRule type="expression" dxfId="814" priority="935" stopIfTrue="1">
      <formula>IF(GM$8="判定対象外",TRUE,FALSE)</formula>
    </cfRule>
  </conditionalFormatting>
  <conditionalFormatting sqref="GL16:GL18">
    <cfRule type="expression" dxfId="813" priority="934" stopIfTrue="1">
      <formula>IF(GM$8="判定対象外",TRUE,FALSE)</formula>
    </cfRule>
  </conditionalFormatting>
  <conditionalFormatting sqref="GL20">
    <cfRule type="expression" dxfId="812" priority="933" stopIfTrue="1">
      <formula>IF(GM$8="判定対象外",TRUE,FALSE)</formula>
    </cfRule>
  </conditionalFormatting>
  <conditionalFormatting sqref="GL16:GL20">
    <cfRule type="expression" dxfId="811" priority="932" stopIfTrue="1">
      <formula>IF(GM$8="判定対象外",TRUE,FALSE)</formula>
    </cfRule>
  </conditionalFormatting>
  <conditionalFormatting sqref="GL11:GL20">
    <cfRule type="expression" dxfId="810" priority="931" stopIfTrue="1">
      <formula>IF(GM$8="判定対象外",TRUE,FALSE)</formula>
    </cfRule>
  </conditionalFormatting>
  <conditionalFormatting sqref="GL20">
    <cfRule type="expression" dxfId="809" priority="929" stopIfTrue="1">
      <formula>IF(GM$8="判定対象外",TRUE,FALSE)</formula>
    </cfRule>
  </conditionalFormatting>
  <conditionalFormatting sqref="GL16:GL20">
    <cfRule type="expression" dxfId="808" priority="928" stopIfTrue="1">
      <formula>IF(GM$8="判定対象外",TRUE,FALSE)</formula>
    </cfRule>
  </conditionalFormatting>
  <conditionalFormatting sqref="GL11:GL20">
    <cfRule type="expression" dxfId="807" priority="927" stopIfTrue="1">
      <formula>IF(GM$8="判定対象外",TRUE,FALSE)</formula>
    </cfRule>
  </conditionalFormatting>
  <conditionalFormatting sqref="GL16:GL18">
    <cfRule type="expression" dxfId="806" priority="926" stopIfTrue="1">
      <formula>IF(GM$8="判定対象外",TRUE,FALSE)</formula>
    </cfRule>
  </conditionalFormatting>
  <conditionalFormatting sqref="GL20">
    <cfRule type="expression" dxfId="805" priority="925" stopIfTrue="1">
      <formula>IF(GM$8="判定対象外",TRUE,FALSE)</formula>
    </cfRule>
  </conditionalFormatting>
  <conditionalFormatting sqref="GL16:GL20">
    <cfRule type="expression" dxfId="804" priority="924" stopIfTrue="1">
      <formula>IF(GM$8="判定対象外",TRUE,FALSE)</formula>
    </cfRule>
  </conditionalFormatting>
  <conditionalFormatting sqref="GL11:GL13">
    <cfRule type="expression" dxfId="803" priority="923" stopIfTrue="1">
      <formula>IF(GM$8="判定対象外",TRUE,FALSE)</formula>
    </cfRule>
  </conditionalFormatting>
  <conditionalFormatting sqref="GL15">
    <cfRule type="expression" dxfId="802" priority="922" stopIfTrue="1">
      <formula>IF(GM$8="判定対象外",TRUE,FALSE)</formula>
    </cfRule>
  </conditionalFormatting>
  <conditionalFormatting sqref="GL19">
    <cfRule type="expression" dxfId="801" priority="921" stopIfTrue="1">
      <formula>IF(GM$8="判定対象外",TRUE,FALSE)</formula>
    </cfRule>
  </conditionalFormatting>
  <conditionalFormatting sqref="GL20">
    <cfRule type="expression" dxfId="800" priority="919" stopIfTrue="1">
      <formula>IF(GM$8="判定対象外",TRUE,FALSE)</formula>
    </cfRule>
  </conditionalFormatting>
  <conditionalFormatting sqref="GL20">
    <cfRule type="expression" dxfId="799" priority="918" stopIfTrue="1">
      <formula>IF(GM$8="判定対象外",TRUE,FALSE)</formula>
    </cfRule>
  </conditionalFormatting>
  <conditionalFormatting sqref="GL20">
    <cfRule type="expression" dxfId="798" priority="917" stopIfTrue="1">
      <formula>IF(GM$8="判定対象外",TRUE,FALSE)</formula>
    </cfRule>
  </conditionalFormatting>
  <conditionalFormatting sqref="GL13">
    <cfRule type="expression" dxfId="797" priority="916" stopIfTrue="1">
      <formula>IF(GM$8="判定対象外",TRUE,FALSE)</formula>
    </cfRule>
  </conditionalFormatting>
  <conditionalFormatting sqref="GL47">
    <cfRule type="expression" dxfId="796" priority="915" stopIfTrue="1">
      <formula>IF(GM$8="判定対象外",TRUE,FALSE)</formula>
    </cfRule>
  </conditionalFormatting>
  <conditionalFormatting sqref="GL47">
    <cfRule type="expression" dxfId="795" priority="914" stopIfTrue="1">
      <formula>IF(GM$8="判定対象外",TRUE,FALSE)</formula>
    </cfRule>
  </conditionalFormatting>
  <conditionalFormatting sqref="GL49">
    <cfRule type="expression" dxfId="794" priority="913" stopIfTrue="1">
      <formula>IF(GM$8="判定対象外",TRUE,FALSE)</formula>
    </cfRule>
  </conditionalFormatting>
  <conditionalFormatting sqref="GL49">
    <cfRule type="expression" dxfId="793" priority="912" stopIfTrue="1">
      <formula>IF(GM$8="判定対象外",TRUE,FALSE)</formula>
    </cfRule>
  </conditionalFormatting>
  <conditionalFormatting sqref="GL50">
    <cfRule type="expression" dxfId="792" priority="911" stopIfTrue="1">
      <formula>IF(GM$8="判定対象外",TRUE,FALSE)</formula>
    </cfRule>
  </conditionalFormatting>
  <conditionalFormatting sqref="GL50">
    <cfRule type="expression" dxfId="791" priority="910" stopIfTrue="1">
      <formula>IF(GM$8="判定対象外",TRUE,FALSE)</formula>
    </cfRule>
  </conditionalFormatting>
  <conditionalFormatting sqref="GL54 GL57 GL69">
    <cfRule type="expression" dxfId="790" priority="908" stopIfTrue="1">
      <formula>IF(GM$8="判定対象外",TRUE,FALSE)</formula>
    </cfRule>
  </conditionalFormatting>
  <conditionalFormatting sqref="GO57">
    <cfRule type="expression" dxfId="789" priority="906" stopIfTrue="1">
      <formula>IF(GO57="-",TRUE,FALSE)</formula>
    </cfRule>
    <cfRule type="expression" dxfId="788" priority="907" stopIfTrue="1">
      <formula>IF(OR(GO57="OK"),FALSE,TRUE)</formula>
    </cfRule>
  </conditionalFormatting>
  <conditionalFormatting sqref="GN57">
    <cfRule type="expression" dxfId="787" priority="905" stopIfTrue="1">
      <formula>IF(GM$8="判定対象外",TRUE,FALSE)</formula>
    </cfRule>
  </conditionalFormatting>
  <conditionalFormatting sqref="GM57">
    <cfRule type="expression" dxfId="786" priority="904" stopIfTrue="1">
      <formula>IF(GM$8="判定対象外",TRUE,FALSE)</formula>
    </cfRule>
  </conditionalFormatting>
  <conditionalFormatting sqref="GO58:GO64">
    <cfRule type="expression" dxfId="785" priority="902" stopIfTrue="1">
      <formula>IF(GO58="-",TRUE,FALSE)</formula>
    </cfRule>
    <cfRule type="expression" dxfId="784" priority="903" stopIfTrue="1">
      <formula>IF(OR(GO58="OK"),FALSE,TRUE)</formula>
    </cfRule>
  </conditionalFormatting>
  <conditionalFormatting sqref="GN58:GN64">
    <cfRule type="expression" dxfId="783" priority="901" stopIfTrue="1">
      <formula>IF(GM$8="判定対象外",TRUE,FALSE)</formula>
    </cfRule>
  </conditionalFormatting>
  <conditionalFormatting sqref="GM58:GM64">
    <cfRule type="expression" dxfId="782" priority="900" stopIfTrue="1">
      <formula>IF(GM$8="判定対象外",TRUE,FALSE)</formula>
    </cfRule>
  </conditionalFormatting>
  <conditionalFormatting sqref="GO65:GO70">
    <cfRule type="expression" dxfId="781" priority="898" stopIfTrue="1">
      <formula>IF(GO65="-",TRUE,FALSE)</formula>
    </cfRule>
    <cfRule type="expression" dxfId="780" priority="899" stopIfTrue="1">
      <formula>IF(OR(GO65="OK"),FALSE,TRUE)</formula>
    </cfRule>
  </conditionalFormatting>
  <conditionalFormatting sqref="GN65:GN70">
    <cfRule type="expression" dxfId="779" priority="897" stopIfTrue="1">
      <formula>IF(GM$8="判定対象外",TRUE,FALSE)</formula>
    </cfRule>
  </conditionalFormatting>
  <conditionalFormatting sqref="GM65:GM70">
    <cfRule type="expression" dxfId="778" priority="896" stopIfTrue="1">
      <formula>IF(GM$8="判定対象外",TRUE,FALSE)</formula>
    </cfRule>
  </conditionalFormatting>
  <conditionalFormatting sqref="GL58">
    <cfRule type="expression" dxfId="777" priority="885" stopIfTrue="1">
      <formula>IF(GM$8="判定対象外",TRUE,FALSE)</formula>
    </cfRule>
  </conditionalFormatting>
  <conditionalFormatting sqref="GD58">
    <cfRule type="expression" dxfId="776" priority="895" stopIfTrue="1">
      <formula>IF(GE$8="判定対象外",TRUE,FALSE)</formula>
    </cfRule>
  </conditionalFormatting>
  <conditionalFormatting sqref="GG58">
    <cfRule type="expression" dxfId="775" priority="893" stopIfTrue="1">
      <formula>IF(GG58="-",TRUE,FALSE)</formula>
    </cfRule>
    <cfRule type="expression" dxfId="774" priority="894" stopIfTrue="1">
      <formula>IF(OR(GG58="OK"),FALSE,TRUE)</formula>
    </cfRule>
  </conditionalFormatting>
  <conditionalFormatting sqref="GF58">
    <cfRule type="expression" dxfId="773" priority="892" stopIfTrue="1">
      <formula>IF(GE$8="判定対象外",TRUE,FALSE)</formula>
    </cfRule>
  </conditionalFormatting>
  <conditionalFormatting sqref="GE58">
    <cfRule type="expression" dxfId="772" priority="891" stopIfTrue="1">
      <formula>IF(GE$8="判定対象外",TRUE,FALSE)</formula>
    </cfRule>
  </conditionalFormatting>
  <conditionalFormatting sqref="GH58">
    <cfRule type="expression" dxfId="771" priority="890" stopIfTrue="1">
      <formula>IF(GI$8="判定対象外",TRUE,FALSE)</formula>
    </cfRule>
  </conditionalFormatting>
  <conditionalFormatting sqref="GK58">
    <cfRule type="expression" dxfId="770" priority="888" stopIfTrue="1">
      <formula>IF(GK58="-",TRUE,FALSE)</formula>
    </cfRule>
    <cfRule type="expression" dxfId="769" priority="889" stopIfTrue="1">
      <formula>IF(OR(GK58="OK"),FALSE,TRUE)</formula>
    </cfRule>
  </conditionalFormatting>
  <conditionalFormatting sqref="GJ58">
    <cfRule type="expression" dxfId="768" priority="887" stopIfTrue="1">
      <formula>IF(GI$8="判定対象外",TRUE,FALSE)</formula>
    </cfRule>
  </conditionalFormatting>
  <conditionalFormatting sqref="GI58">
    <cfRule type="expression" dxfId="767" priority="886" stopIfTrue="1">
      <formula>IF(GI$8="判定対象外",TRUE,FALSE)</formula>
    </cfRule>
  </conditionalFormatting>
  <conditionalFormatting sqref="GH59">
    <cfRule type="expression" dxfId="766" priority="879" stopIfTrue="1">
      <formula>IF(GI$8="判定対象外",TRUE,FALSE)</formula>
    </cfRule>
  </conditionalFormatting>
  <conditionalFormatting sqref="GK59">
    <cfRule type="expression" dxfId="765" priority="877" stopIfTrue="1">
      <formula>IF(GK59="-",TRUE,FALSE)</formula>
    </cfRule>
    <cfRule type="expression" dxfId="764" priority="878" stopIfTrue="1">
      <formula>IF(OR(GK59="OK"),FALSE,TRUE)</formula>
    </cfRule>
  </conditionalFormatting>
  <conditionalFormatting sqref="GJ59">
    <cfRule type="expression" dxfId="763" priority="876" stopIfTrue="1">
      <formula>IF(GI$8="判定対象外",TRUE,FALSE)</formula>
    </cfRule>
  </conditionalFormatting>
  <conditionalFormatting sqref="GI59">
    <cfRule type="expression" dxfId="762" priority="875" stopIfTrue="1">
      <formula>IF(GI$8="判定対象外",TRUE,FALSE)</formula>
    </cfRule>
  </conditionalFormatting>
  <conditionalFormatting sqref="GH60">
    <cfRule type="expression" dxfId="761" priority="868" stopIfTrue="1">
      <formula>IF(GI$8="判定対象外",TRUE,FALSE)</formula>
    </cfRule>
  </conditionalFormatting>
  <conditionalFormatting sqref="GK60">
    <cfRule type="expression" dxfId="760" priority="866" stopIfTrue="1">
      <formula>IF(GK60="-",TRUE,FALSE)</formula>
    </cfRule>
    <cfRule type="expression" dxfId="759" priority="867" stopIfTrue="1">
      <formula>IF(OR(GK60="OK"),FALSE,TRUE)</formula>
    </cfRule>
  </conditionalFormatting>
  <conditionalFormatting sqref="GJ60">
    <cfRule type="expression" dxfId="758" priority="865" stopIfTrue="1">
      <formula>IF(GI$8="判定対象外",TRUE,FALSE)</formula>
    </cfRule>
  </conditionalFormatting>
  <conditionalFormatting sqref="GI60">
    <cfRule type="expression" dxfId="757" priority="864" stopIfTrue="1">
      <formula>IF(GI$8="判定対象外",TRUE,FALSE)</formula>
    </cfRule>
  </conditionalFormatting>
  <conditionalFormatting sqref="GH61">
    <cfRule type="expression" dxfId="756" priority="857" stopIfTrue="1">
      <formula>IF(GI$8="判定対象外",TRUE,FALSE)</formula>
    </cfRule>
  </conditionalFormatting>
  <conditionalFormatting sqref="GK61">
    <cfRule type="expression" dxfId="755" priority="855" stopIfTrue="1">
      <formula>IF(GK61="-",TRUE,FALSE)</formula>
    </cfRule>
    <cfRule type="expression" dxfId="754" priority="856" stopIfTrue="1">
      <formula>IF(OR(GK61="OK"),FALSE,TRUE)</formula>
    </cfRule>
  </conditionalFormatting>
  <conditionalFormatting sqref="GJ61">
    <cfRule type="expression" dxfId="753" priority="854" stopIfTrue="1">
      <formula>IF(GI$8="判定対象外",TRUE,FALSE)</formula>
    </cfRule>
  </conditionalFormatting>
  <conditionalFormatting sqref="GI61">
    <cfRule type="expression" dxfId="752" priority="853" stopIfTrue="1">
      <formula>IF(GI$8="判定対象外",TRUE,FALSE)</formula>
    </cfRule>
  </conditionalFormatting>
  <conditionalFormatting sqref="GH62">
    <cfRule type="expression" dxfId="751" priority="846" stopIfTrue="1">
      <formula>IF(GI$8="判定対象外",TRUE,FALSE)</formula>
    </cfRule>
  </conditionalFormatting>
  <conditionalFormatting sqref="GK62">
    <cfRule type="expression" dxfId="750" priority="844" stopIfTrue="1">
      <formula>IF(GK62="-",TRUE,FALSE)</formula>
    </cfRule>
    <cfRule type="expression" dxfId="749" priority="845" stopIfTrue="1">
      <formula>IF(OR(GK62="OK"),FALSE,TRUE)</formula>
    </cfRule>
  </conditionalFormatting>
  <conditionalFormatting sqref="GJ62">
    <cfRule type="expression" dxfId="748" priority="843" stopIfTrue="1">
      <formula>IF(GI$8="判定対象外",TRUE,FALSE)</formula>
    </cfRule>
  </conditionalFormatting>
  <conditionalFormatting sqref="GI62">
    <cfRule type="expression" dxfId="747" priority="842" stopIfTrue="1">
      <formula>IF(GI$8="判定対象外",TRUE,FALSE)</formula>
    </cfRule>
  </conditionalFormatting>
  <conditionalFormatting sqref="GH63">
    <cfRule type="expression" dxfId="746" priority="835" stopIfTrue="1">
      <formula>IF(GI$8="判定対象外",TRUE,FALSE)</formula>
    </cfRule>
  </conditionalFormatting>
  <conditionalFormatting sqref="GK63">
    <cfRule type="expression" dxfId="745" priority="833" stopIfTrue="1">
      <formula>IF(GK63="-",TRUE,FALSE)</formula>
    </cfRule>
    <cfRule type="expression" dxfId="744" priority="834" stopIfTrue="1">
      <formula>IF(OR(GK63="OK"),FALSE,TRUE)</formula>
    </cfRule>
  </conditionalFormatting>
  <conditionalFormatting sqref="GJ63">
    <cfRule type="expression" dxfId="743" priority="832" stopIfTrue="1">
      <formula>IF(GI$8="判定対象外",TRUE,FALSE)</formula>
    </cfRule>
  </conditionalFormatting>
  <conditionalFormatting sqref="GI63">
    <cfRule type="expression" dxfId="742" priority="831" stopIfTrue="1">
      <formula>IF(GI$8="判定対象外",TRUE,FALSE)</formula>
    </cfRule>
  </conditionalFormatting>
  <conditionalFormatting sqref="GH64">
    <cfRule type="expression" dxfId="741" priority="824" stopIfTrue="1">
      <formula>IF(GI$8="判定対象外",TRUE,FALSE)</formula>
    </cfRule>
  </conditionalFormatting>
  <conditionalFormatting sqref="GK64">
    <cfRule type="expression" dxfId="740" priority="822" stopIfTrue="1">
      <formula>IF(GK64="-",TRUE,FALSE)</formula>
    </cfRule>
    <cfRule type="expression" dxfId="739" priority="823" stopIfTrue="1">
      <formula>IF(OR(GK64="OK"),FALSE,TRUE)</formula>
    </cfRule>
  </conditionalFormatting>
  <conditionalFormatting sqref="GJ64">
    <cfRule type="expression" dxfId="738" priority="821" stopIfTrue="1">
      <formula>IF(GI$8="判定対象外",TRUE,FALSE)</formula>
    </cfRule>
  </conditionalFormatting>
  <conditionalFormatting sqref="GI64">
    <cfRule type="expression" dxfId="737" priority="820" stopIfTrue="1">
      <formula>IF(GI$8="判定対象外",TRUE,FALSE)</formula>
    </cfRule>
  </conditionalFormatting>
  <conditionalFormatting sqref="GH65">
    <cfRule type="expression" dxfId="736" priority="813" stopIfTrue="1">
      <formula>IF(GI$8="判定対象外",TRUE,FALSE)</formula>
    </cfRule>
  </conditionalFormatting>
  <conditionalFormatting sqref="GG67">
    <cfRule type="expression" dxfId="735" priority="805" stopIfTrue="1">
      <formula>IF(GG67="-",TRUE,FALSE)</formula>
    </cfRule>
    <cfRule type="expression" dxfId="734" priority="806" stopIfTrue="1">
      <formula>IF(OR(GG67="OK"),FALSE,TRUE)</formula>
    </cfRule>
  </conditionalFormatting>
  <conditionalFormatting sqref="GF67">
    <cfRule type="expression" dxfId="733" priority="804" stopIfTrue="1">
      <formula>IF(GE$8="判定対象外",TRUE,FALSE)</formula>
    </cfRule>
  </conditionalFormatting>
  <conditionalFormatting sqref="GE67">
    <cfRule type="expression" dxfId="732" priority="803" stopIfTrue="1">
      <formula>IF(GE$8="判定対象外",TRUE,FALSE)</formula>
    </cfRule>
  </conditionalFormatting>
  <conditionalFormatting sqref="GK67">
    <cfRule type="expression" dxfId="731" priority="801" stopIfTrue="1">
      <formula>IF(GK67="-",TRUE,FALSE)</formula>
    </cfRule>
    <cfRule type="expression" dxfId="730" priority="802" stopIfTrue="1">
      <formula>IF(OR(GK67="OK"),FALSE,TRUE)</formula>
    </cfRule>
  </conditionalFormatting>
  <conditionalFormatting sqref="GJ67">
    <cfRule type="expression" dxfId="729" priority="800" stopIfTrue="1">
      <formula>IF(GI$8="判定対象外",TRUE,FALSE)</formula>
    </cfRule>
  </conditionalFormatting>
  <conditionalFormatting sqref="GI67">
    <cfRule type="expression" dxfId="728" priority="799" stopIfTrue="1">
      <formula>IF(GI$8="判定対象外",TRUE,FALSE)</formula>
    </cfRule>
  </conditionalFormatting>
  <conditionalFormatting sqref="GH67">
    <cfRule type="expression" dxfId="727" priority="798" stopIfTrue="1">
      <formula>IF(GI$8="判定対象外",TRUE,FALSE)</formula>
    </cfRule>
  </conditionalFormatting>
  <conditionalFormatting sqref="GH66">
    <cfRule type="expression" dxfId="726" priority="791" stopIfTrue="1">
      <formula>IF(GI$8="判定対象外",TRUE,FALSE)</formula>
    </cfRule>
  </conditionalFormatting>
  <conditionalFormatting sqref="GK66">
    <cfRule type="expression" dxfId="725" priority="789" stopIfTrue="1">
      <formula>IF(GK66="-",TRUE,FALSE)</formula>
    </cfRule>
    <cfRule type="expression" dxfId="724" priority="790" stopIfTrue="1">
      <formula>IF(OR(GK66="OK"),FALSE,TRUE)</formula>
    </cfRule>
  </conditionalFormatting>
  <conditionalFormatting sqref="GJ66">
    <cfRule type="expression" dxfId="723" priority="788" stopIfTrue="1">
      <formula>IF(GI$8="判定対象外",TRUE,FALSE)</formula>
    </cfRule>
  </conditionalFormatting>
  <conditionalFormatting sqref="GI66">
    <cfRule type="expression" dxfId="722" priority="787" stopIfTrue="1">
      <formula>IF(GI$8="判定対象外",TRUE,FALSE)</formula>
    </cfRule>
  </conditionalFormatting>
  <conditionalFormatting sqref="GD68">
    <cfRule type="expression" dxfId="721" priority="785" stopIfTrue="1">
      <formula>IF(GE$8="判定対象外",TRUE,FALSE)</formula>
    </cfRule>
  </conditionalFormatting>
  <conditionalFormatting sqref="GG68">
    <cfRule type="expression" dxfId="720" priority="783" stopIfTrue="1">
      <formula>IF(GG68="-",TRUE,FALSE)</formula>
    </cfRule>
    <cfRule type="expression" dxfId="719" priority="784" stopIfTrue="1">
      <formula>IF(OR(GG68="OK"),FALSE,TRUE)</formula>
    </cfRule>
  </conditionalFormatting>
  <conditionalFormatting sqref="GF68">
    <cfRule type="expression" dxfId="718" priority="782" stopIfTrue="1">
      <formula>IF(GE$8="判定対象外",TRUE,FALSE)</formula>
    </cfRule>
  </conditionalFormatting>
  <conditionalFormatting sqref="GE68">
    <cfRule type="expression" dxfId="717" priority="781" stopIfTrue="1">
      <formula>IF(GE$8="判定対象外",TRUE,FALSE)</formula>
    </cfRule>
  </conditionalFormatting>
  <conditionalFormatting sqref="GK68">
    <cfRule type="expression" dxfId="716" priority="779" stopIfTrue="1">
      <formula>IF(GK68="-",TRUE,FALSE)</formula>
    </cfRule>
    <cfRule type="expression" dxfId="715" priority="780" stopIfTrue="1">
      <formula>IF(OR(GK68="OK"),FALSE,TRUE)</formula>
    </cfRule>
  </conditionalFormatting>
  <conditionalFormatting sqref="GJ68">
    <cfRule type="expression" dxfId="714" priority="778" stopIfTrue="1">
      <formula>IF(GI$8="判定対象外",TRUE,FALSE)</formula>
    </cfRule>
  </conditionalFormatting>
  <conditionalFormatting sqref="GI68">
    <cfRule type="expression" dxfId="713" priority="777" stopIfTrue="1">
      <formula>IF(GI$8="判定対象外",TRUE,FALSE)</formula>
    </cfRule>
  </conditionalFormatting>
  <conditionalFormatting sqref="GH68">
    <cfRule type="expression" dxfId="712" priority="776" stopIfTrue="1">
      <formula>IF(GI$8="判定対象外",TRUE,FALSE)</formula>
    </cfRule>
  </conditionalFormatting>
  <conditionalFormatting sqref="GD67">
    <cfRule type="expression" dxfId="711" priority="774" stopIfTrue="1">
      <formula>IF(GE$8="判定対象外",TRUE,FALSE)</formula>
    </cfRule>
  </conditionalFormatting>
  <conditionalFormatting sqref="GG67">
    <cfRule type="expression" dxfId="710" priority="772" stopIfTrue="1">
      <formula>IF(GG67="-",TRUE,FALSE)</formula>
    </cfRule>
    <cfRule type="expression" dxfId="709" priority="773" stopIfTrue="1">
      <formula>IF(OR(GG67="OK"),FALSE,TRUE)</formula>
    </cfRule>
  </conditionalFormatting>
  <conditionalFormatting sqref="GF67">
    <cfRule type="expression" dxfId="708" priority="771" stopIfTrue="1">
      <formula>IF(GE$8="判定対象外",TRUE,FALSE)</formula>
    </cfRule>
  </conditionalFormatting>
  <conditionalFormatting sqref="GE67">
    <cfRule type="expression" dxfId="707" priority="770" stopIfTrue="1">
      <formula>IF(GE$8="判定対象外",TRUE,FALSE)</formula>
    </cfRule>
  </conditionalFormatting>
  <conditionalFormatting sqref="GH67">
    <cfRule type="expression" dxfId="706" priority="769" stopIfTrue="1">
      <formula>IF(GI$8="判定対象外",TRUE,FALSE)</formula>
    </cfRule>
  </conditionalFormatting>
  <conditionalFormatting sqref="GK67">
    <cfRule type="expression" dxfId="705" priority="767" stopIfTrue="1">
      <formula>IF(GK67="-",TRUE,FALSE)</formula>
    </cfRule>
    <cfRule type="expression" dxfId="704" priority="768" stopIfTrue="1">
      <formula>IF(OR(GK67="OK"),FALSE,TRUE)</formula>
    </cfRule>
  </conditionalFormatting>
  <conditionalFormatting sqref="GJ67">
    <cfRule type="expression" dxfId="703" priority="766" stopIfTrue="1">
      <formula>IF(GI$8="判定対象外",TRUE,FALSE)</formula>
    </cfRule>
  </conditionalFormatting>
  <conditionalFormatting sqref="GI67">
    <cfRule type="expression" dxfId="702" priority="765" stopIfTrue="1">
      <formula>IF(GI$8="判定対象外",TRUE,FALSE)</formula>
    </cfRule>
  </conditionalFormatting>
  <conditionalFormatting sqref="GL67">
    <cfRule type="expression" dxfId="701" priority="764" stopIfTrue="1">
      <formula>IF(GM$8="判定対象外",TRUE,FALSE)</formula>
    </cfRule>
  </conditionalFormatting>
  <conditionalFormatting sqref="GL69">
    <cfRule type="expression" dxfId="700" priority="761" stopIfTrue="1">
      <formula>IF(GM$8="判定対象外",TRUE,FALSE)</formula>
    </cfRule>
  </conditionalFormatting>
  <conditionalFormatting sqref="GD69">
    <cfRule type="expression" dxfId="699" priority="763" stopIfTrue="1">
      <formula>IF(GE$8="判定対象外",TRUE,FALSE)</formula>
    </cfRule>
  </conditionalFormatting>
  <conditionalFormatting sqref="GH69">
    <cfRule type="expression" dxfId="698" priority="762" stopIfTrue="1">
      <formula>IF(GI$8="判定対象外",TRUE,FALSE)</formula>
    </cfRule>
  </conditionalFormatting>
  <conditionalFormatting sqref="GD69">
    <cfRule type="expression" dxfId="697" priority="749" stopIfTrue="1">
      <formula>IF(GE$8="判定対象外",TRUE,FALSE)</formula>
    </cfRule>
  </conditionalFormatting>
  <conditionalFormatting sqref="GG69">
    <cfRule type="expression" dxfId="696" priority="747" stopIfTrue="1">
      <formula>IF(GG69="-",TRUE,FALSE)</formula>
    </cfRule>
    <cfRule type="expression" dxfId="695" priority="748" stopIfTrue="1">
      <formula>IF(OR(GG69="OK"),FALSE,TRUE)</formula>
    </cfRule>
  </conditionalFormatting>
  <conditionalFormatting sqref="GF69">
    <cfRule type="expression" dxfId="694" priority="746" stopIfTrue="1">
      <formula>IF(GE$8="判定対象外",TRUE,FALSE)</formula>
    </cfRule>
  </conditionalFormatting>
  <conditionalFormatting sqref="GE69">
    <cfRule type="expression" dxfId="693" priority="745" stopIfTrue="1">
      <formula>IF(GE$8="判定対象外",TRUE,FALSE)</formula>
    </cfRule>
  </conditionalFormatting>
  <conditionalFormatting sqref="GK69">
    <cfRule type="expression" dxfId="692" priority="743" stopIfTrue="1">
      <formula>IF(GK69="-",TRUE,FALSE)</formula>
    </cfRule>
    <cfRule type="expression" dxfId="691" priority="744" stopIfTrue="1">
      <formula>IF(OR(GK69="OK"),FALSE,TRUE)</formula>
    </cfRule>
  </conditionalFormatting>
  <conditionalFormatting sqref="GJ69">
    <cfRule type="expression" dxfId="690" priority="742" stopIfTrue="1">
      <formula>IF(GI$8="判定対象外",TRUE,FALSE)</formula>
    </cfRule>
  </conditionalFormatting>
  <conditionalFormatting sqref="GI69">
    <cfRule type="expression" dxfId="689" priority="741" stopIfTrue="1">
      <formula>IF(GI$8="判定対象外",TRUE,FALSE)</formula>
    </cfRule>
  </conditionalFormatting>
  <conditionalFormatting sqref="GH69">
    <cfRule type="expression" dxfId="688" priority="740" stopIfTrue="1">
      <formula>IF(GI$8="判定対象外",TRUE,FALSE)</formula>
    </cfRule>
  </conditionalFormatting>
  <conditionalFormatting sqref="GD68">
    <cfRule type="expression" dxfId="687" priority="738" stopIfTrue="1">
      <formula>IF(GE$8="判定対象外",TRUE,FALSE)</formula>
    </cfRule>
  </conditionalFormatting>
  <conditionalFormatting sqref="GG68">
    <cfRule type="expression" dxfId="686" priority="736" stopIfTrue="1">
      <formula>IF(GG68="-",TRUE,FALSE)</formula>
    </cfRule>
    <cfRule type="expression" dxfId="685" priority="737" stopIfTrue="1">
      <formula>IF(OR(GG68="OK"),FALSE,TRUE)</formula>
    </cfRule>
  </conditionalFormatting>
  <conditionalFormatting sqref="GF68">
    <cfRule type="expression" dxfId="684" priority="735" stopIfTrue="1">
      <formula>IF(GE$8="判定対象外",TRUE,FALSE)</formula>
    </cfRule>
  </conditionalFormatting>
  <conditionalFormatting sqref="GE68">
    <cfRule type="expression" dxfId="683" priority="734" stopIfTrue="1">
      <formula>IF(GE$8="判定対象外",TRUE,FALSE)</formula>
    </cfRule>
  </conditionalFormatting>
  <conditionalFormatting sqref="GH68">
    <cfRule type="expression" dxfId="682" priority="733" stopIfTrue="1">
      <formula>IF(GI$8="判定対象外",TRUE,FALSE)</formula>
    </cfRule>
  </conditionalFormatting>
  <conditionalFormatting sqref="GK68">
    <cfRule type="expression" dxfId="681" priority="731" stopIfTrue="1">
      <formula>IF(GK68="-",TRUE,FALSE)</formula>
    </cfRule>
    <cfRule type="expression" dxfId="680" priority="732" stopIfTrue="1">
      <formula>IF(OR(GK68="OK"),FALSE,TRUE)</formula>
    </cfRule>
  </conditionalFormatting>
  <conditionalFormatting sqref="GJ68">
    <cfRule type="expression" dxfId="679" priority="730" stopIfTrue="1">
      <formula>IF(GI$8="判定対象外",TRUE,FALSE)</formula>
    </cfRule>
  </conditionalFormatting>
  <conditionalFormatting sqref="GI68">
    <cfRule type="expression" dxfId="678" priority="729" stopIfTrue="1">
      <formula>IF(GI$8="判定対象外",TRUE,FALSE)</formula>
    </cfRule>
  </conditionalFormatting>
  <conditionalFormatting sqref="GL68">
    <cfRule type="expression" dxfId="677" priority="728" stopIfTrue="1">
      <formula>IF(GM$8="判定対象外",TRUE,FALSE)</formula>
    </cfRule>
  </conditionalFormatting>
  <conditionalFormatting sqref="GL69">
    <cfRule type="expression" dxfId="676" priority="711" stopIfTrue="1">
      <formula>IF(GM$8="判定対象外",TRUE,FALSE)</formula>
    </cfRule>
  </conditionalFormatting>
  <conditionalFormatting sqref="GL69">
    <cfRule type="expression" dxfId="675" priority="723" stopIfTrue="1">
      <formula>IF(GM$8="判定対象外",TRUE,FALSE)</formula>
    </cfRule>
  </conditionalFormatting>
  <conditionalFormatting sqref="GD69">
    <cfRule type="expression" dxfId="674" priority="727" stopIfTrue="1">
      <formula>IF(GE$8="判定対象外",TRUE,FALSE)</formula>
    </cfRule>
  </conditionalFormatting>
  <conditionalFormatting sqref="GD70">
    <cfRule type="expression" dxfId="673" priority="726" stopIfTrue="1">
      <formula>IF(GE$8="判定対象外",TRUE,FALSE)</formula>
    </cfRule>
  </conditionalFormatting>
  <conditionalFormatting sqref="GH69">
    <cfRule type="expression" dxfId="672" priority="725" stopIfTrue="1">
      <formula>IF(GI$8="判定対象外",TRUE,FALSE)</formula>
    </cfRule>
  </conditionalFormatting>
  <conditionalFormatting sqref="GH70">
    <cfRule type="expression" dxfId="671" priority="724" stopIfTrue="1">
      <formula>IF(GI$8="判定対象外",TRUE,FALSE)</formula>
    </cfRule>
  </conditionalFormatting>
  <conditionalFormatting sqref="GL70">
    <cfRule type="expression" dxfId="670" priority="722" stopIfTrue="1">
      <formula>IF(GM$8="判定対象外",TRUE,FALSE)</formula>
    </cfRule>
  </conditionalFormatting>
  <conditionalFormatting sqref="GD69">
    <cfRule type="expression" dxfId="669" priority="721" stopIfTrue="1">
      <formula>IF(GE$8="判定対象外",TRUE,FALSE)</formula>
    </cfRule>
  </conditionalFormatting>
  <conditionalFormatting sqref="GG69">
    <cfRule type="expression" dxfId="668" priority="719" stopIfTrue="1">
      <formula>IF(GG69="-",TRUE,FALSE)</formula>
    </cfRule>
    <cfRule type="expression" dxfId="667" priority="720" stopIfTrue="1">
      <formula>IF(OR(GG69="OK"),FALSE,TRUE)</formula>
    </cfRule>
  </conditionalFormatting>
  <conditionalFormatting sqref="GF69">
    <cfRule type="expression" dxfId="666" priority="718" stopIfTrue="1">
      <formula>IF(GE$8="判定対象外",TRUE,FALSE)</formula>
    </cfRule>
  </conditionalFormatting>
  <conditionalFormatting sqref="GE69">
    <cfRule type="expression" dxfId="665" priority="717" stopIfTrue="1">
      <formula>IF(GE$8="判定対象外",TRUE,FALSE)</formula>
    </cfRule>
  </conditionalFormatting>
  <conditionalFormatting sqref="GK69">
    <cfRule type="expression" dxfId="664" priority="715" stopIfTrue="1">
      <formula>IF(GK69="-",TRUE,FALSE)</formula>
    </cfRule>
    <cfRule type="expression" dxfId="663" priority="716" stopIfTrue="1">
      <formula>IF(OR(GK69="OK"),FALSE,TRUE)</formula>
    </cfRule>
  </conditionalFormatting>
  <conditionalFormatting sqref="GJ69">
    <cfRule type="expression" dxfId="662" priority="714" stopIfTrue="1">
      <formula>IF(GI$8="判定対象外",TRUE,FALSE)</formula>
    </cfRule>
  </conditionalFormatting>
  <conditionalFormatting sqref="GI69">
    <cfRule type="expression" dxfId="661" priority="713" stopIfTrue="1">
      <formula>IF(GI$8="判定対象外",TRUE,FALSE)</formula>
    </cfRule>
  </conditionalFormatting>
  <conditionalFormatting sqref="GH69">
    <cfRule type="expression" dxfId="660" priority="712" stopIfTrue="1">
      <formula>IF(GI$8="判定対象外",TRUE,FALSE)</formula>
    </cfRule>
  </conditionalFormatting>
  <conditionalFormatting sqref="GL70">
    <cfRule type="expression" dxfId="659" priority="708" stopIfTrue="1">
      <formula>IF(GM$8="判定対象外",TRUE,FALSE)</formula>
    </cfRule>
  </conditionalFormatting>
  <conditionalFormatting sqref="GD70">
    <cfRule type="expression" dxfId="658" priority="710" stopIfTrue="1">
      <formula>IF(GE$8="判定対象外",TRUE,FALSE)</formula>
    </cfRule>
  </conditionalFormatting>
  <conditionalFormatting sqref="GH70">
    <cfRule type="expression" dxfId="657" priority="709" stopIfTrue="1">
      <formula>IF(GI$8="判定対象外",TRUE,FALSE)</formula>
    </cfRule>
  </conditionalFormatting>
  <conditionalFormatting sqref="GD70">
    <cfRule type="expression" dxfId="656" priority="696" stopIfTrue="1">
      <formula>IF(GE$8="判定対象外",TRUE,FALSE)</formula>
    </cfRule>
  </conditionalFormatting>
  <conditionalFormatting sqref="GG70">
    <cfRule type="expression" dxfId="655" priority="694" stopIfTrue="1">
      <formula>IF(GG70="-",TRUE,FALSE)</formula>
    </cfRule>
    <cfRule type="expression" dxfId="654" priority="695" stopIfTrue="1">
      <formula>IF(OR(GG70="OK"),FALSE,TRUE)</formula>
    </cfRule>
  </conditionalFormatting>
  <conditionalFormatting sqref="GF70">
    <cfRule type="expression" dxfId="653" priority="693" stopIfTrue="1">
      <formula>IF(GE$8="判定対象外",TRUE,FALSE)</formula>
    </cfRule>
  </conditionalFormatting>
  <conditionalFormatting sqref="GE70">
    <cfRule type="expression" dxfId="652" priority="692" stopIfTrue="1">
      <formula>IF(GE$8="判定対象外",TRUE,FALSE)</formula>
    </cfRule>
  </conditionalFormatting>
  <conditionalFormatting sqref="GK70">
    <cfRule type="expression" dxfId="651" priority="690" stopIfTrue="1">
      <formula>IF(GK70="-",TRUE,FALSE)</formula>
    </cfRule>
    <cfRule type="expression" dxfId="650" priority="691" stopIfTrue="1">
      <formula>IF(OR(GK70="OK"),FALSE,TRUE)</formula>
    </cfRule>
  </conditionalFormatting>
  <conditionalFormatting sqref="GJ70">
    <cfRule type="expression" dxfId="649" priority="689" stopIfTrue="1">
      <formula>IF(GI$8="判定対象外",TRUE,FALSE)</formula>
    </cfRule>
  </conditionalFormatting>
  <conditionalFormatting sqref="GI70">
    <cfRule type="expression" dxfId="648" priority="688" stopIfTrue="1">
      <formula>IF(GI$8="判定対象外",TRUE,FALSE)</formula>
    </cfRule>
  </conditionalFormatting>
  <conditionalFormatting sqref="GH70">
    <cfRule type="expression" dxfId="647" priority="687" stopIfTrue="1">
      <formula>IF(GI$8="判定対象外",TRUE,FALSE)</formula>
    </cfRule>
  </conditionalFormatting>
  <conditionalFormatting sqref="GD69">
    <cfRule type="expression" dxfId="646" priority="685" stopIfTrue="1">
      <formula>IF(GE$8="判定対象外",TRUE,FALSE)</formula>
    </cfRule>
  </conditionalFormatting>
  <conditionalFormatting sqref="GG69">
    <cfRule type="expression" dxfId="645" priority="683" stopIfTrue="1">
      <formula>IF(GG69="-",TRUE,FALSE)</formula>
    </cfRule>
    <cfRule type="expression" dxfId="644" priority="684" stopIfTrue="1">
      <formula>IF(OR(GG69="OK"),FALSE,TRUE)</formula>
    </cfRule>
  </conditionalFormatting>
  <conditionalFormatting sqref="GF69">
    <cfRule type="expression" dxfId="643" priority="682" stopIfTrue="1">
      <formula>IF(GE$8="判定対象外",TRUE,FALSE)</formula>
    </cfRule>
  </conditionalFormatting>
  <conditionalFormatting sqref="GE69">
    <cfRule type="expression" dxfId="642" priority="681" stopIfTrue="1">
      <formula>IF(GE$8="判定対象外",TRUE,FALSE)</formula>
    </cfRule>
  </conditionalFormatting>
  <conditionalFormatting sqref="GH69">
    <cfRule type="expression" dxfId="641" priority="680" stopIfTrue="1">
      <formula>IF(GI$8="判定対象外",TRUE,FALSE)</formula>
    </cfRule>
  </conditionalFormatting>
  <conditionalFormatting sqref="GK69">
    <cfRule type="expression" dxfId="640" priority="678" stopIfTrue="1">
      <formula>IF(GK69="-",TRUE,FALSE)</formula>
    </cfRule>
    <cfRule type="expression" dxfId="639" priority="679" stopIfTrue="1">
      <formula>IF(OR(GK69="OK"),FALSE,TRUE)</formula>
    </cfRule>
  </conditionalFormatting>
  <conditionalFormatting sqref="GJ69">
    <cfRule type="expression" dxfId="638" priority="677" stopIfTrue="1">
      <formula>IF(GI$8="判定対象外",TRUE,FALSE)</formula>
    </cfRule>
  </conditionalFormatting>
  <conditionalFormatting sqref="GI69">
    <cfRule type="expression" dxfId="637" priority="676" stopIfTrue="1">
      <formula>IF(GI$8="判定対象外",TRUE,FALSE)</formula>
    </cfRule>
  </conditionalFormatting>
  <conditionalFormatting sqref="GL69">
    <cfRule type="expression" dxfId="636" priority="675" stopIfTrue="1">
      <formula>IF(GM$8="判定対象外",TRUE,FALSE)</formula>
    </cfRule>
  </conditionalFormatting>
  <conditionalFormatting sqref="GL70">
    <cfRule type="expression" dxfId="635" priority="655" stopIfTrue="1">
      <formula>IF(GM$8="判定対象外",TRUE,FALSE)</formula>
    </cfRule>
  </conditionalFormatting>
  <conditionalFormatting sqref="GD71">
    <cfRule type="expression" dxfId="634" priority="674" stopIfTrue="1">
      <formula>IF(GE$8="判定対象外",TRUE,FALSE)</formula>
    </cfRule>
  </conditionalFormatting>
  <conditionalFormatting sqref="GD70">
    <cfRule type="expression" dxfId="633" priority="673" stopIfTrue="1">
      <formula>IF(GE$8="判定対象外",TRUE,FALSE)</formula>
    </cfRule>
  </conditionalFormatting>
  <conditionalFormatting sqref="GH70">
    <cfRule type="expression" dxfId="632" priority="671" stopIfTrue="1">
      <formula>IF(GI$8="判定対象外",TRUE,FALSE)</formula>
    </cfRule>
  </conditionalFormatting>
  <conditionalFormatting sqref="GL71">
    <cfRule type="expression" dxfId="631" priority="670" stopIfTrue="1">
      <formula>IF(GM$8="判定対象外",TRUE,FALSE)</formula>
    </cfRule>
  </conditionalFormatting>
  <conditionalFormatting sqref="GL70">
    <cfRule type="expression" dxfId="630" priority="669" stopIfTrue="1">
      <formula>IF(GM$8="判定対象外",TRUE,FALSE)</formula>
    </cfRule>
  </conditionalFormatting>
  <conditionalFormatting sqref="GL70">
    <cfRule type="expression" dxfId="629" priority="666" stopIfTrue="1">
      <formula>IF(GM$8="判定対象外",TRUE,FALSE)</formula>
    </cfRule>
  </conditionalFormatting>
  <conditionalFormatting sqref="GD70">
    <cfRule type="expression" dxfId="628" priority="668" stopIfTrue="1">
      <formula>IF(GE$8="判定対象外",TRUE,FALSE)</formula>
    </cfRule>
  </conditionalFormatting>
  <conditionalFormatting sqref="GH70">
    <cfRule type="expression" dxfId="627" priority="667" stopIfTrue="1">
      <formula>IF(GI$8="判定対象外",TRUE,FALSE)</formula>
    </cfRule>
  </conditionalFormatting>
  <conditionalFormatting sqref="GD70">
    <cfRule type="expression" dxfId="626" priority="665" stopIfTrue="1">
      <formula>IF(GE$8="判定対象外",TRUE,FALSE)</formula>
    </cfRule>
  </conditionalFormatting>
  <conditionalFormatting sqref="GG70">
    <cfRule type="expression" dxfId="625" priority="663" stopIfTrue="1">
      <formula>IF(GG70="-",TRUE,FALSE)</formula>
    </cfRule>
    <cfRule type="expression" dxfId="624" priority="664" stopIfTrue="1">
      <formula>IF(OR(GG70="OK"),FALSE,TRUE)</formula>
    </cfRule>
  </conditionalFormatting>
  <conditionalFormatting sqref="GF70">
    <cfRule type="expression" dxfId="623" priority="662" stopIfTrue="1">
      <formula>IF(GE$8="判定対象外",TRUE,FALSE)</formula>
    </cfRule>
  </conditionalFormatting>
  <conditionalFormatting sqref="GE70">
    <cfRule type="expression" dxfId="622" priority="661" stopIfTrue="1">
      <formula>IF(GE$8="判定対象外",TRUE,FALSE)</formula>
    </cfRule>
  </conditionalFormatting>
  <conditionalFormatting sqref="GK70">
    <cfRule type="expression" dxfId="621" priority="659" stopIfTrue="1">
      <formula>IF(GK70="-",TRUE,FALSE)</formula>
    </cfRule>
    <cfRule type="expression" dxfId="620" priority="660" stopIfTrue="1">
      <formula>IF(OR(GK70="OK"),FALSE,TRUE)</formula>
    </cfRule>
  </conditionalFormatting>
  <conditionalFormatting sqref="GJ70">
    <cfRule type="expression" dxfId="619" priority="658" stopIfTrue="1">
      <formula>IF(GI$8="判定対象外",TRUE,FALSE)</formula>
    </cfRule>
  </conditionalFormatting>
  <conditionalFormatting sqref="GI70">
    <cfRule type="expression" dxfId="618" priority="657" stopIfTrue="1">
      <formula>IF(GI$8="判定対象外",TRUE,FALSE)</formula>
    </cfRule>
  </conditionalFormatting>
  <conditionalFormatting sqref="GH70">
    <cfRule type="expression" dxfId="617" priority="656" stopIfTrue="1">
      <formula>IF(GI$8="判定対象外",TRUE,FALSE)</formula>
    </cfRule>
  </conditionalFormatting>
  <conditionalFormatting sqref="GL70">
    <cfRule type="expression" dxfId="616" priority="638" stopIfTrue="1">
      <formula>IF(GM$8="判定対象外",TRUE,FALSE)</formula>
    </cfRule>
  </conditionalFormatting>
  <conditionalFormatting sqref="GL70">
    <cfRule type="expression" dxfId="615" priority="650" stopIfTrue="1">
      <formula>IF(GM$8="判定対象外",TRUE,FALSE)</formula>
    </cfRule>
  </conditionalFormatting>
  <conditionalFormatting sqref="GD70">
    <cfRule type="expression" dxfId="614" priority="654" stopIfTrue="1">
      <formula>IF(GE$8="判定対象外",TRUE,FALSE)</formula>
    </cfRule>
  </conditionalFormatting>
  <conditionalFormatting sqref="GD71">
    <cfRule type="expression" dxfId="613" priority="653" stopIfTrue="1">
      <formula>IF(GE$8="判定対象外",TRUE,FALSE)</formula>
    </cfRule>
  </conditionalFormatting>
  <conditionalFormatting sqref="GH70">
    <cfRule type="expression" dxfId="612" priority="652" stopIfTrue="1">
      <formula>IF(GI$8="判定対象外",TRUE,FALSE)</formula>
    </cfRule>
  </conditionalFormatting>
  <conditionalFormatting sqref="GL71">
    <cfRule type="expression" dxfId="611" priority="649" stopIfTrue="1">
      <formula>IF(GM$8="判定対象外",TRUE,FALSE)</formula>
    </cfRule>
  </conditionalFormatting>
  <conditionalFormatting sqref="GD70">
    <cfRule type="expression" dxfId="610" priority="648" stopIfTrue="1">
      <formula>IF(GE$8="判定対象外",TRUE,FALSE)</formula>
    </cfRule>
  </conditionalFormatting>
  <conditionalFormatting sqref="GG70">
    <cfRule type="expression" dxfId="609" priority="646" stopIfTrue="1">
      <formula>IF(GG70="-",TRUE,FALSE)</formula>
    </cfRule>
    <cfRule type="expression" dxfId="608" priority="647" stopIfTrue="1">
      <formula>IF(OR(GG70="OK"),FALSE,TRUE)</formula>
    </cfRule>
  </conditionalFormatting>
  <conditionalFormatting sqref="GF70">
    <cfRule type="expression" dxfId="607" priority="645" stopIfTrue="1">
      <formula>IF(GE$8="判定対象外",TRUE,FALSE)</formula>
    </cfRule>
  </conditionalFormatting>
  <conditionalFormatting sqref="GE70">
    <cfRule type="expression" dxfId="606" priority="644" stopIfTrue="1">
      <formula>IF(GE$8="判定対象外",TRUE,FALSE)</formula>
    </cfRule>
  </conditionalFormatting>
  <conditionalFormatting sqref="GK70">
    <cfRule type="expression" dxfId="605" priority="642" stopIfTrue="1">
      <formula>IF(GK70="-",TRUE,FALSE)</formula>
    </cfRule>
    <cfRule type="expression" dxfId="604" priority="643" stopIfTrue="1">
      <formula>IF(OR(GK70="OK"),FALSE,TRUE)</formula>
    </cfRule>
  </conditionalFormatting>
  <conditionalFormatting sqref="GJ70">
    <cfRule type="expression" dxfId="603" priority="641" stopIfTrue="1">
      <formula>IF(GI$8="判定対象外",TRUE,FALSE)</formula>
    </cfRule>
  </conditionalFormatting>
  <conditionalFormatting sqref="GI70">
    <cfRule type="expression" dxfId="602" priority="640" stopIfTrue="1">
      <formula>IF(GI$8="判定対象外",TRUE,FALSE)</formula>
    </cfRule>
  </conditionalFormatting>
  <conditionalFormatting sqref="GH70">
    <cfRule type="expression" dxfId="601" priority="639" stopIfTrue="1">
      <formula>IF(GI$8="判定対象外",TRUE,FALSE)</formula>
    </cfRule>
  </conditionalFormatting>
  <conditionalFormatting sqref="GL71">
    <cfRule type="expression" dxfId="600" priority="635" stopIfTrue="1">
      <formula>IF(GM$8="判定対象外",TRUE,FALSE)</formula>
    </cfRule>
  </conditionalFormatting>
  <conditionalFormatting sqref="GD71">
    <cfRule type="expression" dxfId="599" priority="637" stopIfTrue="1">
      <formula>IF(GE$8="判定対象外",TRUE,FALSE)</formula>
    </cfRule>
  </conditionalFormatting>
  <conditionalFormatting sqref="GD71">
    <cfRule type="expression" dxfId="598" priority="623" stopIfTrue="1">
      <formula>IF(GE$8="判定対象外",TRUE,FALSE)</formula>
    </cfRule>
  </conditionalFormatting>
  <conditionalFormatting sqref="GG71">
    <cfRule type="expression" dxfId="597" priority="621" stopIfTrue="1">
      <formula>IF(GG71="-",TRUE,FALSE)</formula>
    </cfRule>
    <cfRule type="expression" dxfId="596" priority="622" stopIfTrue="1">
      <formula>IF(OR(GG71="OK"),FALSE,TRUE)</formula>
    </cfRule>
  </conditionalFormatting>
  <conditionalFormatting sqref="GF71">
    <cfRule type="expression" dxfId="595" priority="620" stopIfTrue="1">
      <formula>IF(GE$8="判定対象外",TRUE,FALSE)</formula>
    </cfRule>
  </conditionalFormatting>
  <conditionalFormatting sqref="GE71">
    <cfRule type="expression" dxfId="594" priority="619" stopIfTrue="1">
      <formula>IF(GE$8="判定対象外",TRUE,FALSE)</formula>
    </cfRule>
  </conditionalFormatting>
  <conditionalFormatting sqref="GK71">
    <cfRule type="expression" dxfId="593" priority="617" stopIfTrue="1">
      <formula>IF(GK71="-",TRUE,FALSE)</formula>
    </cfRule>
    <cfRule type="expression" dxfId="592" priority="618" stopIfTrue="1">
      <formula>IF(OR(GK71="OK"),FALSE,TRUE)</formula>
    </cfRule>
  </conditionalFormatting>
  <conditionalFormatting sqref="GJ71">
    <cfRule type="expression" dxfId="591" priority="616" stopIfTrue="1">
      <formula>IF(GI$8="判定対象外",TRUE,FALSE)</formula>
    </cfRule>
  </conditionalFormatting>
  <conditionalFormatting sqref="GI71">
    <cfRule type="expression" dxfId="590" priority="615" stopIfTrue="1">
      <formula>IF(GI$8="判定対象外",TRUE,FALSE)</formula>
    </cfRule>
  </conditionalFormatting>
  <conditionalFormatting sqref="GD70">
    <cfRule type="expression" dxfId="589" priority="612" stopIfTrue="1">
      <formula>IF(GE$8="判定対象外",TRUE,FALSE)</formula>
    </cfRule>
  </conditionalFormatting>
  <conditionalFormatting sqref="GG70">
    <cfRule type="expression" dxfId="588" priority="610" stopIfTrue="1">
      <formula>IF(GG70="-",TRUE,FALSE)</formula>
    </cfRule>
    <cfRule type="expression" dxfId="587" priority="611" stopIfTrue="1">
      <formula>IF(OR(GG70="OK"),FALSE,TRUE)</formula>
    </cfRule>
  </conditionalFormatting>
  <conditionalFormatting sqref="GF70">
    <cfRule type="expression" dxfId="586" priority="609" stopIfTrue="1">
      <formula>IF(GE$8="判定対象外",TRUE,FALSE)</formula>
    </cfRule>
  </conditionalFormatting>
  <conditionalFormatting sqref="GE70">
    <cfRule type="expression" dxfId="585" priority="608" stopIfTrue="1">
      <formula>IF(GE$8="判定対象外",TRUE,FALSE)</formula>
    </cfRule>
  </conditionalFormatting>
  <conditionalFormatting sqref="GH70">
    <cfRule type="expression" dxfId="584" priority="607" stopIfTrue="1">
      <formula>IF(GI$8="判定対象外",TRUE,FALSE)</formula>
    </cfRule>
  </conditionalFormatting>
  <conditionalFormatting sqref="GK70">
    <cfRule type="expression" dxfId="583" priority="605" stopIfTrue="1">
      <formula>IF(GK70="-",TRUE,FALSE)</formula>
    </cfRule>
    <cfRule type="expression" dxfId="582" priority="606" stopIfTrue="1">
      <formula>IF(OR(GK70="OK"),FALSE,TRUE)</formula>
    </cfRule>
  </conditionalFormatting>
  <conditionalFormatting sqref="GJ70">
    <cfRule type="expression" dxfId="581" priority="604" stopIfTrue="1">
      <formula>IF(GI$8="判定対象外",TRUE,FALSE)</formula>
    </cfRule>
  </conditionalFormatting>
  <conditionalFormatting sqref="GI70">
    <cfRule type="expression" dxfId="580" priority="603" stopIfTrue="1">
      <formula>IF(GI$8="判定対象外",TRUE,FALSE)</formula>
    </cfRule>
  </conditionalFormatting>
  <conditionalFormatting sqref="GL70">
    <cfRule type="expression" dxfId="579" priority="602" stopIfTrue="1">
      <formula>IF(GM$8="判定対象外",TRUE,FALSE)</formula>
    </cfRule>
  </conditionalFormatting>
  <conditionalFormatting sqref="GP70">
    <cfRule type="expression" dxfId="578" priority="426" stopIfTrue="1">
      <formula>IF(GQ$8="判定対象外",TRUE,FALSE)</formula>
    </cfRule>
  </conditionalFormatting>
  <conditionalFormatting sqref="GS70">
    <cfRule type="expression" dxfId="577" priority="424" stopIfTrue="1">
      <formula>IF(GS70="-",TRUE,FALSE)</formula>
    </cfRule>
    <cfRule type="expression" dxfId="576" priority="425" stopIfTrue="1">
      <formula>IF(OR(GS70="OK"),FALSE,TRUE)</formula>
    </cfRule>
  </conditionalFormatting>
  <conditionalFormatting sqref="GR70">
    <cfRule type="expression" dxfId="575" priority="423" stopIfTrue="1">
      <formula>IF(GQ$8="判定対象外",TRUE,FALSE)</formula>
    </cfRule>
  </conditionalFormatting>
  <conditionalFormatting sqref="GQ70">
    <cfRule type="expression" dxfId="574" priority="422" stopIfTrue="1">
      <formula>IF(GQ$8="判定対象外",TRUE,FALSE)</formula>
    </cfRule>
  </conditionalFormatting>
  <conditionalFormatting sqref="GP69">
    <cfRule type="expression" dxfId="573" priority="457" stopIfTrue="1">
      <formula>IF(GQ$8="判定対象外",TRUE,FALSE)</formula>
    </cfRule>
  </conditionalFormatting>
  <conditionalFormatting sqref="GS69">
    <cfRule type="expression" dxfId="572" priority="455" stopIfTrue="1">
      <formula>IF(GS69="-",TRUE,FALSE)</formula>
    </cfRule>
    <cfRule type="expression" dxfId="571" priority="456" stopIfTrue="1">
      <formula>IF(OR(GS69="OK"),FALSE,TRUE)</formula>
    </cfRule>
  </conditionalFormatting>
  <conditionalFormatting sqref="GR69">
    <cfRule type="expression" dxfId="570" priority="454" stopIfTrue="1">
      <formula>IF(GQ$8="判定対象外",TRUE,FALSE)</formula>
    </cfRule>
  </conditionalFormatting>
  <conditionalFormatting sqref="GQ69">
    <cfRule type="expression" dxfId="569" priority="453" stopIfTrue="1">
      <formula>IF(GQ$8="判定対象外",TRUE,FALSE)</formula>
    </cfRule>
  </conditionalFormatting>
  <conditionalFormatting sqref="GP67">
    <cfRule type="expression" dxfId="568" priority="501" stopIfTrue="1">
      <formula>IF(GQ$8="判定対象外",TRUE,FALSE)</formula>
    </cfRule>
  </conditionalFormatting>
  <conditionalFormatting sqref="GP68">
    <cfRule type="expression" dxfId="567" priority="480" stopIfTrue="1">
      <formula>IF(GQ$8="判定対象外",TRUE,FALSE)</formula>
    </cfRule>
  </conditionalFormatting>
  <conditionalFormatting sqref="GS68">
    <cfRule type="expression" dxfId="566" priority="478" stopIfTrue="1">
      <formula>IF(GS68="-",TRUE,FALSE)</formula>
    </cfRule>
    <cfRule type="expression" dxfId="565" priority="479" stopIfTrue="1">
      <formula>IF(OR(GS68="OK"),FALSE,TRUE)</formula>
    </cfRule>
  </conditionalFormatting>
  <conditionalFormatting sqref="GR68">
    <cfRule type="expression" dxfId="564" priority="477" stopIfTrue="1">
      <formula>IF(GQ$8="判定対象外",TRUE,FALSE)</formula>
    </cfRule>
  </conditionalFormatting>
  <conditionalFormatting sqref="GQ68">
    <cfRule type="expression" dxfId="563" priority="476" stopIfTrue="1">
      <formula>IF(GQ$8="判定対象外",TRUE,FALSE)</formula>
    </cfRule>
  </conditionalFormatting>
  <conditionalFormatting sqref="GP66">
    <cfRule type="expression" dxfId="562" priority="496" stopIfTrue="1">
      <formula>IF(GQ$8="判定対象外",TRUE,FALSE)</formula>
    </cfRule>
  </conditionalFormatting>
  <conditionalFormatting sqref="GS66">
    <cfRule type="expression" dxfId="561" priority="494" stopIfTrue="1">
      <formula>IF(GS66="-",TRUE,FALSE)</formula>
    </cfRule>
    <cfRule type="expression" dxfId="560" priority="495" stopIfTrue="1">
      <formula>IF(OR(GS66="OK"),FALSE,TRUE)</formula>
    </cfRule>
  </conditionalFormatting>
  <conditionalFormatting sqref="GR66">
    <cfRule type="expression" dxfId="559" priority="493" stopIfTrue="1">
      <formula>IF(GQ$8="判定対象外",TRUE,FALSE)</formula>
    </cfRule>
  </conditionalFormatting>
  <conditionalFormatting sqref="GQ66">
    <cfRule type="expression" dxfId="558" priority="492" stopIfTrue="1">
      <formula>IF(GQ$8="判定対象外",TRUE,FALSE)</formula>
    </cfRule>
  </conditionalFormatting>
  <conditionalFormatting sqref="GP65">
    <cfRule type="expression" dxfId="557" priority="506" stopIfTrue="1">
      <formula>IF(GQ$8="判定対象外",TRUE,FALSE)</formula>
    </cfRule>
  </conditionalFormatting>
  <conditionalFormatting sqref="GS65">
    <cfRule type="expression" dxfId="556" priority="504" stopIfTrue="1">
      <formula>IF(GS65="-",TRUE,FALSE)</formula>
    </cfRule>
    <cfRule type="expression" dxfId="555" priority="505" stopIfTrue="1">
      <formula>IF(OR(GS65="OK"),FALSE,TRUE)</formula>
    </cfRule>
  </conditionalFormatting>
  <conditionalFormatting sqref="GR65">
    <cfRule type="expression" dxfId="554" priority="503" stopIfTrue="1">
      <formula>IF(GQ$8="判定対象外",TRUE,FALSE)</formula>
    </cfRule>
  </conditionalFormatting>
  <conditionalFormatting sqref="GQ65">
    <cfRule type="expression" dxfId="553" priority="502" stopIfTrue="1">
      <formula>IF(GQ$8="判定対象外",TRUE,FALSE)</formula>
    </cfRule>
  </conditionalFormatting>
  <conditionalFormatting sqref="GP64">
    <cfRule type="expression" dxfId="552" priority="511" stopIfTrue="1">
      <formula>IF(GQ$8="判定対象外",TRUE,FALSE)</formula>
    </cfRule>
  </conditionalFormatting>
  <conditionalFormatting sqref="GS64">
    <cfRule type="expression" dxfId="551" priority="509" stopIfTrue="1">
      <formula>IF(GS64="-",TRUE,FALSE)</formula>
    </cfRule>
    <cfRule type="expression" dxfId="550" priority="510" stopIfTrue="1">
      <formula>IF(OR(GS64="OK"),FALSE,TRUE)</formula>
    </cfRule>
  </conditionalFormatting>
  <conditionalFormatting sqref="GR64">
    <cfRule type="expression" dxfId="549" priority="508" stopIfTrue="1">
      <formula>IF(GQ$8="判定対象外",TRUE,FALSE)</formula>
    </cfRule>
  </conditionalFormatting>
  <conditionalFormatting sqref="GQ64">
    <cfRule type="expression" dxfId="548" priority="507" stopIfTrue="1">
      <formula>IF(GQ$8="判定対象外",TRUE,FALSE)</formula>
    </cfRule>
  </conditionalFormatting>
  <conditionalFormatting sqref="GP63">
    <cfRule type="expression" dxfId="547" priority="516" stopIfTrue="1">
      <formula>IF(GQ$8="判定対象外",TRUE,FALSE)</formula>
    </cfRule>
  </conditionalFormatting>
  <conditionalFormatting sqref="GS63">
    <cfRule type="expression" dxfId="546" priority="514" stopIfTrue="1">
      <formula>IF(GS63="-",TRUE,FALSE)</formula>
    </cfRule>
    <cfRule type="expression" dxfId="545" priority="515" stopIfTrue="1">
      <formula>IF(OR(GS63="OK"),FALSE,TRUE)</formula>
    </cfRule>
  </conditionalFormatting>
  <conditionalFormatting sqref="GR63">
    <cfRule type="expression" dxfId="544" priority="513" stopIfTrue="1">
      <formula>IF(GQ$8="判定対象外",TRUE,FALSE)</formula>
    </cfRule>
  </conditionalFormatting>
  <conditionalFormatting sqref="GQ63">
    <cfRule type="expression" dxfId="543" priority="512" stopIfTrue="1">
      <formula>IF(GQ$8="判定対象外",TRUE,FALSE)</formula>
    </cfRule>
  </conditionalFormatting>
  <conditionalFormatting sqref="GP62">
    <cfRule type="expression" dxfId="542" priority="521" stopIfTrue="1">
      <formula>IF(GQ$8="判定対象外",TRUE,FALSE)</formula>
    </cfRule>
  </conditionalFormatting>
  <conditionalFormatting sqref="GS62">
    <cfRule type="expression" dxfId="541" priority="519" stopIfTrue="1">
      <formula>IF(GS62="-",TRUE,FALSE)</formula>
    </cfRule>
    <cfRule type="expression" dxfId="540" priority="520" stopIfTrue="1">
      <formula>IF(OR(GS62="OK"),FALSE,TRUE)</formula>
    </cfRule>
  </conditionalFormatting>
  <conditionalFormatting sqref="GR62">
    <cfRule type="expression" dxfId="539" priority="518" stopIfTrue="1">
      <formula>IF(GQ$8="判定対象外",TRUE,FALSE)</formula>
    </cfRule>
  </conditionalFormatting>
  <conditionalFormatting sqref="GQ62">
    <cfRule type="expression" dxfId="538" priority="517" stopIfTrue="1">
      <formula>IF(GQ$8="判定対象外",TRUE,FALSE)</formula>
    </cfRule>
  </conditionalFormatting>
  <conditionalFormatting sqref="GP61">
    <cfRule type="expression" dxfId="537" priority="526" stopIfTrue="1">
      <formula>IF(GQ$8="判定対象外",TRUE,FALSE)</formula>
    </cfRule>
  </conditionalFormatting>
  <conditionalFormatting sqref="GS61">
    <cfRule type="expression" dxfId="536" priority="524" stopIfTrue="1">
      <formula>IF(GS61="-",TRUE,FALSE)</formula>
    </cfRule>
    <cfRule type="expression" dxfId="535" priority="525" stopIfTrue="1">
      <formula>IF(OR(GS61="OK"),FALSE,TRUE)</formula>
    </cfRule>
  </conditionalFormatting>
  <conditionalFormatting sqref="GR61">
    <cfRule type="expression" dxfId="534" priority="523" stopIfTrue="1">
      <formula>IF(GQ$8="判定対象外",TRUE,FALSE)</formula>
    </cfRule>
  </conditionalFormatting>
  <conditionalFormatting sqref="GQ61">
    <cfRule type="expression" dxfId="533" priority="522" stopIfTrue="1">
      <formula>IF(GQ$8="判定対象外",TRUE,FALSE)</formula>
    </cfRule>
  </conditionalFormatting>
  <conditionalFormatting sqref="GP60">
    <cfRule type="expression" dxfId="532" priority="531" stopIfTrue="1">
      <formula>IF(GQ$8="判定対象外",TRUE,FALSE)</formula>
    </cfRule>
  </conditionalFormatting>
  <conditionalFormatting sqref="GS60">
    <cfRule type="expression" dxfId="531" priority="529" stopIfTrue="1">
      <formula>IF(GS60="-",TRUE,FALSE)</formula>
    </cfRule>
    <cfRule type="expression" dxfId="530" priority="530" stopIfTrue="1">
      <formula>IF(OR(GS60="OK"),FALSE,TRUE)</formula>
    </cfRule>
  </conditionalFormatting>
  <conditionalFormatting sqref="GR60">
    <cfRule type="expression" dxfId="529" priority="528" stopIfTrue="1">
      <formula>IF(GQ$8="判定対象外",TRUE,FALSE)</formula>
    </cfRule>
  </conditionalFormatting>
  <conditionalFormatting sqref="GQ60">
    <cfRule type="expression" dxfId="528" priority="527" stopIfTrue="1">
      <formula>IF(GQ$8="判定対象外",TRUE,FALSE)</formula>
    </cfRule>
  </conditionalFormatting>
  <conditionalFormatting sqref="GP59">
    <cfRule type="expression" dxfId="527" priority="536" stopIfTrue="1">
      <formula>IF(GQ$8="判定対象外",TRUE,FALSE)</formula>
    </cfRule>
  </conditionalFormatting>
  <conditionalFormatting sqref="GS59">
    <cfRule type="expression" dxfId="526" priority="534" stopIfTrue="1">
      <formula>IF(GS59="-",TRUE,FALSE)</formula>
    </cfRule>
    <cfRule type="expression" dxfId="525" priority="535" stopIfTrue="1">
      <formula>IF(OR(GS59="OK"),FALSE,TRUE)</formula>
    </cfRule>
  </conditionalFormatting>
  <conditionalFormatting sqref="GR59">
    <cfRule type="expression" dxfId="524" priority="533" stopIfTrue="1">
      <formula>IF(GQ$8="判定対象外",TRUE,FALSE)</formula>
    </cfRule>
  </conditionalFormatting>
  <conditionalFormatting sqref="GQ59">
    <cfRule type="expression" dxfId="523" priority="532" stopIfTrue="1">
      <formula>IF(GQ$8="判定対象外",TRUE,FALSE)</formula>
    </cfRule>
  </conditionalFormatting>
  <conditionalFormatting sqref="GS8:GS10">
    <cfRule type="expression" dxfId="522" priority="600" stopIfTrue="1">
      <formula>IF(GS8="-",TRUE,FALSE)</formula>
    </cfRule>
    <cfRule type="expression" dxfId="521" priority="601" stopIfTrue="1">
      <formula>IF(OR(GS8="OK"),FALSE,TRUE)</formula>
    </cfRule>
  </conditionalFormatting>
  <conditionalFormatting sqref="GP8:GP10">
    <cfRule type="expression" dxfId="520" priority="599" stopIfTrue="1">
      <formula>IF(GQ$8="判定対象外",TRUE,FALSE)</formula>
    </cfRule>
  </conditionalFormatting>
  <conditionalFormatting sqref="GQ8:GQ10">
    <cfRule type="expression" dxfId="519" priority="598" stopIfTrue="1">
      <formula>IF(GQ$8="判定対象外",TRUE,FALSE)</formula>
    </cfRule>
  </conditionalFormatting>
  <conditionalFormatting sqref="GR8:GR10">
    <cfRule type="expression" dxfId="518" priority="597" stopIfTrue="1">
      <formula>IF(GQ$8="判定対象外",TRUE,FALSE)</formula>
    </cfRule>
  </conditionalFormatting>
  <conditionalFormatting sqref="GS11:GS56 GS71:GS81">
    <cfRule type="expression" dxfId="517" priority="594" stopIfTrue="1">
      <formula>IF(GS11="-",TRUE,FALSE)</formula>
    </cfRule>
    <cfRule type="expression" dxfId="516" priority="595" stopIfTrue="1">
      <formula>IF(OR(GS11="OK"),FALSE,TRUE)</formula>
    </cfRule>
  </conditionalFormatting>
  <conditionalFormatting sqref="GR11:GR56 GR71:GR81">
    <cfRule type="expression" dxfId="515" priority="593" stopIfTrue="1">
      <formula>IF(GQ$8="判定対象外",TRUE,FALSE)</formula>
    </cfRule>
  </conditionalFormatting>
  <conditionalFormatting sqref="GP72:GP81 GP21:GP46">
    <cfRule type="expression" dxfId="514" priority="592" stopIfTrue="1">
      <formula>IF(GQ$8="判定対象外",TRUE,FALSE)</formula>
    </cfRule>
  </conditionalFormatting>
  <conditionalFormatting sqref="GP29:GP32">
    <cfRule type="expression" dxfId="513" priority="591" stopIfTrue="1">
      <formula>IF(GQ$8="判定対象外",TRUE,FALSE)</formula>
    </cfRule>
  </conditionalFormatting>
  <conditionalFormatting sqref="GP42:GP44">
    <cfRule type="expression" dxfId="512" priority="590" stopIfTrue="1">
      <formula>IF(GQ$8="判定対象外",TRUE,FALSE)</formula>
    </cfRule>
  </conditionalFormatting>
  <conditionalFormatting sqref="GP46">
    <cfRule type="expression" dxfId="511" priority="589" stopIfTrue="1">
      <formula>IF(GQ$8="判定対象外",TRUE,FALSE)</formula>
    </cfRule>
  </conditionalFormatting>
  <conditionalFormatting sqref="GP42:GP44">
    <cfRule type="expression" dxfId="510" priority="588" stopIfTrue="1">
      <formula>IF(GQ$8="判定対象外",TRUE,FALSE)</formula>
    </cfRule>
  </conditionalFormatting>
  <conditionalFormatting sqref="GP42:GP44">
    <cfRule type="expression" dxfId="509" priority="587" stopIfTrue="1">
      <formula>IF(GQ$8="判定対象外",TRUE,FALSE)</formula>
    </cfRule>
  </conditionalFormatting>
  <conditionalFormatting sqref="GP42:GP44">
    <cfRule type="expression" dxfId="508" priority="586" stopIfTrue="1">
      <formula>IF(GQ$8="判定対象外",TRUE,FALSE)</formula>
    </cfRule>
  </conditionalFormatting>
  <conditionalFormatting sqref="GP42:GP44">
    <cfRule type="expression" dxfId="507" priority="585" stopIfTrue="1">
      <formula>IF(GQ$8="判定対象外",TRUE,FALSE)</formula>
    </cfRule>
  </conditionalFormatting>
  <conditionalFormatting sqref="GP42:GP44">
    <cfRule type="expression" dxfId="506" priority="584" stopIfTrue="1">
      <formula>IF(GQ$8="判定対象外",TRUE,FALSE)</formula>
    </cfRule>
  </conditionalFormatting>
  <conditionalFormatting sqref="GP42:GP44">
    <cfRule type="expression" dxfId="505" priority="583" stopIfTrue="1">
      <formula>IF(GQ$8="判定対象外",TRUE,FALSE)</formula>
    </cfRule>
  </conditionalFormatting>
  <conditionalFormatting sqref="GP42:GP44">
    <cfRule type="expression" dxfId="504" priority="582" stopIfTrue="1">
      <formula>IF(GQ$8="判定対象外",TRUE,FALSE)</formula>
    </cfRule>
  </conditionalFormatting>
  <conditionalFormatting sqref="GP38">
    <cfRule type="expression" dxfId="503" priority="596" stopIfTrue="1">
      <formula>IF(#REF!="判定対象外",TRUE,FALSE)</formula>
    </cfRule>
  </conditionalFormatting>
  <conditionalFormatting sqref="GQ11:GQ56 GQ71:GQ81">
    <cfRule type="expression" dxfId="502" priority="581" stopIfTrue="1">
      <formula>IF(GQ$8="判定対象外",TRUE,FALSE)</formula>
    </cfRule>
  </conditionalFormatting>
  <conditionalFormatting sqref="GP48">
    <cfRule type="expression" dxfId="501" priority="580" stopIfTrue="1">
      <formula>IF(GQ$8="判定対象外",TRUE,FALSE)</formula>
    </cfRule>
  </conditionalFormatting>
  <conditionalFormatting sqref="GP51">
    <cfRule type="expression" dxfId="500" priority="579" stopIfTrue="1">
      <formula>IF(GQ$8="判定対象外",TRUE,FALSE)</formula>
    </cfRule>
  </conditionalFormatting>
  <conditionalFormatting sqref="GP52 GP55 GP70">
    <cfRule type="expression" dxfId="499" priority="578" stopIfTrue="1">
      <formula>IF(GQ$8="判定対象外",TRUE,FALSE)</formula>
    </cfRule>
  </conditionalFormatting>
  <conditionalFormatting sqref="GP11:GP20">
    <cfRule type="expression" dxfId="498" priority="577" stopIfTrue="1">
      <formula>IF(GQ$8="判定対象外",TRUE,FALSE)</formula>
    </cfRule>
  </conditionalFormatting>
  <conditionalFormatting sqref="GP16:GP18">
    <cfRule type="expression" dxfId="497" priority="576" stopIfTrue="1">
      <formula>IF(GQ$8="判定対象外",TRUE,FALSE)</formula>
    </cfRule>
  </conditionalFormatting>
  <conditionalFormatting sqref="GP20">
    <cfRule type="expression" dxfId="496" priority="575" stopIfTrue="1">
      <formula>IF(GQ$8="判定対象外",TRUE,FALSE)</formula>
    </cfRule>
  </conditionalFormatting>
  <conditionalFormatting sqref="GP16:GP20">
    <cfRule type="expression" dxfId="495" priority="574" stopIfTrue="1">
      <formula>IF(GQ$8="判定対象外",TRUE,FALSE)</formula>
    </cfRule>
  </conditionalFormatting>
  <conditionalFormatting sqref="GP11:GP20">
    <cfRule type="expression" dxfId="494" priority="573" stopIfTrue="1">
      <formula>IF(GQ$8="判定対象外",TRUE,FALSE)</formula>
    </cfRule>
  </conditionalFormatting>
  <conditionalFormatting sqref="GP16:GP18">
    <cfRule type="expression" dxfId="493" priority="572" stopIfTrue="1">
      <formula>IF(GQ$8="判定対象外",TRUE,FALSE)</formula>
    </cfRule>
  </conditionalFormatting>
  <conditionalFormatting sqref="GP20">
    <cfRule type="expression" dxfId="492" priority="571" stopIfTrue="1">
      <formula>IF(GQ$8="判定対象外",TRUE,FALSE)</formula>
    </cfRule>
  </conditionalFormatting>
  <conditionalFormatting sqref="GP16:GP20">
    <cfRule type="expression" dxfId="491" priority="570" stopIfTrue="1">
      <formula>IF(GQ$8="判定対象外",TRUE,FALSE)</formula>
    </cfRule>
  </conditionalFormatting>
  <conditionalFormatting sqref="GP11:GP20">
    <cfRule type="expression" dxfId="490" priority="569" stopIfTrue="1">
      <formula>IF(GQ$8="判定対象外",TRUE,FALSE)</formula>
    </cfRule>
  </conditionalFormatting>
  <conditionalFormatting sqref="GP16:GP18">
    <cfRule type="expression" dxfId="489" priority="568" stopIfTrue="1">
      <formula>IF(GQ$8="判定対象外",TRUE,FALSE)</formula>
    </cfRule>
  </conditionalFormatting>
  <conditionalFormatting sqref="GP20">
    <cfRule type="expression" dxfId="488" priority="567" stopIfTrue="1">
      <formula>IF(GQ$8="判定対象外",TRUE,FALSE)</formula>
    </cfRule>
  </conditionalFormatting>
  <conditionalFormatting sqref="GP16:GP20">
    <cfRule type="expression" dxfId="487" priority="566" stopIfTrue="1">
      <formula>IF(GQ$8="判定対象外",TRUE,FALSE)</formula>
    </cfRule>
  </conditionalFormatting>
  <conditionalFormatting sqref="GP11:GP13">
    <cfRule type="expression" dxfId="486" priority="565" stopIfTrue="1">
      <formula>IF(GQ$8="判定対象外",TRUE,FALSE)</formula>
    </cfRule>
  </conditionalFormatting>
  <conditionalFormatting sqref="GP15">
    <cfRule type="expression" dxfId="485" priority="564" stopIfTrue="1">
      <formula>IF(GQ$8="判定対象外",TRUE,FALSE)</formula>
    </cfRule>
  </conditionalFormatting>
  <conditionalFormatting sqref="GP19">
    <cfRule type="expression" dxfId="484" priority="563" stopIfTrue="1">
      <formula>IF(GQ$8="判定対象外",TRUE,FALSE)</formula>
    </cfRule>
  </conditionalFormatting>
  <conditionalFormatting sqref="GP19">
    <cfRule type="expression" dxfId="483" priority="562" stopIfTrue="1">
      <formula>IF(GQ$8="判定対象外",TRUE,FALSE)</formula>
    </cfRule>
  </conditionalFormatting>
  <conditionalFormatting sqref="GP20">
    <cfRule type="expression" dxfId="482" priority="561" stopIfTrue="1">
      <formula>IF(GQ$8="判定対象外",TRUE,FALSE)</formula>
    </cfRule>
  </conditionalFormatting>
  <conditionalFormatting sqref="GP20">
    <cfRule type="expression" dxfId="481" priority="560" stopIfTrue="1">
      <formula>IF(GQ$8="判定対象外",TRUE,FALSE)</formula>
    </cfRule>
  </conditionalFormatting>
  <conditionalFormatting sqref="GP20">
    <cfRule type="expression" dxfId="480" priority="559" stopIfTrue="1">
      <formula>IF(GQ$8="判定対象外",TRUE,FALSE)</formula>
    </cfRule>
  </conditionalFormatting>
  <conditionalFormatting sqref="GP13">
    <cfRule type="expression" dxfId="479" priority="558" stopIfTrue="1">
      <formula>IF(GQ$8="判定対象外",TRUE,FALSE)</formula>
    </cfRule>
  </conditionalFormatting>
  <conditionalFormatting sqref="GP47">
    <cfRule type="expression" dxfId="478" priority="557" stopIfTrue="1">
      <formula>IF(GQ$8="判定対象外",TRUE,FALSE)</formula>
    </cfRule>
  </conditionalFormatting>
  <conditionalFormatting sqref="GP47">
    <cfRule type="expression" dxfId="477" priority="556" stopIfTrue="1">
      <formula>IF(GQ$8="判定対象外",TRUE,FALSE)</formula>
    </cfRule>
  </conditionalFormatting>
  <conditionalFormatting sqref="GP49">
    <cfRule type="expression" dxfId="476" priority="555" stopIfTrue="1">
      <formula>IF(GQ$8="判定対象外",TRUE,FALSE)</formula>
    </cfRule>
  </conditionalFormatting>
  <conditionalFormatting sqref="GP49">
    <cfRule type="expression" dxfId="475" priority="554" stopIfTrue="1">
      <formula>IF(GQ$8="判定対象外",TRUE,FALSE)</formula>
    </cfRule>
  </conditionalFormatting>
  <conditionalFormatting sqref="GP50">
    <cfRule type="expression" dxfId="474" priority="553" stopIfTrue="1">
      <formula>IF(GQ$8="判定対象外",TRUE,FALSE)</formula>
    </cfRule>
  </conditionalFormatting>
  <conditionalFormatting sqref="GP50">
    <cfRule type="expression" dxfId="473" priority="552" stopIfTrue="1">
      <formula>IF(GQ$8="判定対象外",TRUE,FALSE)</formula>
    </cfRule>
  </conditionalFormatting>
  <conditionalFormatting sqref="GP53 GP56 GP68">
    <cfRule type="expression" dxfId="472" priority="551" stopIfTrue="1">
      <formula>IF(GQ$8="判定対象外",TRUE,FALSE)</formula>
    </cfRule>
  </conditionalFormatting>
  <conditionalFormatting sqref="GP54 GP57 GP69">
    <cfRule type="expression" dxfId="471" priority="550" stopIfTrue="1">
      <formula>IF(GQ$8="判定対象外",TRUE,FALSE)</formula>
    </cfRule>
  </conditionalFormatting>
  <conditionalFormatting sqref="GS57">
    <cfRule type="expression" dxfId="470" priority="548" stopIfTrue="1">
      <formula>IF(GS57="-",TRUE,FALSE)</formula>
    </cfRule>
    <cfRule type="expression" dxfId="469" priority="549" stopIfTrue="1">
      <formula>IF(OR(GS57="OK"),FALSE,TRUE)</formula>
    </cfRule>
  </conditionalFormatting>
  <conditionalFormatting sqref="GR57">
    <cfRule type="expression" dxfId="468" priority="547" stopIfTrue="1">
      <formula>IF(GQ$8="判定対象外",TRUE,FALSE)</formula>
    </cfRule>
  </conditionalFormatting>
  <conditionalFormatting sqref="GQ57">
    <cfRule type="expression" dxfId="467" priority="546" stopIfTrue="1">
      <formula>IF(GQ$8="判定対象外",TRUE,FALSE)</formula>
    </cfRule>
  </conditionalFormatting>
  <conditionalFormatting sqref="GS68:GS71">
    <cfRule type="expression" dxfId="466" priority="544" stopIfTrue="1">
      <formula>IF(GS68="-",TRUE,FALSE)</formula>
    </cfRule>
    <cfRule type="expression" dxfId="465" priority="545" stopIfTrue="1">
      <formula>IF(OR(GS68="OK"),FALSE,TRUE)</formula>
    </cfRule>
  </conditionalFormatting>
  <conditionalFormatting sqref="GR68:GR71">
    <cfRule type="expression" dxfId="464" priority="543" stopIfTrue="1">
      <formula>IF(GQ$8="判定対象外",TRUE,FALSE)</formula>
    </cfRule>
  </conditionalFormatting>
  <conditionalFormatting sqref="GQ68:GQ71">
    <cfRule type="expression" dxfId="463" priority="542" stopIfTrue="1">
      <formula>IF(GQ$8="判定対象外",TRUE,FALSE)</formula>
    </cfRule>
  </conditionalFormatting>
  <conditionalFormatting sqref="GP58">
    <cfRule type="expression" dxfId="462" priority="541" stopIfTrue="1">
      <formula>IF(GQ$8="判定対象外",TRUE,FALSE)</formula>
    </cfRule>
  </conditionalFormatting>
  <conditionalFormatting sqref="GS58">
    <cfRule type="expression" dxfId="461" priority="539" stopIfTrue="1">
      <formula>IF(GS58="-",TRUE,FALSE)</formula>
    </cfRule>
    <cfRule type="expression" dxfId="460" priority="540" stopIfTrue="1">
      <formula>IF(OR(GS58="OK"),FALSE,TRUE)</formula>
    </cfRule>
  </conditionalFormatting>
  <conditionalFormatting sqref="GR58">
    <cfRule type="expression" dxfId="459" priority="538" stopIfTrue="1">
      <formula>IF(GQ$8="判定対象外",TRUE,FALSE)</formula>
    </cfRule>
  </conditionalFormatting>
  <conditionalFormatting sqref="GQ58">
    <cfRule type="expression" dxfId="458" priority="537" stopIfTrue="1">
      <formula>IF(GQ$8="判定対象外",TRUE,FALSE)</formula>
    </cfRule>
  </conditionalFormatting>
  <conditionalFormatting sqref="GS67">
    <cfRule type="expression" dxfId="457" priority="499" stopIfTrue="1">
      <formula>IF(GS67="-",TRUE,FALSE)</formula>
    </cfRule>
    <cfRule type="expression" dxfId="456" priority="500" stopIfTrue="1">
      <formula>IF(OR(GS67="OK"),FALSE,TRUE)</formula>
    </cfRule>
  </conditionalFormatting>
  <conditionalFormatting sqref="GR67">
    <cfRule type="expression" dxfId="455" priority="498" stopIfTrue="1">
      <formula>IF(GQ$8="判定対象外",TRUE,FALSE)</formula>
    </cfRule>
  </conditionalFormatting>
  <conditionalFormatting sqref="GQ67">
    <cfRule type="expression" dxfId="454" priority="497" stopIfTrue="1">
      <formula>IF(GQ$8="判定対象外",TRUE,FALSE)</formula>
    </cfRule>
  </conditionalFormatting>
  <conditionalFormatting sqref="GP68">
    <cfRule type="expression" dxfId="453" priority="491" stopIfTrue="1">
      <formula>IF(GQ$8="判定対象外",TRUE,FALSE)</formula>
    </cfRule>
  </conditionalFormatting>
  <conditionalFormatting sqref="GS68">
    <cfRule type="expression" dxfId="452" priority="489" stopIfTrue="1">
      <formula>IF(GS68="-",TRUE,FALSE)</formula>
    </cfRule>
    <cfRule type="expression" dxfId="451" priority="490" stopIfTrue="1">
      <formula>IF(OR(GS68="OK"),FALSE,TRUE)</formula>
    </cfRule>
  </conditionalFormatting>
  <conditionalFormatting sqref="GR68">
    <cfRule type="expression" dxfId="450" priority="488" stopIfTrue="1">
      <formula>IF(GQ$8="判定対象外",TRUE,FALSE)</formula>
    </cfRule>
  </conditionalFormatting>
  <conditionalFormatting sqref="GQ68">
    <cfRule type="expression" dxfId="449" priority="487" stopIfTrue="1">
      <formula>IF(GQ$8="判定対象外",TRUE,FALSE)</formula>
    </cfRule>
  </conditionalFormatting>
  <conditionalFormatting sqref="GP67">
    <cfRule type="expression" dxfId="448" priority="486" stopIfTrue="1">
      <formula>IF(GQ$8="判定対象外",TRUE,FALSE)</formula>
    </cfRule>
  </conditionalFormatting>
  <conditionalFormatting sqref="GS67">
    <cfRule type="expression" dxfId="447" priority="484" stopIfTrue="1">
      <formula>IF(GS67="-",TRUE,FALSE)</formula>
    </cfRule>
    <cfRule type="expression" dxfId="446" priority="485" stopIfTrue="1">
      <formula>IF(OR(GS67="OK"),FALSE,TRUE)</formula>
    </cfRule>
  </conditionalFormatting>
  <conditionalFormatting sqref="GR67">
    <cfRule type="expression" dxfId="445" priority="483" stopIfTrue="1">
      <formula>IF(GQ$8="判定対象外",TRUE,FALSE)</formula>
    </cfRule>
  </conditionalFormatting>
  <conditionalFormatting sqref="GQ67">
    <cfRule type="expression" dxfId="444" priority="482" stopIfTrue="1">
      <formula>IF(GQ$8="判定対象外",TRUE,FALSE)</formula>
    </cfRule>
  </conditionalFormatting>
  <conditionalFormatting sqref="GP69">
    <cfRule type="expression" dxfId="443" priority="481" stopIfTrue="1">
      <formula>IF(GQ$8="判定対象外",TRUE,FALSE)</formula>
    </cfRule>
  </conditionalFormatting>
  <conditionalFormatting sqref="GP69">
    <cfRule type="expression" dxfId="442" priority="475" stopIfTrue="1">
      <formula>IF(GQ$8="判定対象外",TRUE,FALSE)</formula>
    </cfRule>
  </conditionalFormatting>
  <conditionalFormatting sqref="GS69">
    <cfRule type="expression" dxfId="441" priority="473" stopIfTrue="1">
      <formula>IF(GS69="-",TRUE,FALSE)</formula>
    </cfRule>
    <cfRule type="expression" dxfId="440" priority="474" stopIfTrue="1">
      <formula>IF(OR(GS69="OK"),FALSE,TRUE)</formula>
    </cfRule>
  </conditionalFormatting>
  <conditionalFormatting sqref="GR69">
    <cfRule type="expression" dxfId="439" priority="472" stopIfTrue="1">
      <formula>IF(GQ$8="判定対象外",TRUE,FALSE)</formula>
    </cfRule>
  </conditionalFormatting>
  <conditionalFormatting sqref="GQ69">
    <cfRule type="expression" dxfId="438" priority="471" stopIfTrue="1">
      <formula>IF(GQ$8="判定対象外",TRUE,FALSE)</formula>
    </cfRule>
  </conditionalFormatting>
  <conditionalFormatting sqref="GP68">
    <cfRule type="expression" dxfId="437" priority="470" stopIfTrue="1">
      <formula>IF(GQ$8="判定対象外",TRUE,FALSE)</formula>
    </cfRule>
  </conditionalFormatting>
  <conditionalFormatting sqref="GS68">
    <cfRule type="expression" dxfId="436" priority="468" stopIfTrue="1">
      <formula>IF(GS68="-",TRUE,FALSE)</formula>
    </cfRule>
    <cfRule type="expression" dxfId="435" priority="469" stopIfTrue="1">
      <formula>IF(OR(GS68="OK"),FALSE,TRUE)</formula>
    </cfRule>
  </conditionalFormatting>
  <conditionalFormatting sqref="GR68">
    <cfRule type="expression" dxfId="434" priority="467" stopIfTrue="1">
      <formula>IF(GQ$8="判定対象外",TRUE,FALSE)</formula>
    </cfRule>
  </conditionalFormatting>
  <conditionalFormatting sqref="GQ68">
    <cfRule type="expression" dxfId="433" priority="466" stopIfTrue="1">
      <formula>IF(GQ$8="判定対象外",TRUE,FALSE)</formula>
    </cfRule>
  </conditionalFormatting>
  <conditionalFormatting sqref="GP69">
    <cfRule type="expression" dxfId="432" priority="465" stopIfTrue="1">
      <formula>IF(GQ$8="判定対象外",TRUE,FALSE)</formula>
    </cfRule>
  </conditionalFormatting>
  <conditionalFormatting sqref="GP70">
    <cfRule type="expression" dxfId="431" priority="464" stopIfTrue="1">
      <formula>IF(GQ$8="判定対象外",TRUE,FALSE)</formula>
    </cfRule>
  </conditionalFormatting>
  <conditionalFormatting sqref="GP69">
    <cfRule type="expression" dxfId="430" priority="463" stopIfTrue="1">
      <formula>IF(GQ$8="判定対象外",TRUE,FALSE)</formula>
    </cfRule>
  </conditionalFormatting>
  <conditionalFormatting sqref="GS69">
    <cfRule type="expression" dxfId="429" priority="461" stopIfTrue="1">
      <formula>IF(GS69="-",TRUE,FALSE)</formula>
    </cfRule>
    <cfRule type="expression" dxfId="428" priority="462" stopIfTrue="1">
      <formula>IF(OR(GS69="OK"),FALSE,TRUE)</formula>
    </cfRule>
  </conditionalFormatting>
  <conditionalFormatting sqref="GR69">
    <cfRule type="expression" dxfId="427" priority="460" stopIfTrue="1">
      <formula>IF(GQ$8="判定対象外",TRUE,FALSE)</formula>
    </cfRule>
  </conditionalFormatting>
  <conditionalFormatting sqref="GQ69">
    <cfRule type="expression" dxfId="426" priority="459" stopIfTrue="1">
      <formula>IF(GQ$8="判定対象外",TRUE,FALSE)</formula>
    </cfRule>
  </conditionalFormatting>
  <conditionalFormatting sqref="GP70">
    <cfRule type="expression" dxfId="425" priority="458" stopIfTrue="1">
      <formula>IF(GQ$8="判定対象外",TRUE,FALSE)</formula>
    </cfRule>
  </conditionalFormatting>
  <conditionalFormatting sqref="GP70">
    <cfRule type="expression" dxfId="424" priority="452" stopIfTrue="1">
      <formula>IF(GQ$8="判定対象外",TRUE,FALSE)</formula>
    </cfRule>
  </conditionalFormatting>
  <conditionalFormatting sqref="GS70">
    <cfRule type="expression" dxfId="423" priority="450" stopIfTrue="1">
      <formula>IF(GS70="-",TRUE,FALSE)</formula>
    </cfRule>
    <cfRule type="expression" dxfId="422" priority="451" stopIfTrue="1">
      <formula>IF(OR(GS70="OK"),FALSE,TRUE)</formula>
    </cfRule>
  </conditionalFormatting>
  <conditionalFormatting sqref="GR70">
    <cfRule type="expression" dxfId="421" priority="449" stopIfTrue="1">
      <formula>IF(GQ$8="判定対象外",TRUE,FALSE)</formula>
    </cfRule>
  </conditionalFormatting>
  <conditionalFormatting sqref="GQ70">
    <cfRule type="expression" dxfId="420" priority="448" stopIfTrue="1">
      <formula>IF(GQ$8="判定対象外",TRUE,FALSE)</formula>
    </cfRule>
  </conditionalFormatting>
  <conditionalFormatting sqref="GP69">
    <cfRule type="expression" dxfId="419" priority="447" stopIfTrue="1">
      <formula>IF(GQ$8="判定対象外",TRUE,FALSE)</formula>
    </cfRule>
  </conditionalFormatting>
  <conditionalFormatting sqref="GS69">
    <cfRule type="expression" dxfId="418" priority="445" stopIfTrue="1">
      <formula>IF(GS69="-",TRUE,FALSE)</formula>
    </cfRule>
    <cfRule type="expression" dxfId="417" priority="446" stopIfTrue="1">
      <formula>IF(OR(GS69="OK"),FALSE,TRUE)</formula>
    </cfRule>
  </conditionalFormatting>
  <conditionalFormatting sqref="GR69">
    <cfRule type="expression" dxfId="416" priority="444" stopIfTrue="1">
      <formula>IF(GQ$8="判定対象外",TRUE,FALSE)</formula>
    </cfRule>
  </conditionalFormatting>
  <conditionalFormatting sqref="GQ69">
    <cfRule type="expression" dxfId="415" priority="443" stopIfTrue="1">
      <formula>IF(GQ$8="判定対象外",TRUE,FALSE)</formula>
    </cfRule>
  </conditionalFormatting>
  <conditionalFormatting sqref="GP70">
    <cfRule type="expression" dxfId="414" priority="441" stopIfTrue="1">
      <formula>IF(GQ$8="判定対象外",TRUE,FALSE)</formula>
    </cfRule>
  </conditionalFormatting>
  <conditionalFormatting sqref="GP70">
    <cfRule type="expression" dxfId="413" priority="440" stopIfTrue="1">
      <formula>IF(GQ$8="判定対象外",TRUE,FALSE)</formula>
    </cfRule>
  </conditionalFormatting>
  <conditionalFormatting sqref="GP70">
    <cfRule type="expression" dxfId="412" priority="439" stopIfTrue="1">
      <formula>IF(GQ$8="判定対象外",TRUE,FALSE)</formula>
    </cfRule>
  </conditionalFormatting>
  <conditionalFormatting sqref="GS70">
    <cfRule type="expression" dxfId="411" priority="437" stopIfTrue="1">
      <formula>IF(GS70="-",TRUE,FALSE)</formula>
    </cfRule>
    <cfRule type="expression" dxfId="410" priority="438" stopIfTrue="1">
      <formula>IF(OR(GS70="OK"),FALSE,TRUE)</formula>
    </cfRule>
  </conditionalFormatting>
  <conditionalFormatting sqref="GR70">
    <cfRule type="expression" dxfId="409" priority="436" stopIfTrue="1">
      <formula>IF(GQ$8="判定対象外",TRUE,FALSE)</formula>
    </cfRule>
  </conditionalFormatting>
  <conditionalFormatting sqref="GQ70">
    <cfRule type="expression" dxfId="408" priority="435" stopIfTrue="1">
      <formula>IF(GQ$8="判定対象外",TRUE,FALSE)</formula>
    </cfRule>
  </conditionalFormatting>
  <conditionalFormatting sqref="GP70">
    <cfRule type="expression" dxfId="407" priority="434" stopIfTrue="1">
      <formula>IF(GQ$8="判定対象外",TRUE,FALSE)</formula>
    </cfRule>
  </conditionalFormatting>
  <conditionalFormatting sqref="GP70">
    <cfRule type="expression" dxfId="406" priority="432" stopIfTrue="1">
      <formula>IF(GQ$8="判定対象外",TRUE,FALSE)</formula>
    </cfRule>
  </conditionalFormatting>
  <conditionalFormatting sqref="GS70">
    <cfRule type="expression" dxfId="405" priority="430" stopIfTrue="1">
      <formula>IF(GS70="-",TRUE,FALSE)</formula>
    </cfRule>
    <cfRule type="expression" dxfId="404" priority="431" stopIfTrue="1">
      <formula>IF(OR(GS70="OK"),FALSE,TRUE)</formula>
    </cfRule>
  </conditionalFormatting>
  <conditionalFormatting sqref="GR70">
    <cfRule type="expression" dxfId="403" priority="429" stopIfTrue="1">
      <formula>IF(GQ$8="判定対象外",TRUE,FALSE)</formula>
    </cfRule>
  </conditionalFormatting>
  <conditionalFormatting sqref="GQ70">
    <cfRule type="expression" dxfId="402" priority="428" stopIfTrue="1">
      <formula>IF(GQ$8="判定対象外",TRUE,FALSE)</formula>
    </cfRule>
  </conditionalFormatting>
  <conditionalFormatting sqref="GS71">
    <cfRule type="expression" dxfId="401" priority="419" stopIfTrue="1">
      <formula>IF(GS71="-",TRUE,FALSE)</formula>
    </cfRule>
    <cfRule type="expression" dxfId="400" priority="420" stopIfTrue="1">
      <formula>IF(OR(GS71="OK"),FALSE,TRUE)</formula>
    </cfRule>
  </conditionalFormatting>
  <conditionalFormatting sqref="GR71">
    <cfRule type="expression" dxfId="399" priority="418" stopIfTrue="1">
      <formula>IF(GQ$8="判定対象外",TRUE,FALSE)</formula>
    </cfRule>
  </conditionalFormatting>
  <conditionalFormatting sqref="GQ71">
    <cfRule type="expression" dxfId="398" priority="417" stopIfTrue="1">
      <formula>IF(GQ$8="判定対象外",TRUE,FALSE)</formula>
    </cfRule>
  </conditionalFormatting>
  <conditionalFormatting sqref="GP70">
    <cfRule type="expression" dxfId="397" priority="416" stopIfTrue="1">
      <formula>IF(GQ$8="判定対象外",TRUE,FALSE)</formula>
    </cfRule>
  </conditionalFormatting>
  <conditionalFormatting sqref="GS70">
    <cfRule type="expression" dxfId="396" priority="414" stopIfTrue="1">
      <formula>IF(GS70="-",TRUE,FALSE)</formula>
    </cfRule>
    <cfRule type="expression" dxfId="395" priority="415" stopIfTrue="1">
      <formula>IF(OR(GS70="OK"),FALSE,TRUE)</formula>
    </cfRule>
  </conditionalFormatting>
  <conditionalFormatting sqref="GR70">
    <cfRule type="expression" dxfId="394" priority="413" stopIfTrue="1">
      <formula>IF(GQ$8="判定対象外",TRUE,FALSE)</formula>
    </cfRule>
  </conditionalFormatting>
  <conditionalFormatting sqref="GQ70">
    <cfRule type="expression" dxfId="393" priority="412" stopIfTrue="1">
      <formula>IF(GQ$8="判定対象外",TRUE,FALSE)</formula>
    </cfRule>
  </conditionalFormatting>
  <conditionalFormatting sqref="GP71">
    <cfRule type="expression" dxfId="392" priority="393" stopIfTrue="1">
      <formula>IF(GQ$8="判定対象外",TRUE,FALSE)</formula>
    </cfRule>
  </conditionalFormatting>
  <conditionalFormatting sqref="AT59">
    <cfRule type="expression" dxfId="391" priority="392" stopIfTrue="1">
      <formula>IF(AU$8="判定対象外",TRUE,FALSE)</formula>
    </cfRule>
  </conditionalFormatting>
  <conditionalFormatting sqref="BF60">
    <cfRule type="expression" dxfId="390" priority="391" stopIfTrue="1">
      <formula>IF(BG$8="判定対象外",TRUE,FALSE)</formula>
    </cfRule>
  </conditionalFormatting>
  <conditionalFormatting sqref="BR61">
    <cfRule type="expression" dxfId="389" priority="390" stopIfTrue="1">
      <formula>IF(BS$8="判定対象外",TRUE,FALSE)</formula>
    </cfRule>
  </conditionalFormatting>
  <conditionalFormatting sqref="CD62">
    <cfRule type="expression" dxfId="388" priority="389" stopIfTrue="1">
      <formula>IF(CE$8="判定対象外",TRUE,FALSE)</formula>
    </cfRule>
  </conditionalFormatting>
  <conditionalFormatting sqref="CP63">
    <cfRule type="expression" dxfId="387" priority="388" stopIfTrue="1">
      <formula>IF(CQ$8="判定対象外",TRUE,FALSE)</formula>
    </cfRule>
  </conditionalFormatting>
  <conditionalFormatting sqref="DB64">
    <cfRule type="expression" dxfId="386" priority="387" stopIfTrue="1">
      <formula>IF(DC$8="判定対象外",TRUE,FALSE)</formula>
    </cfRule>
  </conditionalFormatting>
  <conditionalFormatting sqref="DN65">
    <cfRule type="expression" dxfId="385" priority="386" stopIfTrue="1">
      <formula>IF(DO$8="判定対象外",TRUE,FALSE)</formula>
    </cfRule>
  </conditionalFormatting>
  <conditionalFormatting sqref="DZ66">
    <cfRule type="expression" dxfId="384" priority="385" stopIfTrue="1">
      <formula>IF(EA$8="判定対象外",TRUE,FALSE)</formula>
    </cfRule>
  </conditionalFormatting>
  <conditionalFormatting sqref="EL67">
    <cfRule type="expression" dxfId="383" priority="384" stopIfTrue="1">
      <formula>IF(EM$8="判定対象外",TRUE,FALSE)</formula>
    </cfRule>
  </conditionalFormatting>
  <conditionalFormatting sqref="EX68">
    <cfRule type="expression" dxfId="382" priority="383" stopIfTrue="1">
      <formula>IF(EY$8="判定対象外",TRUE,FALSE)</formula>
    </cfRule>
  </conditionalFormatting>
  <conditionalFormatting sqref="FJ69">
    <cfRule type="expression" dxfId="381" priority="382" stopIfTrue="1">
      <formula>IF(FK$8="判定対象外",TRUE,FALSE)</formula>
    </cfRule>
  </conditionalFormatting>
  <conditionalFormatting sqref="FV70">
    <cfRule type="expression" dxfId="380" priority="381" stopIfTrue="1">
      <formula>IF(FW$8="判定対象外",TRUE,FALSE)</formula>
    </cfRule>
  </conditionalFormatting>
  <conditionalFormatting sqref="GH71">
    <cfRule type="expression" dxfId="379" priority="380" stopIfTrue="1">
      <formula>IF(GI$8="判定対象外",TRUE,FALSE)</formula>
    </cfRule>
  </conditionalFormatting>
  <conditionalFormatting sqref="BQ35">
    <cfRule type="expression" dxfId="378" priority="378" stopIfTrue="1">
      <formula>IF(BQ35="-",TRUE,FALSE)</formula>
    </cfRule>
    <cfRule type="expression" dxfId="377" priority="379" stopIfTrue="1">
      <formula>IF(OR(BQ35="OK"),FALSE,TRUE)</formula>
    </cfRule>
  </conditionalFormatting>
  <conditionalFormatting sqref="BP35">
    <cfRule type="expression" dxfId="376" priority="377" stopIfTrue="1">
      <formula>IF(BO$8="判定対象外",TRUE,FALSE)</formula>
    </cfRule>
  </conditionalFormatting>
  <conditionalFormatting sqref="BN35">
    <cfRule type="expression" dxfId="375" priority="376" stopIfTrue="1">
      <formula>IF(BO$8="判定対象外",TRUE,FALSE)</formula>
    </cfRule>
  </conditionalFormatting>
  <conditionalFormatting sqref="BO35">
    <cfRule type="expression" dxfId="374" priority="375" stopIfTrue="1">
      <formula>IF(BO$8="判定対象外",TRUE,FALSE)</formula>
    </cfRule>
  </conditionalFormatting>
  <conditionalFormatting sqref="BU35">
    <cfRule type="expression" dxfId="373" priority="373" stopIfTrue="1">
      <formula>IF(BU35="-",TRUE,FALSE)</formula>
    </cfRule>
    <cfRule type="expression" dxfId="372" priority="374" stopIfTrue="1">
      <formula>IF(OR(BU35="OK"),FALSE,TRUE)</formula>
    </cfRule>
  </conditionalFormatting>
  <conditionalFormatting sqref="BT35">
    <cfRule type="expression" dxfId="371" priority="372" stopIfTrue="1">
      <formula>IF(BS$8="判定対象外",TRUE,FALSE)</formula>
    </cfRule>
  </conditionalFormatting>
  <conditionalFormatting sqref="BR35">
    <cfRule type="expression" dxfId="370" priority="371" stopIfTrue="1">
      <formula>IF(BS$8="判定対象外",TRUE,FALSE)</formula>
    </cfRule>
  </conditionalFormatting>
  <conditionalFormatting sqref="BS35">
    <cfRule type="expression" dxfId="369" priority="370" stopIfTrue="1">
      <formula>IF(BS$8="判定対象外",TRUE,FALSE)</formula>
    </cfRule>
  </conditionalFormatting>
  <conditionalFormatting sqref="BY35">
    <cfRule type="expression" dxfId="368" priority="368" stopIfTrue="1">
      <formula>IF(BY35="-",TRUE,FALSE)</formula>
    </cfRule>
    <cfRule type="expression" dxfId="367" priority="369" stopIfTrue="1">
      <formula>IF(OR(BY35="OK"),FALSE,TRUE)</formula>
    </cfRule>
  </conditionalFormatting>
  <conditionalFormatting sqref="BX35">
    <cfRule type="expression" dxfId="366" priority="367" stopIfTrue="1">
      <formula>IF(BW$8="判定対象外",TRUE,FALSE)</formula>
    </cfRule>
  </conditionalFormatting>
  <conditionalFormatting sqref="BV35">
    <cfRule type="expression" dxfId="365" priority="366" stopIfTrue="1">
      <formula>IF(BW$8="判定対象外",TRUE,FALSE)</formula>
    </cfRule>
  </conditionalFormatting>
  <conditionalFormatting sqref="BW35">
    <cfRule type="expression" dxfId="364" priority="365" stopIfTrue="1">
      <formula>IF(BW$8="判定対象外",TRUE,FALSE)</formula>
    </cfRule>
  </conditionalFormatting>
  <conditionalFormatting sqref="CC35">
    <cfRule type="expression" dxfId="363" priority="363" stopIfTrue="1">
      <formula>IF(CC35="-",TRUE,FALSE)</formula>
    </cfRule>
    <cfRule type="expression" dxfId="362" priority="364" stopIfTrue="1">
      <formula>IF(OR(CC35="OK"),FALSE,TRUE)</formula>
    </cfRule>
  </conditionalFormatting>
  <conditionalFormatting sqref="CB35">
    <cfRule type="expression" dxfId="361" priority="362" stopIfTrue="1">
      <formula>IF(CA$8="判定対象外",TRUE,FALSE)</formula>
    </cfRule>
  </conditionalFormatting>
  <conditionalFormatting sqref="BZ35">
    <cfRule type="expression" dxfId="360" priority="361" stopIfTrue="1">
      <formula>IF(CA$8="判定対象外",TRUE,FALSE)</formula>
    </cfRule>
  </conditionalFormatting>
  <conditionalFormatting sqref="CA35">
    <cfRule type="expression" dxfId="359" priority="360" stopIfTrue="1">
      <formula>IF(CA$8="判定対象外",TRUE,FALSE)</formula>
    </cfRule>
  </conditionalFormatting>
  <conditionalFormatting sqref="CG35">
    <cfRule type="expression" dxfId="358" priority="358" stopIfTrue="1">
      <formula>IF(CG35="-",TRUE,FALSE)</formula>
    </cfRule>
    <cfRule type="expression" dxfId="357" priority="359" stopIfTrue="1">
      <formula>IF(OR(CG35="OK"),FALSE,TRUE)</formula>
    </cfRule>
  </conditionalFormatting>
  <conditionalFormatting sqref="CF35">
    <cfRule type="expression" dxfId="356" priority="357" stopIfTrue="1">
      <formula>IF(CE$8="判定対象外",TRUE,FALSE)</formula>
    </cfRule>
  </conditionalFormatting>
  <conditionalFormatting sqref="CD35">
    <cfRule type="expression" dxfId="355" priority="356" stopIfTrue="1">
      <formula>IF(CE$8="判定対象外",TRUE,FALSE)</formula>
    </cfRule>
  </conditionalFormatting>
  <conditionalFormatting sqref="CE35">
    <cfRule type="expression" dxfId="354" priority="355" stopIfTrue="1">
      <formula>IF(CE$8="判定対象外",TRUE,FALSE)</formula>
    </cfRule>
  </conditionalFormatting>
  <conditionalFormatting sqref="CK35">
    <cfRule type="expression" dxfId="353" priority="353" stopIfTrue="1">
      <formula>IF(CK35="-",TRUE,FALSE)</formula>
    </cfRule>
    <cfRule type="expression" dxfId="352" priority="354" stopIfTrue="1">
      <formula>IF(OR(CK35="OK"),FALSE,TRUE)</formula>
    </cfRule>
  </conditionalFormatting>
  <conditionalFormatting sqref="CJ35">
    <cfRule type="expression" dxfId="351" priority="352" stopIfTrue="1">
      <formula>IF(CI$8="判定対象外",TRUE,FALSE)</formula>
    </cfRule>
  </conditionalFormatting>
  <conditionalFormatting sqref="CH35">
    <cfRule type="expression" dxfId="350" priority="351" stopIfTrue="1">
      <formula>IF(CI$8="判定対象外",TRUE,FALSE)</formula>
    </cfRule>
  </conditionalFormatting>
  <conditionalFormatting sqref="CI35">
    <cfRule type="expression" dxfId="349" priority="350" stopIfTrue="1">
      <formula>IF(CI$8="判定対象外",TRUE,FALSE)</formula>
    </cfRule>
  </conditionalFormatting>
  <conditionalFormatting sqref="CO35">
    <cfRule type="expression" dxfId="348" priority="348" stopIfTrue="1">
      <formula>IF(CO35="-",TRUE,FALSE)</formula>
    </cfRule>
    <cfRule type="expression" dxfId="347" priority="349" stopIfTrue="1">
      <formula>IF(OR(CO35="OK"),FALSE,TRUE)</formula>
    </cfRule>
  </conditionalFormatting>
  <conditionalFormatting sqref="CN35">
    <cfRule type="expression" dxfId="346" priority="347" stopIfTrue="1">
      <formula>IF(CM$8="判定対象外",TRUE,FALSE)</formula>
    </cfRule>
  </conditionalFormatting>
  <conditionalFormatting sqref="CL35">
    <cfRule type="expression" dxfId="345" priority="346" stopIfTrue="1">
      <formula>IF(CM$8="判定対象外",TRUE,FALSE)</formula>
    </cfRule>
  </conditionalFormatting>
  <conditionalFormatting sqref="CM35">
    <cfRule type="expression" dxfId="344" priority="345" stopIfTrue="1">
      <formula>IF(CM$8="判定対象外",TRUE,FALSE)</formula>
    </cfRule>
  </conditionalFormatting>
  <conditionalFormatting sqref="CS35">
    <cfRule type="expression" dxfId="343" priority="343" stopIfTrue="1">
      <formula>IF(CS35="-",TRUE,FALSE)</formula>
    </cfRule>
    <cfRule type="expression" dxfId="342" priority="344" stopIfTrue="1">
      <formula>IF(OR(CS35="OK"),FALSE,TRUE)</formula>
    </cfRule>
  </conditionalFormatting>
  <conditionalFormatting sqref="CR35">
    <cfRule type="expression" dxfId="341" priority="342" stopIfTrue="1">
      <formula>IF(CQ$8="判定対象外",TRUE,FALSE)</formula>
    </cfRule>
  </conditionalFormatting>
  <conditionalFormatting sqref="CP35">
    <cfRule type="expression" dxfId="340" priority="341" stopIfTrue="1">
      <formula>IF(CQ$8="判定対象外",TRUE,FALSE)</formula>
    </cfRule>
  </conditionalFormatting>
  <conditionalFormatting sqref="CQ35">
    <cfRule type="expression" dxfId="339" priority="340" stopIfTrue="1">
      <formula>IF(CQ$8="判定対象外",TRUE,FALSE)</formula>
    </cfRule>
  </conditionalFormatting>
  <conditionalFormatting sqref="CW35">
    <cfRule type="expression" dxfId="338" priority="338" stopIfTrue="1">
      <formula>IF(CW35="-",TRUE,FALSE)</formula>
    </cfRule>
    <cfRule type="expression" dxfId="337" priority="339" stopIfTrue="1">
      <formula>IF(OR(CW35="OK"),FALSE,TRUE)</formula>
    </cfRule>
  </conditionalFormatting>
  <conditionalFormatting sqref="CV35">
    <cfRule type="expression" dxfId="336" priority="337" stopIfTrue="1">
      <formula>IF(CU$8="判定対象外",TRUE,FALSE)</formula>
    </cfRule>
  </conditionalFormatting>
  <conditionalFormatting sqref="CT35">
    <cfRule type="expression" dxfId="335" priority="336" stopIfTrue="1">
      <formula>IF(CU$8="判定対象外",TRUE,FALSE)</formula>
    </cfRule>
  </conditionalFormatting>
  <conditionalFormatting sqref="CU35">
    <cfRule type="expression" dxfId="334" priority="335" stopIfTrue="1">
      <formula>IF(CU$8="判定対象外",TRUE,FALSE)</formula>
    </cfRule>
  </conditionalFormatting>
  <conditionalFormatting sqref="DE35">
    <cfRule type="expression" dxfId="333" priority="333" stopIfTrue="1">
      <formula>IF(DE35="-",TRUE,FALSE)</formula>
    </cfRule>
    <cfRule type="expression" dxfId="332" priority="334" stopIfTrue="1">
      <formula>IF(OR(DE35="OK"),FALSE,TRUE)</formula>
    </cfRule>
  </conditionalFormatting>
  <conditionalFormatting sqref="DD35">
    <cfRule type="expression" dxfId="331" priority="332" stopIfTrue="1">
      <formula>IF(DC$8="判定対象外",TRUE,FALSE)</formula>
    </cfRule>
  </conditionalFormatting>
  <conditionalFormatting sqref="DB35">
    <cfRule type="expression" dxfId="330" priority="331" stopIfTrue="1">
      <formula>IF(DC$8="判定対象外",TRUE,FALSE)</formula>
    </cfRule>
  </conditionalFormatting>
  <conditionalFormatting sqref="DC35">
    <cfRule type="expression" dxfId="329" priority="330" stopIfTrue="1">
      <formula>IF(DC$8="判定対象外",TRUE,FALSE)</formula>
    </cfRule>
  </conditionalFormatting>
  <conditionalFormatting sqref="DI35">
    <cfRule type="expression" dxfId="328" priority="328" stopIfTrue="1">
      <formula>IF(DI35="-",TRUE,FALSE)</formula>
    </cfRule>
    <cfRule type="expression" dxfId="327" priority="329" stopIfTrue="1">
      <formula>IF(OR(DI35="OK"),FALSE,TRUE)</formula>
    </cfRule>
  </conditionalFormatting>
  <conditionalFormatting sqref="DH35">
    <cfRule type="expression" dxfId="326" priority="327" stopIfTrue="1">
      <formula>IF(DG$8="判定対象外",TRUE,FALSE)</formula>
    </cfRule>
  </conditionalFormatting>
  <conditionalFormatting sqref="DF35">
    <cfRule type="expression" dxfId="325" priority="326" stopIfTrue="1">
      <formula>IF(DG$8="判定対象外",TRUE,FALSE)</formula>
    </cfRule>
  </conditionalFormatting>
  <conditionalFormatting sqref="DG35">
    <cfRule type="expression" dxfId="324" priority="325" stopIfTrue="1">
      <formula>IF(DG$8="判定対象外",TRUE,FALSE)</formula>
    </cfRule>
  </conditionalFormatting>
  <conditionalFormatting sqref="DM35">
    <cfRule type="expression" dxfId="323" priority="323" stopIfTrue="1">
      <formula>IF(DM35="-",TRUE,FALSE)</formula>
    </cfRule>
    <cfRule type="expression" dxfId="322" priority="324" stopIfTrue="1">
      <formula>IF(OR(DM35="OK"),FALSE,TRUE)</formula>
    </cfRule>
  </conditionalFormatting>
  <conditionalFormatting sqref="DL35">
    <cfRule type="expression" dxfId="321" priority="322" stopIfTrue="1">
      <formula>IF(DK$8="判定対象外",TRUE,FALSE)</formula>
    </cfRule>
  </conditionalFormatting>
  <conditionalFormatting sqref="DJ35">
    <cfRule type="expression" dxfId="320" priority="321" stopIfTrue="1">
      <formula>IF(DK$8="判定対象外",TRUE,FALSE)</formula>
    </cfRule>
  </conditionalFormatting>
  <conditionalFormatting sqref="DK35">
    <cfRule type="expression" dxfId="319" priority="320" stopIfTrue="1">
      <formula>IF(DK$8="判定対象外",TRUE,FALSE)</formula>
    </cfRule>
  </conditionalFormatting>
  <conditionalFormatting sqref="DQ35">
    <cfRule type="expression" dxfId="318" priority="318" stopIfTrue="1">
      <formula>IF(DQ35="-",TRUE,FALSE)</formula>
    </cfRule>
    <cfRule type="expression" dxfId="317" priority="319" stopIfTrue="1">
      <formula>IF(OR(DQ35="OK"),FALSE,TRUE)</formula>
    </cfRule>
  </conditionalFormatting>
  <conditionalFormatting sqref="DP35">
    <cfRule type="expression" dxfId="316" priority="317" stopIfTrue="1">
      <formula>IF(DO$8="判定対象外",TRUE,FALSE)</formula>
    </cfRule>
  </conditionalFormatting>
  <conditionalFormatting sqref="DN35">
    <cfRule type="expression" dxfId="315" priority="316" stopIfTrue="1">
      <formula>IF(DO$8="判定対象外",TRUE,FALSE)</formula>
    </cfRule>
  </conditionalFormatting>
  <conditionalFormatting sqref="DO35">
    <cfRule type="expression" dxfId="314" priority="315" stopIfTrue="1">
      <formula>IF(DO$8="判定対象外",TRUE,FALSE)</formula>
    </cfRule>
  </conditionalFormatting>
  <conditionalFormatting sqref="DU35">
    <cfRule type="expression" dxfId="313" priority="313" stopIfTrue="1">
      <formula>IF(DU35="-",TRUE,FALSE)</formula>
    </cfRule>
    <cfRule type="expression" dxfId="312" priority="314" stopIfTrue="1">
      <formula>IF(OR(DU35="OK"),FALSE,TRUE)</formula>
    </cfRule>
  </conditionalFormatting>
  <conditionalFormatting sqref="DT35">
    <cfRule type="expression" dxfId="311" priority="312" stopIfTrue="1">
      <formula>IF(DS$8="判定対象外",TRUE,FALSE)</formula>
    </cfRule>
  </conditionalFormatting>
  <conditionalFormatting sqref="DR35">
    <cfRule type="expression" dxfId="310" priority="311" stopIfTrue="1">
      <formula>IF(DS$8="判定対象外",TRUE,FALSE)</formula>
    </cfRule>
  </conditionalFormatting>
  <conditionalFormatting sqref="DS35">
    <cfRule type="expression" dxfId="309" priority="310" stopIfTrue="1">
      <formula>IF(DS$8="判定対象外",TRUE,FALSE)</formula>
    </cfRule>
  </conditionalFormatting>
  <conditionalFormatting sqref="DY35">
    <cfRule type="expression" dxfId="308" priority="308" stopIfTrue="1">
      <formula>IF(DY35="-",TRUE,FALSE)</formula>
    </cfRule>
    <cfRule type="expression" dxfId="307" priority="309" stopIfTrue="1">
      <formula>IF(OR(DY35="OK"),FALSE,TRUE)</formula>
    </cfRule>
  </conditionalFormatting>
  <conditionalFormatting sqref="DX35">
    <cfRule type="expression" dxfId="306" priority="307" stopIfTrue="1">
      <formula>IF(DW$8="判定対象外",TRUE,FALSE)</formula>
    </cfRule>
  </conditionalFormatting>
  <conditionalFormatting sqref="DV35">
    <cfRule type="expression" dxfId="305" priority="306" stopIfTrue="1">
      <formula>IF(DW$8="判定対象外",TRUE,FALSE)</formula>
    </cfRule>
  </conditionalFormatting>
  <conditionalFormatting sqref="DW35">
    <cfRule type="expression" dxfId="304" priority="305" stopIfTrue="1">
      <formula>IF(DW$8="判定対象外",TRUE,FALSE)</formula>
    </cfRule>
  </conditionalFormatting>
  <conditionalFormatting sqref="EC35">
    <cfRule type="expression" dxfId="303" priority="303" stopIfTrue="1">
      <formula>IF(EC35="-",TRUE,FALSE)</formula>
    </cfRule>
    <cfRule type="expression" dxfId="302" priority="304" stopIfTrue="1">
      <formula>IF(OR(EC35="OK"),FALSE,TRUE)</formula>
    </cfRule>
  </conditionalFormatting>
  <conditionalFormatting sqref="EB35">
    <cfRule type="expression" dxfId="301" priority="302" stopIfTrue="1">
      <formula>IF(EA$8="判定対象外",TRUE,FALSE)</formula>
    </cfRule>
  </conditionalFormatting>
  <conditionalFormatting sqref="DZ35">
    <cfRule type="expression" dxfId="300" priority="301" stopIfTrue="1">
      <formula>IF(EA$8="判定対象外",TRUE,FALSE)</formula>
    </cfRule>
  </conditionalFormatting>
  <conditionalFormatting sqref="EA35">
    <cfRule type="expression" dxfId="299" priority="300" stopIfTrue="1">
      <formula>IF(EA$8="判定対象外",TRUE,FALSE)</formula>
    </cfRule>
  </conditionalFormatting>
  <conditionalFormatting sqref="EG35">
    <cfRule type="expression" dxfId="298" priority="298" stopIfTrue="1">
      <formula>IF(EG35="-",TRUE,FALSE)</formula>
    </cfRule>
    <cfRule type="expression" dxfId="297" priority="299" stopIfTrue="1">
      <formula>IF(OR(EG35="OK"),FALSE,TRUE)</formula>
    </cfRule>
  </conditionalFormatting>
  <conditionalFormatting sqref="EF35">
    <cfRule type="expression" dxfId="296" priority="297" stopIfTrue="1">
      <formula>IF(EE$8="判定対象外",TRUE,FALSE)</formula>
    </cfRule>
  </conditionalFormatting>
  <conditionalFormatting sqref="ED35">
    <cfRule type="expression" dxfId="295" priority="296" stopIfTrue="1">
      <formula>IF(EE$8="判定対象外",TRUE,FALSE)</formula>
    </cfRule>
  </conditionalFormatting>
  <conditionalFormatting sqref="EE35">
    <cfRule type="expression" dxfId="294" priority="295" stopIfTrue="1">
      <formula>IF(EE$8="判定対象外",TRUE,FALSE)</formula>
    </cfRule>
  </conditionalFormatting>
  <conditionalFormatting sqref="EK35">
    <cfRule type="expression" dxfId="293" priority="293" stopIfTrue="1">
      <formula>IF(EK35="-",TRUE,FALSE)</formula>
    </cfRule>
    <cfRule type="expression" dxfId="292" priority="294" stopIfTrue="1">
      <formula>IF(OR(EK35="OK"),FALSE,TRUE)</formula>
    </cfRule>
  </conditionalFormatting>
  <conditionalFormatting sqref="EJ35">
    <cfRule type="expression" dxfId="291" priority="292" stopIfTrue="1">
      <formula>IF(EI$8="判定対象外",TRUE,FALSE)</formula>
    </cfRule>
  </conditionalFormatting>
  <conditionalFormatting sqref="EH35">
    <cfRule type="expression" dxfId="290" priority="291" stopIfTrue="1">
      <formula>IF(EI$8="判定対象外",TRUE,FALSE)</formula>
    </cfRule>
  </conditionalFormatting>
  <conditionalFormatting sqref="EI35">
    <cfRule type="expression" dxfId="289" priority="290" stopIfTrue="1">
      <formula>IF(EI$8="判定対象外",TRUE,FALSE)</formula>
    </cfRule>
  </conditionalFormatting>
  <conditionalFormatting sqref="FV35">
    <cfRule type="expression" dxfId="288" priority="289" stopIfTrue="1">
      <formula>IF(FW$8="判定対象外",TRUE,FALSE)</formula>
    </cfRule>
  </conditionalFormatting>
  <conditionalFormatting sqref="EO35">
    <cfRule type="expression" dxfId="287" priority="287" stopIfTrue="1">
      <formula>IF(EO35="-",TRUE,FALSE)</formula>
    </cfRule>
    <cfRule type="expression" dxfId="286" priority="288" stopIfTrue="1">
      <formula>IF(OR(EO35="OK"),FALSE,TRUE)</formula>
    </cfRule>
  </conditionalFormatting>
  <conditionalFormatting sqref="EN35">
    <cfRule type="expression" dxfId="285" priority="286" stopIfTrue="1">
      <formula>IF(EM$8="判定対象外",TRUE,FALSE)</formula>
    </cfRule>
  </conditionalFormatting>
  <conditionalFormatting sqref="EL35">
    <cfRule type="expression" dxfId="284" priority="285" stopIfTrue="1">
      <formula>IF(EM$8="判定対象外",TRUE,FALSE)</formula>
    </cfRule>
  </conditionalFormatting>
  <conditionalFormatting sqref="EM35">
    <cfRule type="expression" dxfId="283" priority="284" stopIfTrue="1">
      <formula>IF(EM$8="判定対象外",TRUE,FALSE)</formula>
    </cfRule>
  </conditionalFormatting>
  <conditionalFormatting sqref="ES35">
    <cfRule type="expression" dxfId="282" priority="282" stopIfTrue="1">
      <formula>IF(ES35="-",TRUE,FALSE)</formula>
    </cfRule>
    <cfRule type="expression" dxfId="281" priority="283" stopIfTrue="1">
      <formula>IF(OR(ES35="OK"),FALSE,TRUE)</formula>
    </cfRule>
  </conditionalFormatting>
  <conditionalFormatting sqref="ER35">
    <cfRule type="expression" dxfId="280" priority="281" stopIfTrue="1">
      <formula>IF(EQ$8="判定対象外",TRUE,FALSE)</formula>
    </cfRule>
  </conditionalFormatting>
  <conditionalFormatting sqref="EP35">
    <cfRule type="expression" dxfId="279" priority="280" stopIfTrue="1">
      <formula>IF(EQ$8="判定対象外",TRUE,FALSE)</formula>
    </cfRule>
  </conditionalFormatting>
  <conditionalFormatting sqref="EQ35">
    <cfRule type="expression" dxfId="278" priority="279" stopIfTrue="1">
      <formula>IF(EQ$8="判定対象外",TRUE,FALSE)</formula>
    </cfRule>
  </conditionalFormatting>
  <conditionalFormatting sqref="EW35">
    <cfRule type="expression" dxfId="277" priority="277" stopIfTrue="1">
      <formula>IF(EW35="-",TRUE,FALSE)</formula>
    </cfRule>
    <cfRule type="expression" dxfId="276" priority="278" stopIfTrue="1">
      <formula>IF(OR(EW35="OK"),FALSE,TRUE)</formula>
    </cfRule>
  </conditionalFormatting>
  <conditionalFormatting sqref="EV35">
    <cfRule type="expression" dxfId="275" priority="276" stopIfTrue="1">
      <formula>IF(EU$8="判定対象外",TRUE,FALSE)</formula>
    </cfRule>
  </conditionalFormatting>
  <conditionalFormatting sqref="ET35">
    <cfRule type="expression" dxfId="274" priority="275" stopIfTrue="1">
      <formula>IF(EU$8="判定対象外",TRUE,FALSE)</formula>
    </cfRule>
  </conditionalFormatting>
  <conditionalFormatting sqref="EU35">
    <cfRule type="expression" dxfId="273" priority="274" stopIfTrue="1">
      <formula>IF(EU$8="判定対象外",TRUE,FALSE)</formula>
    </cfRule>
  </conditionalFormatting>
  <conditionalFormatting sqref="FA35">
    <cfRule type="expression" dxfId="272" priority="272" stopIfTrue="1">
      <formula>IF(FA35="-",TRUE,FALSE)</formula>
    </cfRule>
    <cfRule type="expression" dxfId="271" priority="273" stopIfTrue="1">
      <formula>IF(OR(FA35="OK"),FALSE,TRUE)</formula>
    </cfRule>
  </conditionalFormatting>
  <conditionalFormatting sqref="EZ35">
    <cfRule type="expression" dxfId="270" priority="271" stopIfTrue="1">
      <formula>IF(EY$8="判定対象外",TRUE,FALSE)</formula>
    </cfRule>
  </conditionalFormatting>
  <conditionalFormatting sqref="EX35">
    <cfRule type="expression" dxfId="269" priority="270" stopIfTrue="1">
      <formula>IF(EY$8="判定対象外",TRUE,FALSE)</formula>
    </cfRule>
  </conditionalFormatting>
  <conditionalFormatting sqref="EY35">
    <cfRule type="expression" dxfId="268" priority="269" stopIfTrue="1">
      <formula>IF(EY$8="判定対象外",TRUE,FALSE)</formula>
    </cfRule>
  </conditionalFormatting>
  <conditionalFormatting sqref="FE35">
    <cfRule type="expression" dxfId="267" priority="267" stopIfTrue="1">
      <formula>IF(FE35="-",TRUE,FALSE)</formula>
    </cfRule>
    <cfRule type="expression" dxfId="266" priority="268" stopIfTrue="1">
      <formula>IF(OR(FE35="OK"),FALSE,TRUE)</formula>
    </cfRule>
  </conditionalFormatting>
  <conditionalFormatting sqref="FD35">
    <cfRule type="expression" dxfId="265" priority="266" stopIfTrue="1">
      <formula>IF(FC$8="判定対象外",TRUE,FALSE)</formula>
    </cfRule>
  </conditionalFormatting>
  <conditionalFormatting sqref="FB35">
    <cfRule type="expression" dxfId="264" priority="265" stopIfTrue="1">
      <formula>IF(FC$8="判定対象外",TRUE,FALSE)</formula>
    </cfRule>
  </conditionalFormatting>
  <conditionalFormatting sqref="FC35">
    <cfRule type="expression" dxfId="263" priority="264" stopIfTrue="1">
      <formula>IF(FC$8="判定対象外",TRUE,FALSE)</formula>
    </cfRule>
  </conditionalFormatting>
  <conditionalFormatting sqref="FI35">
    <cfRule type="expression" dxfId="262" priority="262" stopIfTrue="1">
      <formula>IF(FI35="-",TRUE,FALSE)</formula>
    </cfRule>
    <cfRule type="expression" dxfId="261" priority="263" stopIfTrue="1">
      <formula>IF(OR(FI35="OK"),FALSE,TRUE)</formula>
    </cfRule>
  </conditionalFormatting>
  <conditionalFormatting sqref="FH35">
    <cfRule type="expression" dxfId="260" priority="261" stopIfTrue="1">
      <formula>IF(FG$8="判定対象外",TRUE,FALSE)</formula>
    </cfRule>
  </conditionalFormatting>
  <conditionalFormatting sqref="FF35">
    <cfRule type="expression" dxfId="259" priority="260" stopIfTrue="1">
      <formula>IF(FG$8="判定対象外",TRUE,FALSE)</formula>
    </cfRule>
  </conditionalFormatting>
  <conditionalFormatting sqref="FG35">
    <cfRule type="expression" dxfId="258" priority="259" stopIfTrue="1">
      <formula>IF(FG$8="判定対象外",TRUE,FALSE)</formula>
    </cfRule>
  </conditionalFormatting>
  <conditionalFormatting sqref="FM35">
    <cfRule type="expression" dxfId="257" priority="257" stopIfTrue="1">
      <formula>IF(FM35="-",TRUE,FALSE)</formula>
    </cfRule>
    <cfRule type="expression" dxfId="256" priority="258" stopIfTrue="1">
      <formula>IF(OR(FM35="OK"),FALSE,TRUE)</formula>
    </cfRule>
  </conditionalFormatting>
  <conditionalFormatting sqref="FL35">
    <cfRule type="expression" dxfId="255" priority="256" stopIfTrue="1">
      <formula>IF(FK$8="判定対象外",TRUE,FALSE)</formula>
    </cfRule>
  </conditionalFormatting>
  <conditionalFormatting sqref="FJ35">
    <cfRule type="expression" dxfId="254" priority="255" stopIfTrue="1">
      <formula>IF(FK$8="判定対象外",TRUE,FALSE)</formula>
    </cfRule>
  </conditionalFormatting>
  <conditionalFormatting sqref="FK35">
    <cfRule type="expression" dxfId="253" priority="254" stopIfTrue="1">
      <formula>IF(FK$8="判定対象外",TRUE,FALSE)</formula>
    </cfRule>
  </conditionalFormatting>
  <conditionalFormatting sqref="FQ35">
    <cfRule type="expression" dxfId="252" priority="252" stopIfTrue="1">
      <formula>IF(FQ35="-",TRUE,FALSE)</formula>
    </cfRule>
    <cfRule type="expression" dxfId="251" priority="253" stopIfTrue="1">
      <formula>IF(OR(FQ35="OK"),FALSE,TRUE)</formula>
    </cfRule>
  </conditionalFormatting>
  <conditionalFormatting sqref="FP35">
    <cfRule type="expression" dxfId="250" priority="251" stopIfTrue="1">
      <formula>IF(FO$8="判定対象外",TRUE,FALSE)</formula>
    </cfRule>
  </conditionalFormatting>
  <conditionalFormatting sqref="FN35">
    <cfRule type="expression" dxfId="249" priority="250" stopIfTrue="1">
      <formula>IF(FO$8="判定対象外",TRUE,FALSE)</formula>
    </cfRule>
  </conditionalFormatting>
  <conditionalFormatting sqref="FO35">
    <cfRule type="expression" dxfId="248" priority="249" stopIfTrue="1">
      <formula>IF(FO$8="判定対象外",TRUE,FALSE)</formula>
    </cfRule>
  </conditionalFormatting>
  <conditionalFormatting sqref="FU35">
    <cfRule type="expression" dxfId="247" priority="247" stopIfTrue="1">
      <formula>IF(FU35="-",TRUE,FALSE)</formula>
    </cfRule>
    <cfRule type="expression" dxfId="246" priority="248" stopIfTrue="1">
      <formula>IF(OR(FU35="OK"),FALSE,TRUE)</formula>
    </cfRule>
  </conditionalFormatting>
  <conditionalFormatting sqref="FT35">
    <cfRule type="expression" dxfId="245" priority="246" stopIfTrue="1">
      <formula>IF(FS$8="判定対象外",TRUE,FALSE)</formula>
    </cfRule>
  </conditionalFormatting>
  <conditionalFormatting sqref="FR35">
    <cfRule type="expression" dxfId="244" priority="245" stopIfTrue="1">
      <formula>IF(FS$8="判定対象外",TRUE,FALSE)</formula>
    </cfRule>
  </conditionalFormatting>
  <conditionalFormatting sqref="FS35">
    <cfRule type="expression" dxfId="243" priority="244" stopIfTrue="1">
      <formula>IF(FS$8="判定対象外",TRUE,FALSE)</formula>
    </cfRule>
  </conditionalFormatting>
  <conditionalFormatting sqref="ES35">
    <cfRule type="expression" dxfId="242" priority="242" stopIfTrue="1">
      <formula>IF(ES35="-",TRUE,FALSE)</formula>
    </cfRule>
    <cfRule type="expression" dxfId="241" priority="243" stopIfTrue="1">
      <formula>IF(OR(ES35="OK"),FALSE,TRUE)</formula>
    </cfRule>
  </conditionalFormatting>
  <conditionalFormatting sqref="ER35">
    <cfRule type="expression" dxfId="240" priority="241" stopIfTrue="1">
      <formula>IF(EQ$8="判定対象外",TRUE,FALSE)</formula>
    </cfRule>
  </conditionalFormatting>
  <conditionalFormatting sqref="EP35">
    <cfRule type="expression" dxfId="239" priority="240" stopIfTrue="1">
      <formula>IF(EQ$8="判定対象外",TRUE,FALSE)</formula>
    </cfRule>
  </conditionalFormatting>
  <conditionalFormatting sqref="EQ35">
    <cfRule type="expression" dxfId="238" priority="239" stopIfTrue="1">
      <formula>IF(EQ$8="判定対象外",TRUE,FALSE)</formula>
    </cfRule>
  </conditionalFormatting>
  <conditionalFormatting sqref="EW35">
    <cfRule type="expression" dxfId="237" priority="237" stopIfTrue="1">
      <formula>IF(EW35="-",TRUE,FALSE)</formula>
    </cfRule>
    <cfRule type="expression" dxfId="236" priority="238" stopIfTrue="1">
      <formula>IF(OR(EW35="OK"),FALSE,TRUE)</formula>
    </cfRule>
  </conditionalFormatting>
  <conditionalFormatting sqref="EV35">
    <cfRule type="expression" dxfId="235" priority="236" stopIfTrue="1">
      <formula>IF(EU$8="判定対象外",TRUE,FALSE)</formula>
    </cfRule>
  </conditionalFormatting>
  <conditionalFormatting sqref="ET35">
    <cfRule type="expression" dxfId="234" priority="235" stopIfTrue="1">
      <formula>IF(EU$8="判定対象外",TRUE,FALSE)</formula>
    </cfRule>
  </conditionalFormatting>
  <conditionalFormatting sqref="EU35">
    <cfRule type="expression" dxfId="233" priority="234" stopIfTrue="1">
      <formula>IF(EU$8="判定対象外",TRUE,FALSE)</formula>
    </cfRule>
  </conditionalFormatting>
  <conditionalFormatting sqref="FA35">
    <cfRule type="expression" dxfId="232" priority="232" stopIfTrue="1">
      <formula>IF(FA35="-",TRUE,FALSE)</formula>
    </cfRule>
    <cfRule type="expression" dxfId="231" priority="233" stopIfTrue="1">
      <formula>IF(OR(FA35="OK"),FALSE,TRUE)</formula>
    </cfRule>
  </conditionalFormatting>
  <conditionalFormatting sqref="EZ35">
    <cfRule type="expression" dxfId="230" priority="231" stopIfTrue="1">
      <formula>IF(EY$8="判定対象外",TRUE,FALSE)</formula>
    </cfRule>
  </conditionalFormatting>
  <conditionalFormatting sqref="EX35">
    <cfRule type="expression" dxfId="229" priority="230" stopIfTrue="1">
      <formula>IF(EY$8="判定対象外",TRUE,FALSE)</formula>
    </cfRule>
  </conditionalFormatting>
  <conditionalFormatting sqref="EY35">
    <cfRule type="expression" dxfId="228" priority="229" stopIfTrue="1">
      <formula>IF(EY$8="判定対象外",TRUE,FALSE)</formula>
    </cfRule>
  </conditionalFormatting>
  <conditionalFormatting sqref="FE35">
    <cfRule type="expression" dxfId="227" priority="227" stopIfTrue="1">
      <formula>IF(FE35="-",TRUE,FALSE)</formula>
    </cfRule>
    <cfRule type="expression" dxfId="226" priority="228" stopIfTrue="1">
      <formula>IF(OR(FE35="OK"),FALSE,TRUE)</formula>
    </cfRule>
  </conditionalFormatting>
  <conditionalFormatting sqref="FD35">
    <cfRule type="expression" dxfId="225" priority="226" stopIfTrue="1">
      <formula>IF(FC$8="判定対象外",TRUE,FALSE)</formula>
    </cfRule>
  </conditionalFormatting>
  <conditionalFormatting sqref="FB35">
    <cfRule type="expression" dxfId="224" priority="225" stopIfTrue="1">
      <formula>IF(FC$8="判定対象外",TRUE,FALSE)</formula>
    </cfRule>
  </conditionalFormatting>
  <conditionalFormatting sqref="FC35">
    <cfRule type="expression" dxfId="223" priority="224" stopIfTrue="1">
      <formula>IF(FC$8="判定対象外",TRUE,FALSE)</formula>
    </cfRule>
  </conditionalFormatting>
  <conditionalFormatting sqref="FI35">
    <cfRule type="expression" dxfId="222" priority="222" stopIfTrue="1">
      <formula>IF(FI35="-",TRUE,FALSE)</formula>
    </cfRule>
    <cfRule type="expression" dxfId="221" priority="223" stopIfTrue="1">
      <formula>IF(OR(FI35="OK"),FALSE,TRUE)</formula>
    </cfRule>
  </conditionalFormatting>
  <conditionalFormatting sqref="FH35">
    <cfRule type="expression" dxfId="220" priority="221" stopIfTrue="1">
      <formula>IF(FG$8="判定対象外",TRUE,FALSE)</formula>
    </cfRule>
  </conditionalFormatting>
  <conditionalFormatting sqref="FF35">
    <cfRule type="expression" dxfId="219" priority="220" stopIfTrue="1">
      <formula>IF(FG$8="判定対象外",TRUE,FALSE)</formula>
    </cfRule>
  </conditionalFormatting>
  <conditionalFormatting sqref="FG35">
    <cfRule type="expression" dxfId="218" priority="219" stopIfTrue="1">
      <formula>IF(FG$8="判定対象外",TRUE,FALSE)</formula>
    </cfRule>
  </conditionalFormatting>
  <conditionalFormatting sqref="FM35">
    <cfRule type="expression" dxfId="217" priority="217" stopIfTrue="1">
      <formula>IF(FM35="-",TRUE,FALSE)</formula>
    </cfRule>
    <cfRule type="expression" dxfId="216" priority="218" stopIfTrue="1">
      <formula>IF(OR(FM35="OK"),FALSE,TRUE)</formula>
    </cfRule>
  </conditionalFormatting>
  <conditionalFormatting sqref="FL35">
    <cfRule type="expression" dxfId="215" priority="216" stopIfTrue="1">
      <formula>IF(FK$8="判定対象外",TRUE,FALSE)</formula>
    </cfRule>
  </conditionalFormatting>
  <conditionalFormatting sqref="FJ35">
    <cfRule type="expression" dxfId="214" priority="215" stopIfTrue="1">
      <formula>IF(FK$8="判定対象外",TRUE,FALSE)</formula>
    </cfRule>
  </conditionalFormatting>
  <conditionalFormatting sqref="FK35">
    <cfRule type="expression" dxfId="213" priority="214" stopIfTrue="1">
      <formula>IF(FK$8="判定対象外",TRUE,FALSE)</formula>
    </cfRule>
  </conditionalFormatting>
  <conditionalFormatting sqref="FQ35">
    <cfRule type="expression" dxfId="212" priority="212" stopIfTrue="1">
      <formula>IF(FQ35="-",TRUE,FALSE)</formula>
    </cfRule>
    <cfRule type="expression" dxfId="211" priority="213" stopIfTrue="1">
      <formula>IF(OR(FQ35="OK"),FALSE,TRUE)</formula>
    </cfRule>
  </conditionalFormatting>
  <conditionalFormatting sqref="FP35">
    <cfRule type="expression" dxfId="210" priority="211" stopIfTrue="1">
      <formula>IF(FO$8="判定対象外",TRUE,FALSE)</formula>
    </cfRule>
  </conditionalFormatting>
  <conditionalFormatting sqref="FN35">
    <cfRule type="expression" dxfId="209" priority="210" stopIfTrue="1">
      <formula>IF(FO$8="判定対象外",TRUE,FALSE)</formula>
    </cfRule>
  </conditionalFormatting>
  <conditionalFormatting sqref="FO35">
    <cfRule type="expression" dxfId="208" priority="209" stopIfTrue="1">
      <formula>IF(FO$8="判定対象外",TRUE,FALSE)</formula>
    </cfRule>
  </conditionalFormatting>
  <conditionalFormatting sqref="FU35">
    <cfRule type="expression" dxfId="207" priority="207" stopIfTrue="1">
      <formula>IF(FU35="-",TRUE,FALSE)</formula>
    </cfRule>
    <cfRule type="expression" dxfId="206" priority="208" stopIfTrue="1">
      <formula>IF(OR(FU35="OK"),FALSE,TRUE)</formula>
    </cfRule>
  </conditionalFormatting>
  <conditionalFormatting sqref="FT35">
    <cfRule type="expression" dxfId="205" priority="206" stopIfTrue="1">
      <formula>IF(FS$8="判定対象外",TRUE,FALSE)</formula>
    </cfRule>
  </conditionalFormatting>
  <conditionalFormatting sqref="FR35">
    <cfRule type="expression" dxfId="204" priority="205" stopIfTrue="1">
      <formula>IF(FS$8="判定対象外",TRUE,FALSE)</formula>
    </cfRule>
  </conditionalFormatting>
  <conditionalFormatting sqref="FS35">
    <cfRule type="expression" dxfId="203" priority="204" stopIfTrue="1">
      <formula>IF(FS$8="判定対象外",TRUE,FALSE)</formula>
    </cfRule>
  </conditionalFormatting>
  <conditionalFormatting sqref="FV35">
    <cfRule type="expression" dxfId="202" priority="203" stopIfTrue="1">
      <formula>IF(FW$8="判定対象外",TRUE,FALSE)</formula>
    </cfRule>
  </conditionalFormatting>
  <conditionalFormatting sqref="DE35">
    <cfRule type="expression" dxfId="201" priority="201" stopIfTrue="1">
      <formula>IF(DE35="-",TRUE,FALSE)</formula>
    </cfRule>
    <cfRule type="expression" dxfId="200" priority="202" stopIfTrue="1">
      <formula>IF(OR(DE35="OK"),FALSE,TRUE)</formula>
    </cfRule>
  </conditionalFormatting>
  <conditionalFormatting sqref="DD35">
    <cfRule type="expression" dxfId="199" priority="200" stopIfTrue="1">
      <formula>IF(DC$8="判定対象外",TRUE,FALSE)</formula>
    </cfRule>
  </conditionalFormatting>
  <conditionalFormatting sqref="DB35">
    <cfRule type="expression" dxfId="198" priority="199" stopIfTrue="1">
      <formula>IF(DC$8="判定対象外",TRUE,FALSE)</formula>
    </cfRule>
  </conditionalFormatting>
  <conditionalFormatting sqref="DC35">
    <cfRule type="expression" dxfId="197" priority="198" stopIfTrue="1">
      <formula>IF(DC$8="判定対象外",TRUE,FALSE)</formula>
    </cfRule>
  </conditionalFormatting>
  <conditionalFormatting sqref="GC35">
    <cfRule type="expression" dxfId="196" priority="196" stopIfTrue="1">
      <formula>IF(GC35="-",TRUE,FALSE)</formula>
    </cfRule>
    <cfRule type="expression" dxfId="195" priority="197" stopIfTrue="1">
      <formula>IF(OR(GC35="OK"),FALSE,TRUE)</formula>
    </cfRule>
  </conditionalFormatting>
  <conditionalFormatting sqref="GB35">
    <cfRule type="expression" dxfId="194" priority="195" stopIfTrue="1">
      <formula>IF(GA$8="判定対象外",TRUE,FALSE)</formula>
    </cfRule>
  </conditionalFormatting>
  <conditionalFormatting sqref="GA35">
    <cfRule type="expression" dxfId="193" priority="194" stopIfTrue="1">
      <formula>IF(GA$8="判定対象外",TRUE,FALSE)</formula>
    </cfRule>
  </conditionalFormatting>
  <conditionalFormatting sqref="GG35">
    <cfRule type="expression" dxfId="192" priority="192" stopIfTrue="1">
      <formula>IF(GG35="-",TRUE,FALSE)</formula>
    </cfRule>
    <cfRule type="expression" dxfId="191" priority="193" stopIfTrue="1">
      <formula>IF(OR(GG35="OK"),FALSE,TRUE)</formula>
    </cfRule>
  </conditionalFormatting>
  <conditionalFormatting sqref="GF35">
    <cfRule type="expression" dxfId="190" priority="191" stopIfTrue="1">
      <formula>IF(GE$8="判定対象外",TRUE,FALSE)</formula>
    </cfRule>
  </conditionalFormatting>
  <conditionalFormatting sqref="GD35">
    <cfRule type="expression" dxfId="189" priority="190" stopIfTrue="1">
      <formula>IF(GE$8="判定対象外",TRUE,FALSE)</formula>
    </cfRule>
  </conditionalFormatting>
  <conditionalFormatting sqref="GE35">
    <cfRule type="expression" dxfId="188" priority="189" stopIfTrue="1">
      <formula>IF(GE$8="判定対象外",TRUE,FALSE)</formula>
    </cfRule>
  </conditionalFormatting>
  <conditionalFormatting sqref="GK35">
    <cfRule type="expression" dxfId="187" priority="187" stopIfTrue="1">
      <formula>IF(GK35="-",TRUE,FALSE)</formula>
    </cfRule>
    <cfRule type="expression" dxfId="186" priority="188" stopIfTrue="1">
      <formula>IF(OR(GK35="OK"),FALSE,TRUE)</formula>
    </cfRule>
  </conditionalFormatting>
  <conditionalFormatting sqref="GJ35">
    <cfRule type="expression" dxfId="185" priority="186" stopIfTrue="1">
      <formula>IF(GI$8="判定対象外",TRUE,FALSE)</formula>
    </cfRule>
  </conditionalFormatting>
  <conditionalFormatting sqref="GH35">
    <cfRule type="expression" dxfId="184" priority="185" stopIfTrue="1">
      <formula>IF(GI$8="判定対象外",TRUE,FALSE)</formula>
    </cfRule>
  </conditionalFormatting>
  <conditionalFormatting sqref="GI35">
    <cfRule type="expression" dxfId="183" priority="184" stopIfTrue="1">
      <formula>IF(GI$8="判定対象外",TRUE,FALSE)</formula>
    </cfRule>
  </conditionalFormatting>
  <conditionalFormatting sqref="GO35">
    <cfRule type="expression" dxfId="182" priority="182" stopIfTrue="1">
      <formula>IF(GO35="-",TRUE,FALSE)</formula>
    </cfRule>
    <cfRule type="expression" dxfId="181" priority="183" stopIfTrue="1">
      <formula>IF(OR(GO35="OK"),FALSE,TRUE)</formula>
    </cfRule>
  </conditionalFormatting>
  <conditionalFormatting sqref="GN35">
    <cfRule type="expression" dxfId="180" priority="181" stopIfTrue="1">
      <formula>IF(GM$8="判定対象外",TRUE,FALSE)</formula>
    </cfRule>
  </conditionalFormatting>
  <conditionalFormatting sqref="GL35">
    <cfRule type="expression" dxfId="179" priority="180" stopIfTrue="1">
      <formula>IF(GM$8="判定対象外",TRUE,FALSE)</formula>
    </cfRule>
  </conditionalFormatting>
  <conditionalFormatting sqref="GM35">
    <cfRule type="expression" dxfId="178" priority="179" stopIfTrue="1">
      <formula>IF(GM$8="判定対象外",TRUE,FALSE)</formula>
    </cfRule>
  </conditionalFormatting>
  <conditionalFormatting sqref="GP35">
    <cfRule type="expression" dxfId="177" priority="178" stopIfTrue="1">
      <formula>IF(GQ$8="判定対象外",TRUE,FALSE)</formula>
    </cfRule>
  </conditionalFormatting>
  <conditionalFormatting sqref="BU35">
    <cfRule type="expression" dxfId="176" priority="176" stopIfTrue="1">
      <formula>IF(BU35="-",TRUE,FALSE)</formula>
    </cfRule>
    <cfRule type="expression" dxfId="175" priority="177" stopIfTrue="1">
      <formula>IF(OR(BU35="OK"),FALSE,TRUE)</formula>
    </cfRule>
  </conditionalFormatting>
  <conditionalFormatting sqref="BT35">
    <cfRule type="expression" dxfId="174" priority="175" stopIfTrue="1">
      <formula>IF(BS$8="判定対象外",TRUE,FALSE)</formula>
    </cfRule>
  </conditionalFormatting>
  <conditionalFormatting sqref="BR35">
    <cfRule type="expression" dxfId="173" priority="174" stopIfTrue="1">
      <formula>IF(BS$8="判定対象外",TRUE,FALSE)</formula>
    </cfRule>
  </conditionalFormatting>
  <conditionalFormatting sqref="BS35">
    <cfRule type="expression" dxfId="172" priority="173" stopIfTrue="1">
      <formula>IF(BS$8="判定対象外",TRUE,FALSE)</formula>
    </cfRule>
  </conditionalFormatting>
  <conditionalFormatting sqref="BY35">
    <cfRule type="expression" dxfId="171" priority="171" stopIfTrue="1">
      <formula>IF(BY35="-",TRUE,FALSE)</formula>
    </cfRule>
    <cfRule type="expression" dxfId="170" priority="172" stopIfTrue="1">
      <formula>IF(OR(BY35="OK"),FALSE,TRUE)</formula>
    </cfRule>
  </conditionalFormatting>
  <conditionalFormatting sqref="BX35">
    <cfRule type="expression" dxfId="169" priority="170" stopIfTrue="1">
      <formula>IF(BW$8="判定対象外",TRUE,FALSE)</formula>
    </cfRule>
  </conditionalFormatting>
  <conditionalFormatting sqref="BV35">
    <cfRule type="expression" dxfId="168" priority="169" stopIfTrue="1">
      <formula>IF(BW$8="判定対象外",TRUE,FALSE)</formula>
    </cfRule>
  </conditionalFormatting>
  <conditionalFormatting sqref="BW35">
    <cfRule type="expression" dxfId="167" priority="168" stopIfTrue="1">
      <formula>IF(BW$8="判定対象外",TRUE,FALSE)</formula>
    </cfRule>
  </conditionalFormatting>
  <conditionalFormatting sqref="CC35">
    <cfRule type="expression" dxfId="166" priority="166" stopIfTrue="1">
      <formula>IF(CC35="-",TRUE,FALSE)</formula>
    </cfRule>
    <cfRule type="expression" dxfId="165" priority="167" stopIfTrue="1">
      <formula>IF(OR(CC35="OK"),FALSE,TRUE)</formula>
    </cfRule>
  </conditionalFormatting>
  <conditionalFormatting sqref="CB35">
    <cfRule type="expression" dxfId="164" priority="165" stopIfTrue="1">
      <formula>IF(CA$8="判定対象外",TRUE,FALSE)</formula>
    </cfRule>
  </conditionalFormatting>
  <conditionalFormatting sqref="BZ35">
    <cfRule type="expression" dxfId="163" priority="164" stopIfTrue="1">
      <formula>IF(CA$8="判定対象外",TRUE,FALSE)</formula>
    </cfRule>
  </conditionalFormatting>
  <conditionalFormatting sqref="CA35">
    <cfRule type="expression" dxfId="162" priority="163" stopIfTrue="1">
      <formula>IF(CA$8="判定対象外",TRUE,FALSE)</formula>
    </cfRule>
  </conditionalFormatting>
  <conditionalFormatting sqref="CG35">
    <cfRule type="expression" dxfId="161" priority="161" stopIfTrue="1">
      <formula>IF(CG35="-",TRUE,FALSE)</formula>
    </cfRule>
    <cfRule type="expression" dxfId="160" priority="162" stopIfTrue="1">
      <formula>IF(OR(CG35="OK"),FALSE,TRUE)</formula>
    </cfRule>
  </conditionalFormatting>
  <conditionalFormatting sqref="CF35">
    <cfRule type="expression" dxfId="159" priority="160" stopIfTrue="1">
      <formula>IF(CE$8="判定対象外",TRUE,FALSE)</formula>
    </cfRule>
  </conditionalFormatting>
  <conditionalFormatting sqref="CD35">
    <cfRule type="expression" dxfId="158" priority="159" stopIfTrue="1">
      <formula>IF(CE$8="判定対象外",TRUE,FALSE)</formula>
    </cfRule>
  </conditionalFormatting>
  <conditionalFormatting sqref="CE35">
    <cfRule type="expression" dxfId="157" priority="158" stopIfTrue="1">
      <formula>IF(CE$8="判定対象外",TRUE,FALSE)</formula>
    </cfRule>
  </conditionalFormatting>
  <conditionalFormatting sqref="CK35">
    <cfRule type="expression" dxfId="156" priority="156" stopIfTrue="1">
      <formula>IF(CK35="-",TRUE,FALSE)</formula>
    </cfRule>
    <cfRule type="expression" dxfId="155" priority="157" stopIfTrue="1">
      <formula>IF(OR(CK35="OK"),FALSE,TRUE)</formula>
    </cfRule>
  </conditionalFormatting>
  <conditionalFormatting sqref="CJ35">
    <cfRule type="expression" dxfId="154" priority="155" stopIfTrue="1">
      <formula>IF(CI$8="判定対象外",TRUE,FALSE)</formula>
    </cfRule>
  </conditionalFormatting>
  <conditionalFormatting sqref="CH35">
    <cfRule type="expression" dxfId="153" priority="154" stopIfTrue="1">
      <formula>IF(CI$8="判定対象外",TRUE,FALSE)</formula>
    </cfRule>
  </conditionalFormatting>
  <conditionalFormatting sqref="CI35">
    <cfRule type="expression" dxfId="152" priority="153" stopIfTrue="1">
      <formula>IF(CI$8="判定対象外",TRUE,FALSE)</formula>
    </cfRule>
  </conditionalFormatting>
  <conditionalFormatting sqref="CO35">
    <cfRule type="expression" dxfId="151" priority="151" stopIfTrue="1">
      <formula>IF(CO35="-",TRUE,FALSE)</formula>
    </cfRule>
    <cfRule type="expression" dxfId="150" priority="152" stopIfTrue="1">
      <formula>IF(OR(CO35="OK"),FALSE,TRUE)</formula>
    </cfRule>
  </conditionalFormatting>
  <conditionalFormatting sqref="CN35">
    <cfRule type="expression" dxfId="149" priority="150" stopIfTrue="1">
      <formula>IF(CM$8="判定対象外",TRUE,FALSE)</formula>
    </cfRule>
  </conditionalFormatting>
  <conditionalFormatting sqref="CL35">
    <cfRule type="expression" dxfId="148" priority="149" stopIfTrue="1">
      <formula>IF(CM$8="判定対象外",TRUE,FALSE)</formula>
    </cfRule>
  </conditionalFormatting>
  <conditionalFormatting sqref="CM35">
    <cfRule type="expression" dxfId="147" priority="148" stopIfTrue="1">
      <formula>IF(CM$8="判定対象外",TRUE,FALSE)</formula>
    </cfRule>
  </conditionalFormatting>
  <conditionalFormatting sqref="CS35">
    <cfRule type="expression" dxfId="146" priority="146" stopIfTrue="1">
      <formula>IF(CS35="-",TRUE,FALSE)</formula>
    </cfRule>
    <cfRule type="expression" dxfId="145" priority="147" stopIfTrue="1">
      <formula>IF(OR(CS35="OK"),FALSE,TRUE)</formula>
    </cfRule>
  </conditionalFormatting>
  <conditionalFormatting sqref="CR35">
    <cfRule type="expression" dxfId="144" priority="145" stopIfTrue="1">
      <formula>IF(CQ$8="判定対象外",TRUE,FALSE)</formula>
    </cfRule>
  </conditionalFormatting>
  <conditionalFormatting sqref="CP35">
    <cfRule type="expression" dxfId="143" priority="144" stopIfTrue="1">
      <formula>IF(CQ$8="判定対象外",TRUE,FALSE)</formula>
    </cfRule>
  </conditionalFormatting>
  <conditionalFormatting sqref="CQ35">
    <cfRule type="expression" dxfId="142" priority="143" stopIfTrue="1">
      <formula>IF(CQ$8="判定対象外",TRUE,FALSE)</formula>
    </cfRule>
  </conditionalFormatting>
  <conditionalFormatting sqref="CW35">
    <cfRule type="expression" dxfId="141" priority="141" stopIfTrue="1">
      <formula>IF(CW35="-",TRUE,FALSE)</formula>
    </cfRule>
    <cfRule type="expression" dxfId="140" priority="142" stopIfTrue="1">
      <formula>IF(OR(CW35="OK"),FALSE,TRUE)</formula>
    </cfRule>
  </conditionalFormatting>
  <conditionalFormatting sqref="CV35">
    <cfRule type="expression" dxfId="139" priority="140" stopIfTrue="1">
      <formula>IF(CU$8="判定対象外",TRUE,FALSE)</formula>
    </cfRule>
  </conditionalFormatting>
  <conditionalFormatting sqref="CT35">
    <cfRule type="expression" dxfId="138" priority="139" stopIfTrue="1">
      <formula>IF(CU$8="判定対象外",TRUE,FALSE)</formula>
    </cfRule>
  </conditionalFormatting>
  <conditionalFormatting sqref="CU35">
    <cfRule type="expression" dxfId="137" priority="138" stopIfTrue="1">
      <formula>IF(CU$8="判定対象外",TRUE,FALSE)</formula>
    </cfRule>
  </conditionalFormatting>
  <conditionalFormatting sqref="DA35">
    <cfRule type="expression" dxfId="136" priority="136" stopIfTrue="1">
      <formula>IF(DA35="-",TRUE,FALSE)</formula>
    </cfRule>
    <cfRule type="expression" dxfId="135" priority="137" stopIfTrue="1">
      <formula>IF(OR(DA35="OK"),FALSE,TRUE)</formula>
    </cfRule>
  </conditionalFormatting>
  <conditionalFormatting sqref="CZ35">
    <cfRule type="expression" dxfId="134" priority="135" stopIfTrue="1">
      <formula>IF(CY$8="判定対象外",TRUE,FALSE)</formula>
    </cfRule>
  </conditionalFormatting>
  <conditionalFormatting sqref="CX35">
    <cfRule type="expression" dxfId="133" priority="134" stopIfTrue="1">
      <formula>IF(CY$8="判定対象外",TRUE,FALSE)</formula>
    </cfRule>
  </conditionalFormatting>
  <conditionalFormatting sqref="CY35">
    <cfRule type="expression" dxfId="132" priority="133" stopIfTrue="1">
      <formula>IF(CY$8="判定対象外",TRUE,FALSE)</formula>
    </cfRule>
  </conditionalFormatting>
  <conditionalFormatting sqref="DI35">
    <cfRule type="expression" dxfId="131" priority="131" stopIfTrue="1">
      <formula>IF(DI35="-",TRUE,FALSE)</formula>
    </cfRule>
    <cfRule type="expression" dxfId="130" priority="132" stopIfTrue="1">
      <formula>IF(OR(DI35="OK"),FALSE,TRUE)</formula>
    </cfRule>
  </conditionalFormatting>
  <conditionalFormatting sqref="DH35">
    <cfRule type="expression" dxfId="129" priority="130" stopIfTrue="1">
      <formula>IF(DG$8="判定対象外",TRUE,FALSE)</formula>
    </cfRule>
  </conditionalFormatting>
  <conditionalFormatting sqref="DF35">
    <cfRule type="expression" dxfId="128" priority="129" stopIfTrue="1">
      <formula>IF(DG$8="判定対象外",TRUE,FALSE)</formula>
    </cfRule>
  </conditionalFormatting>
  <conditionalFormatting sqref="DG35">
    <cfRule type="expression" dxfId="127" priority="128" stopIfTrue="1">
      <formula>IF(DG$8="判定対象外",TRUE,FALSE)</formula>
    </cfRule>
  </conditionalFormatting>
  <conditionalFormatting sqref="DM35">
    <cfRule type="expression" dxfId="126" priority="126" stopIfTrue="1">
      <formula>IF(DM35="-",TRUE,FALSE)</formula>
    </cfRule>
    <cfRule type="expression" dxfId="125" priority="127" stopIfTrue="1">
      <formula>IF(OR(DM35="OK"),FALSE,TRUE)</formula>
    </cfRule>
  </conditionalFormatting>
  <conditionalFormatting sqref="DL35">
    <cfRule type="expression" dxfId="124" priority="125" stopIfTrue="1">
      <formula>IF(DK$8="判定対象外",TRUE,FALSE)</formula>
    </cfRule>
  </conditionalFormatting>
  <conditionalFormatting sqref="DJ35">
    <cfRule type="expression" dxfId="123" priority="124" stopIfTrue="1">
      <formula>IF(DK$8="判定対象外",TRUE,FALSE)</formula>
    </cfRule>
  </conditionalFormatting>
  <conditionalFormatting sqref="DK35">
    <cfRule type="expression" dxfId="122" priority="123" stopIfTrue="1">
      <formula>IF(DK$8="判定対象外",TRUE,FALSE)</formula>
    </cfRule>
  </conditionalFormatting>
  <conditionalFormatting sqref="DQ35">
    <cfRule type="expression" dxfId="121" priority="121" stopIfTrue="1">
      <formula>IF(DQ35="-",TRUE,FALSE)</formula>
    </cfRule>
    <cfRule type="expression" dxfId="120" priority="122" stopIfTrue="1">
      <formula>IF(OR(DQ35="OK"),FALSE,TRUE)</formula>
    </cfRule>
  </conditionalFormatting>
  <conditionalFormatting sqref="DP35">
    <cfRule type="expression" dxfId="119" priority="120" stopIfTrue="1">
      <formula>IF(DO$8="判定対象外",TRUE,FALSE)</formula>
    </cfRule>
  </conditionalFormatting>
  <conditionalFormatting sqref="DN35">
    <cfRule type="expression" dxfId="118" priority="119" stopIfTrue="1">
      <formula>IF(DO$8="判定対象外",TRUE,FALSE)</formula>
    </cfRule>
  </conditionalFormatting>
  <conditionalFormatting sqref="DO35">
    <cfRule type="expression" dxfId="117" priority="118" stopIfTrue="1">
      <formula>IF(DO$8="判定対象外",TRUE,FALSE)</formula>
    </cfRule>
  </conditionalFormatting>
  <conditionalFormatting sqref="DU35">
    <cfRule type="expression" dxfId="116" priority="116" stopIfTrue="1">
      <formula>IF(DU35="-",TRUE,FALSE)</formula>
    </cfRule>
    <cfRule type="expression" dxfId="115" priority="117" stopIfTrue="1">
      <formula>IF(OR(DU35="OK"),FALSE,TRUE)</formula>
    </cfRule>
  </conditionalFormatting>
  <conditionalFormatting sqref="DT35">
    <cfRule type="expression" dxfId="114" priority="115" stopIfTrue="1">
      <formula>IF(DS$8="判定対象外",TRUE,FALSE)</formula>
    </cfRule>
  </conditionalFormatting>
  <conditionalFormatting sqref="DR35">
    <cfRule type="expression" dxfId="113" priority="114" stopIfTrue="1">
      <formula>IF(DS$8="判定対象外",TRUE,FALSE)</formula>
    </cfRule>
  </conditionalFormatting>
  <conditionalFormatting sqref="DS35">
    <cfRule type="expression" dxfId="112" priority="113" stopIfTrue="1">
      <formula>IF(DS$8="判定対象外",TRUE,FALSE)</formula>
    </cfRule>
  </conditionalFormatting>
  <conditionalFormatting sqref="DY35">
    <cfRule type="expression" dxfId="111" priority="111" stopIfTrue="1">
      <formula>IF(DY35="-",TRUE,FALSE)</formula>
    </cfRule>
    <cfRule type="expression" dxfId="110" priority="112" stopIfTrue="1">
      <formula>IF(OR(DY35="OK"),FALSE,TRUE)</formula>
    </cfRule>
  </conditionalFormatting>
  <conditionalFormatting sqref="DX35">
    <cfRule type="expression" dxfId="109" priority="110" stopIfTrue="1">
      <formula>IF(DW$8="判定対象外",TRUE,FALSE)</formula>
    </cfRule>
  </conditionalFormatting>
  <conditionalFormatting sqref="DV35">
    <cfRule type="expression" dxfId="108" priority="109" stopIfTrue="1">
      <formula>IF(DW$8="判定対象外",TRUE,FALSE)</formula>
    </cfRule>
  </conditionalFormatting>
  <conditionalFormatting sqref="DW35">
    <cfRule type="expression" dxfId="107" priority="108" stopIfTrue="1">
      <formula>IF(DW$8="判定対象外",TRUE,FALSE)</formula>
    </cfRule>
  </conditionalFormatting>
  <conditionalFormatting sqref="EC35">
    <cfRule type="expression" dxfId="106" priority="106" stopIfTrue="1">
      <formula>IF(EC35="-",TRUE,FALSE)</formula>
    </cfRule>
    <cfRule type="expression" dxfId="105" priority="107" stopIfTrue="1">
      <formula>IF(OR(EC35="OK"),FALSE,TRUE)</formula>
    </cfRule>
  </conditionalFormatting>
  <conditionalFormatting sqref="EB35">
    <cfRule type="expression" dxfId="104" priority="105" stopIfTrue="1">
      <formula>IF(EA$8="判定対象外",TRUE,FALSE)</formula>
    </cfRule>
  </conditionalFormatting>
  <conditionalFormatting sqref="DZ35">
    <cfRule type="expression" dxfId="103" priority="104" stopIfTrue="1">
      <formula>IF(EA$8="判定対象外",TRUE,FALSE)</formula>
    </cfRule>
  </conditionalFormatting>
  <conditionalFormatting sqref="EA35">
    <cfRule type="expression" dxfId="102" priority="103" stopIfTrue="1">
      <formula>IF(EA$8="判定対象外",TRUE,FALSE)</formula>
    </cfRule>
  </conditionalFormatting>
  <conditionalFormatting sqref="EG35">
    <cfRule type="expression" dxfId="101" priority="101" stopIfTrue="1">
      <formula>IF(EG35="-",TRUE,FALSE)</formula>
    </cfRule>
    <cfRule type="expression" dxfId="100" priority="102" stopIfTrue="1">
      <formula>IF(OR(EG35="OK"),FALSE,TRUE)</formula>
    </cfRule>
  </conditionalFormatting>
  <conditionalFormatting sqref="EF35">
    <cfRule type="expression" dxfId="99" priority="100" stopIfTrue="1">
      <formula>IF(EE$8="判定対象外",TRUE,FALSE)</formula>
    </cfRule>
  </conditionalFormatting>
  <conditionalFormatting sqref="ED35">
    <cfRule type="expression" dxfId="98" priority="99" stopIfTrue="1">
      <formula>IF(EE$8="判定対象外",TRUE,FALSE)</formula>
    </cfRule>
  </conditionalFormatting>
  <conditionalFormatting sqref="EE35">
    <cfRule type="expression" dxfId="97" priority="98" stopIfTrue="1">
      <formula>IF(EE$8="判定対象外",TRUE,FALSE)</formula>
    </cfRule>
  </conditionalFormatting>
  <conditionalFormatting sqref="EK35">
    <cfRule type="expression" dxfId="96" priority="96" stopIfTrue="1">
      <formula>IF(EK35="-",TRUE,FALSE)</formula>
    </cfRule>
    <cfRule type="expression" dxfId="95" priority="97" stopIfTrue="1">
      <formula>IF(OR(EK35="OK"),FALSE,TRUE)</formula>
    </cfRule>
  </conditionalFormatting>
  <conditionalFormatting sqref="EJ35">
    <cfRule type="expression" dxfId="94" priority="95" stopIfTrue="1">
      <formula>IF(EI$8="判定対象外",TRUE,FALSE)</formula>
    </cfRule>
  </conditionalFormatting>
  <conditionalFormatting sqref="EH35">
    <cfRule type="expression" dxfId="93" priority="94" stopIfTrue="1">
      <formula>IF(EI$8="判定対象外",TRUE,FALSE)</formula>
    </cfRule>
  </conditionalFormatting>
  <conditionalFormatting sqref="EI35">
    <cfRule type="expression" dxfId="92" priority="93" stopIfTrue="1">
      <formula>IF(EI$8="判定対象外",TRUE,FALSE)</formula>
    </cfRule>
  </conditionalFormatting>
  <conditionalFormatting sqref="EO35">
    <cfRule type="expression" dxfId="91" priority="91" stopIfTrue="1">
      <formula>IF(EO35="-",TRUE,FALSE)</formula>
    </cfRule>
    <cfRule type="expression" dxfId="90" priority="92" stopIfTrue="1">
      <formula>IF(OR(EO35="OK"),FALSE,TRUE)</formula>
    </cfRule>
  </conditionalFormatting>
  <conditionalFormatting sqref="EN35">
    <cfRule type="expression" dxfId="89" priority="90" stopIfTrue="1">
      <formula>IF(EM$8="判定対象外",TRUE,FALSE)</formula>
    </cfRule>
  </conditionalFormatting>
  <conditionalFormatting sqref="EL35">
    <cfRule type="expression" dxfId="88" priority="89" stopIfTrue="1">
      <formula>IF(EM$8="判定対象外",TRUE,FALSE)</formula>
    </cfRule>
  </conditionalFormatting>
  <conditionalFormatting sqref="EM35">
    <cfRule type="expression" dxfId="87" priority="88" stopIfTrue="1">
      <formula>IF(EM$8="判定対象外",TRUE,FALSE)</formula>
    </cfRule>
  </conditionalFormatting>
  <conditionalFormatting sqref="FZ35">
    <cfRule type="expression" dxfId="86" priority="87" stopIfTrue="1">
      <formula>IF(GA$8="判定対象外",TRUE,FALSE)</formula>
    </cfRule>
  </conditionalFormatting>
  <conditionalFormatting sqref="ES35">
    <cfRule type="expression" dxfId="85" priority="85" stopIfTrue="1">
      <formula>IF(ES35="-",TRUE,FALSE)</formula>
    </cfRule>
    <cfRule type="expression" dxfId="84" priority="86" stopIfTrue="1">
      <formula>IF(OR(ES35="OK"),FALSE,TRUE)</formula>
    </cfRule>
  </conditionalFormatting>
  <conditionalFormatting sqref="ER35">
    <cfRule type="expression" dxfId="83" priority="84" stopIfTrue="1">
      <formula>IF(EQ$8="判定対象外",TRUE,FALSE)</formula>
    </cfRule>
  </conditionalFormatting>
  <conditionalFormatting sqref="EP35">
    <cfRule type="expression" dxfId="82" priority="83" stopIfTrue="1">
      <formula>IF(EQ$8="判定対象外",TRUE,FALSE)</formula>
    </cfRule>
  </conditionalFormatting>
  <conditionalFormatting sqref="EQ35">
    <cfRule type="expression" dxfId="81" priority="82" stopIfTrue="1">
      <formula>IF(EQ$8="判定対象外",TRUE,FALSE)</formula>
    </cfRule>
  </conditionalFormatting>
  <conditionalFormatting sqref="EW35">
    <cfRule type="expression" dxfId="80" priority="80" stopIfTrue="1">
      <formula>IF(EW35="-",TRUE,FALSE)</formula>
    </cfRule>
    <cfRule type="expression" dxfId="79" priority="81" stopIfTrue="1">
      <formula>IF(OR(EW35="OK"),FALSE,TRUE)</formula>
    </cfRule>
  </conditionalFormatting>
  <conditionalFormatting sqref="EV35">
    <cfRule type="expression" dxfId="78" priority="79" stopIfTrue="1">
      <formula>IF(EU$8="判定対象外",TRUE,FALSE)</formula>
    </cfRule>
  </conditionalFormatting>
  <conditionalFormatting sqref="ET35">
    <cfRule type="expression" dxfId="77" priority="78" stopIfTrue="1">
      <formula>IF(EU$8="判定対象外",TRUE,FALSE)</formula>
    </cfRule>
  </conditionalFormatting>
  <conditionalFormatting sqref="EU35">
    <cfRule type="expression" dxfId="76" priority="77" stopIfTrue="1">
      <formula>IF(EU$8="判定対象外",TRUE,FALSE)</formula>
    </cfRule>
  </conditionalFormatting>
  <conditionalFormatting sqref="FA35">
    <cfRule type="expression" dxfId="75" priority="75" stopIfTrue="1">
      <formula>IF(FA35="-",TRUE,FALSE)</formula>
    </cfRule>
    <cfRule type="expression" dxfId="74" priority="76" stopIfTrue="1">
      <formula>IF(OR(FA35="OK"),FALSE,TRUE)</formula>
    </cfRule>
  </conditionalFormatting>
  <conditionalFormatting sqref="EZ35">
    <cfRule type="expression" dxfId="73" priority="74" stopIfTrue="1">
      <formula>IF(EY$8="判定対象外",TRUE,FALSE)</formula>
    </cfRule>
  </conditionalFormatting>
  <conditionalFormatting sqref="EX35">
    <cfRule type="expression" dxfId="72" priority="73" stopIfTrue="1">
      <formula>IF(EY$8="判定対象外",TRUE,FALSE)</formula>
    </cfRule>
  </conditionalFormatting>
  <conditionalFormatting sqref="EY35">
    <cfRule type="expression" dxfId="71" priority="72" stopIfTrue="1">
      <formula>IF(EY$8="判定対象外",TRUE,FALSE)</formula>
    </cfRule>
  </conditionalFormatting>
  <conditionalFormatting sqref="FE35">
    <cfRule type="expression" dxfId="70" priority="70" stopIfTrue="1">
      <formula>IF(FE35="-",TRUE,FALSE)</formula>
    </cfRule>
    <cfRule type="expression" dxfId="69" priority="71" stopIfTrue="1">
      <formula>IF(OR(FE35="OK"),FALSE,TRUE)</formula>
    </cfRule>
  </conditionalFormatting>
  <conditionalFormatting sqref="FD35">
    <cfRule type="expression" dxfId="68" priority="69" stopIfTrue="1">
      <formula>IF(FC$8="判定対象外",TRUE,FALSE)</formula>
    </cfRule>
  </conditionalFormatting>
  <conditionalFormatting sqref="FB35">
    <cfRule type="expression" dxfId="67" priority="68" stopIfTrue="1">
      <formula>IF(FC$8="判定対象外",TRUE,FALSE)</formula>
    </cfRule>
  </conditionalFormatting>
  <conditionalFormatting sqref="FC35">
    <cfRule type="expression" dxfId="66" priority="67" stopIfTrue="1">
      <formula>IF(FC$8="判定対象外",TRUE,FALSE)</formula>
    </cfRule>
  </conditionalFormatting>
  <conditionalFormatting sqref="FI35">
    <cfRule type="expression" dxfId="65" priority="65" stopIfTrue="1">
      <formula>IF(FI35="-",TRUE,FALSE)</formula>
    </cfRule>
    <cfRule type="expression" dxfId="64" priority="66" stopIfTrue="1">
      <formula>IF(OR(FI35="OK"),FALSE,TRUE)</formula>
    </cfRule>
  </conditionalFormatting>
  <conditionalFormatting sqref="FH35">
    <cfRule type="expression" dxfId="63" priority="64" stopIfTrue="1">
      <formula>IF(FG$8="判定対象外",TRUE,FALSE)</formula>
    </cfRule>
  </conditionalFormatting>
  <conditionalFormatting sqref="FF35">
    <cfRule type="expression" dxfId="62" priority="63" stopIfTrue="1">
      <formula>IF(FG$8="判定対象外",TRUE,FALSE)</formula>
    </cfRule>
  </conditionalFormatting>
  <conditionalFormatting sqref="FG35">
    <cfRule type="expression" dxfId="61" priority="62" stopIfTrue="1">
      <formula>IF(FG$8="判定対象外",TRUE,FALSE)</formula>
    </cfRule>
  </conditionalFormatting>
  <conditionalFormatting sqref="FM35">
    <cfRule type="expression" dxfId="60" priority="60" stopIfTrue="1">
      <formula>IF(FM35="-",TRUE,FALSE)</formula>
    </cfRule>
    <cfRule type="expression" dxfId="59" priority="61" stopIfTrue="1">
      <formula>IF(OR(FM35="OK"),FALSE,TRUE)</formula>
    </cfRule>
  </conditionalFormatting>
  <conditionalFormatting sqref="FL35">
    <cfRule type="expression" dxfId="58" priority="59" stopIfTrue="1">
      <formula>IF(FK$8="判定対象外",TRUE,FALSE)</formula>
    </cfRule>
  </conditionalFormatting>
  <conditionalFormatting sqref="FJ35">
    <cfRule type="expression" dxfId="57" priority="58" stopIfTrue="1">
      <formula>IF(FK$8="判定対象外",TRUE,FALSE)</formula>
    </cfRule>
  </conditionalFormatting>
  <conditionalFormatting sqref="FK35">
    <cfRule type="expression" dxfId="56" priority="57" stopIfTrue="1">
      <formula>IF(FK$8="判定対象外",TRUE,FALSE)</formula>
    </cfRule>
  </conditionalFormatting>
  <conditionalFormatting sqref="FQ35">
    <cfRule type="expression" dxfId="55" priority="55" stopIfTrue="1">
      <formula>IF(FQ35="-",TRUE,FALSE)</formula>
    </cfRule>
    <cfRule type="expression" dxfId="54" priority="56" stopIfTrue="1">
      <formula>IF(OR(FQ35="OK"),FALSE,TRUE)</formula>
    </cfRule>
  </conditionalFormatting>
  <conditionalFormatting sqref="FP35">
    <cfRule type="expression" dxfId="53" priority="54" stopIfTrue="1">
      <formula>IF(FO$8="判定対象外",TRUE,FALSE)</formula>
    </cfRule>
  </conditionalFormatting>
  <conditionalFormatting sqref="FN35">
    <cfRule type="expression" dxfId="52" priority="53" stopIfTrue="1">
      <formula>IF(FO$8="判定対象外",TRUE,FALSE)</formula>
    </cfRule>
  </conditionalFormatting>
  <conditionalFormatting sqref="FO35">
    <cfRule type="expression" dxfId="51" priority="52" stopIfTrue="1">
      <formula>IF(FO$8="判定対象外",TRUE,FALSE)</formula>
    </cfRule>
  </conditionalFormatting>
  <conditionalFormatting sqref="FU35">
    <cfRule type="expression" dxfId="50" priority="50" stopIfTrue="1">
      <formula>IF(FU35="-",TRUE,FALSE)</formula>
    </cfRule>
    <cfRule type="expression" dxfId="49" priority="51" stopIfTrue="1">
      <formula>IF(OR(FU35="OK"),FALSE,TRUE)</formula>
    </cfRule>
  </conditionalFormatting>
  <conditionalFormatting sqref="FT35">
    <cfRule type="expression" dxfId="48" priority="49" stopIfTrue="1">
      <formula>IF(FS$8="判定対象外",TRUE,FALSE)</formula>
    </cfRule>
  </conditionalFormatting>
  <conditionalFormatting sqref="FR35">
    <cfRule type="expression" dxfId="47" priority="48" stopIfTrue="1">
      <formula>IF(FS$8="判定対象外",TRUE,FALSE)</formula>
    </cfRule>
  </conditionalFormatting>
  <conditionalFormatting sqref="FS35">
    <cfRule type="expression" dxfId="46" priority="47" stopIfTrue="1">
      <formula>IF(FS$8="判定対象外",TRUE,FALSE)</formula>
    </cfRule>
  </conditionalFormatting>
  <conditionalFormatting sqref="FY35">
    <cfRule type="expression" dxfId="45" priority="45" stopIfTrue="1">
      <formula>IF(FY35="-",TRUE,FALSE)</formula>
    </cfRule>
    <cfRule type="expression" dxfId="44" priority="46" stopIfTrue="1">
      <formula>IF(OR(FY35="OK"),FALSE,TRUE)</formula>
    </cfRule>
  </conditionalFormatting>
  <conditionalFormatting sqref="FX35">
    <cfRule type="expression" dxfId="43" priority="44" stopIfTrue="1">
      <formula>IF(FW$8="判定対象外",TRUE,FALSE)</formula>
    </cfRule>
  </conditionalFormatting>
  <conditionalFormatting sqref="FV35">
    <cfRule type="expression" dxfId="42" priority="43" stopIfTrue="1">
      <formula>IF(FW$8="判定対象外",TRUE,FALSE)</formula>
    </cfRule>
  </conditionalFormatting>
  <conditionalFormatting sqref="FW35">
    <cfRule type="expression" dxfId="41" priority="42" stopIfTrue="1">
      <formula>IF(FW$8="判定対象外",TRUE,FALSE)</formula>
    </cfRule>
  </conditionalFormatting>
  <conditionalFormatting sqref="EW35">
    <cfRule type="expression" dxfId="40" priority="40" stopIfTrue="1">
      <formula>IF(EW35="-",TRUE,FALSE)</formula>
    </cfRule>
    <cfRule type="expression" dxfId="39" priority="41" stopIfTrue="1">
      <formula>IF(OR(EW35="OK"),FALSE,TRUE)</formula>
    </cfRule>
  </conditionalFormatting>
  <conditionalFormatting sqref="EV35">
    <cfRule type="expression" dxfId="38" priority="39" stopIfTrue="1">
      <formula>IF(EU$8="判定対象外",TRUE,FALSE)</formula>
    </cfRule>
  </conditionalFormatting>
  <conditionalFormatting sqref="ET35">
    <cfRule type="expression" dxfId="37" priority="38" stopIfTrue="1">
      <formula>IF(EU$8="判定対象外",TRUE,FALSE)</formula>
    </cfRule>
  </conditionalFormatting>
  <conditionalFormatting sqref="EU35">
    <cfRule type="expression" dxfId="36" priority="37" stopIfTrue="1">
      <formula>IF(EU$8="判定対象外",TRUE,FALSE)</formula>
    </cfRule>
  </conditionalFormatting>
  <conditionalFormatting sqref="FA35">
    <cfRule type="expression" dxfId="35" priority="35" stopIfTrue="1">
      <formula>IF(FA35="-",TRUE,FALSE)</formula>
    </cfRule>
    <cfRule type="expression" dxfId="34" priority="36" stopIfTrue="1">
      <formula>IF(OR(FA35="OK"),FALSE,TRUE)</formula>
    </cfRule>
  </conditionalFormatting>
  <conditionalFormatting sqref="EZ35">
    <cfRule type="expression" dxfId="33" priority="34" stopIfTrue="1">
      <formula>IF(EY$8="判定対象外",TRUE,FALSE)</formula>
    </cfRule>
  </conditionalFormatting>
  <conditionalFormatting sqref="EX35">
    <cfRule type="expression" dxfId="32" priority="33" stopIfTrue="1">
      <formula>IF(EY$8="判定対象外",TRUE,FALSE)</formula>
    </cfRule>
  </conditionalFormatting>
  <conditionalFormatting sqref="EY35">
    <cfRule type="expression" dxfId="31" priority="32" stopIfTrue="1">
      <formula>IF(EY$8="判定対象外",TRUE,FALSE)</formula>
    </cfRule>
  </conditionalFormatting>
  <conditionalFormatting sqref="FE35">
    <cfRule type="expression" dxfId="30" priority="30" stopIfTrue="1">
      <formula>IF(FE35="-",TRUE,FALSE)</formula>
    </cfRule>
    <cfRule type="expression" dxfId="29" priority="31" stopIfTrue="1">
      <formula>IF(OR(FE35="OK"),FALSE,TRUE)</formula>
    </cfRule>
  </conditionalFormatting>
  <conditionalFormatting sqref="FD35">
    <cfRule type="expression" dxfId="28" priority="29" stopIfTrue="1">
      <formula>IF(FC$8="判定対象外",TRUE,FALSE)</formula>
    </cfRule>
  </conditionalFormatting>
  <conditionalFormatting sqref="FB35">
    <cfRule type="expression" dxfId="27" priority="28" stopIfTrue="1">
      <formula>IF(FC$8="判定対象外",TRUE,FALSE)</formula>
    </cfRule>
  </conditionalFormatting>
  <conditionalFormatting sqref="FC35">
    <cfRule type="expression" dxfId="26" priority="27" stopIfTrue="1">
      <formula>IF(FC$8="判定対象外",TRUE,FALSE)</formula>
    </cfRule>
  </conditionalFormatting>
  <conditionalFormatting sqref="FI35">
    <cfRule type="expression" dxfId="25" priority="25" stopIfTrue="1">
      <formula>IF(FI35="-",TRUE,FALSE)</formula>
    </cfRule>
    <cfRule type="expression" dxfId="24" priority="26" stopIfTrue="1">
      <formula>IF(OR(FI35="OK"),FALSE,TRUE)</formula>
    </cfRule>
  </conditionalFormatting>
  <conditionalFormatting sqref="FH35">
    <cfRule type="expression" dxfId="23" priority="24" stopIfTrue="1">
      <formula>IF(FG$8="判定対象外",TRUE,FALSE)</formula>
    </cfRule>
  </conditionalFormatting>
  <conditionalFormatting sqref="FF35">
    <cfRule type="expression" dxfId="22" priority="23" stopIfTrue="1">
      <formula>IF(FG$8="判定対象外",TRUE,FALSE)</formula>
    </cfRule>
  </conditionalFormatting>
  <conditionalFormatting sqref="FG35">
    <cfRule type="expression" dxfId="21" priority="22" stopIfTrue="1">
      <formula>IF(FG$8="判定対象外",TRUE,FALSE)</formula>
    </cfRule>
  </conditionalFormatting>
  <conditionalFormatting sqref="FM35">
    <cfRule type="expression" dxfId="20" priority="20" stopIfTrue="1">
      <formula>IF(FM35="-",TRUE,FALSE)</formula>
    </cfRule>
    <cfRule type="expression" dxfId="19" priority="21" stopIfTrue="1">
      <formula>IF(OR(FM35="OK"),FALSE,TRUE)</formula>
    </cfRule>
  </conditionalFormatting>
  <conditionalFormatting sqref="FL35">
    <cfRule type="expression" dxfId="18" priority="19" stopIfTrue="1">
      <formula>IF(FK$8="判定対象外",TRUE,FALSE)</formula>
    </cfRule>
  </conditionalFormatting>
  <conditionalFormatting sqref="FJ35">
    <cfRule type="expression" dxfId="17" priority="18" stopIfTrue="1">
      <formula>IF(FK$8="判定対象外",TRUE,FALSE)</formula>
    </cfRule>
  </conditionalFormatting>
  <conditionalFormatting sqref="FK35">
    <cfRule type="expression" dxfId="16" priority="17" stopIfTrue="1">
      <formula>IF(FK$8="判定対象外",TRUE,FALSE)</formula>
    </cfRule>
  </conditionalFormatting>
  <conditionalFormatting sqref="FQ35">
    <cfRule type="expression" dxfId="15" priority="15" stopIfTrue="1">
      <formula>IF(FQ35="-",TRUE,FALSE)</formula>
    </cfRule>
    <cfRule type="expression" dxfId="14" priority="16" stopIfTrue="1">
      <formula>IF(OR(FQ35="OK"),FALSE,TRUE)</formula>
    </cfRule>
  </conditionalFormatting>
  <conditionalFormatting sqref="FP35">
    <cfRule type="expression" dxfId="13" priority="14" stopIfTrue="1">
      <formula>IF(FO$8="判定対象外",TRUE,FALSE)</formula>
    </cfRule>
  </conditionalFormatting>
  <conditionalFormatting sqref="FN35">
    <cfRule type="expression" dxfId="12" priority="13" stopIfTrue="1">
      <formula>IF(FO$8="判定対象外",TRUE,FALSE)</formula>
    </cfRule>
  </conditionalFormatting>
  <conditionalFormatting sqref="FO35">
    <cfRule type="expression" dxfId="11" priority="12" stopIfTrue="1">
      <formula>IF(FO$8="判定対象外",TRUE,FALSE)</formula>
    </cfRule>
  </conditionalFormatting>
  <conditionalFormatting sqref="FU35">
    <cfRule type="expression" dxfId="10" priority="10" stopIfTrue="1">
      <formula>IF(FU35="-",TRUE,FALSE)</formula>
    </cfRule>
    <cfRule type="expression" dxfId="9" priority="11" stopIfTrue="1">
      <formula>IF(OR(FU35="OK"),FALSE,TRUE)</formula>
    </cfRule>
  </conditionalFormatting>
  <conditionalFormatting sqref="FT35">
    <cfRule type="expression" dxfId="8" priority="9" stopIfTrue="1">
      <formula>IF(FS$8="判定対象外",TRUE,FALSE)</formula>
    </cfRule>
  </conditionalFormatting>
  <conditionalFormatting sqref="FR35">
    <cfRule type="expression" dxfId="7" priority="8" stopIfTrue="1">
      <formula>IF(FS$8="判定対象外",TRUE,FALSE)</formula>
    </cfRule>
  </conditionalFormatting>
  <conditionalFormatting sqref="FS35">
    <cfRule type="expression" dxfId="6" priority="7" stopIfTrue="1">
      <formula>IF(FS$8="判定対象外",TRUE,FALSE)</formula>
    </cfRule>
  </conditionalFormatting>
  <conditionalFormatting sqref="FY35">
    <cfRule type="expression" dxfId="5" priority="5" stopIfTrue="1">
      <formula>IF(FY35="-",TRUE,FALSE)</formula>
    </cfRule>
    <cfRule type="expression" dxfId="4" priority="6" stopIfTrue="1">
      <formula>IF(OR(FY35="OK"),FALSE,TRUE)</formula>
    </cfRule>
  </conditionalFormatting>
  <conditionalFormatting sqref="FX35">
    <cfRule type="expression" dxfId="3" priority="4" stopIfTrue="1">
      <formula>IF(FW$8="判定対象外",TRUE,FALSE)</formula>
    </cfRule>
  </conditionalFormatting>
  <conditionalFormatting sqref="FV35">
    <cfRule type="expression" dxfId="2" priority="3" stopIfTrue="1">
      <formula>IF(FW$8="判定対象外",TRUE,FALSE)</formula>
    </cfRule>
  </conditionalFormatting>
  <conditionalFormatting sqref="FW35">
    <cfRule type="expression" dxfId="1" priority="2" stopIfTrue="1">
      <formula>IF(FW$8="判定対象外",TRUE,FALSE)</formula>
    </cfRule>
  </conditionalFormatting>
  <conditionalFormatting sqref="FZ35">
    <cfRule type="expression" dxfId="0" priority="1" stopIfTrue="1">
      <formula>IF(GA$8="判定対象外",TRUE,FALSE)</formula>
    </cfRule>
  </conditionalFormatting>
  <hyperlinks>
    <hyperlink ref="L4" r:id="rId1" xr:uid="{00000000-0004-0000-2E00-000000000000}"/>
    <hyperlink ref="L3" r:id="rId2" xr:uid="{00000000-0004-0000-2E00-000001000000}"/>
  </hyperlinks>
  <pageMargins left="0.7" right="0.7" top="0.75" bottom="0.75" header="0.3" footer="0.3"/>
  <pageSetup paperSize="9" orientation="portrait" verticalDpi="0"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dimension ref="A1:A6"/>
  <sheetViews>
    <sheetView workbookViewId="0">
      <selection activeCell="F23" sqref="F23"/>
    </sheetView>
  </sheetViews>
  <sheetFormatPr defaultColWidth="9" defaultRowHeight="13"/>
  <cols>
    <col min="1" max="16384" width="9" style="380"/>
  </cols>
  <sheetData>
    <row r="1" spans="1:1">
      <c r="A1" s="380" t="s">
        <v>671</v>
      </c>
    </row>
    <row r="6" spans="1:1">
      <c r="A6" s="380" t="s">
        <v>672</v>
      </c>
    </row>
  </sheetData>
  <phoneticPr fontId="3"/>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0287676697870445AE99785712142278" ma:contentTypeVersion="0" ma:contentTypeDescription="新しいドキュメントを作成します。" ma:contentTypeScope="" ma:versionID="9cd4863f177160b87af747e3a1c91ef1">
  <xsd:schema xmlns:xsd="http://www.w3.org/2001/XMLSchema" xmlns:xs="http://www.w3.org/2001/XMLSchema" xmlns:p="http://schemas.microsoft.com/office/2006/metadata/properties" targetNamespace="http://schemas.microsoft.com/office/2006/metadata/properties" ma:root="true" ma:fieldsID="e3fc15230516dd5e85220f060eed4ba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B89346-4A67-4EF5-8493-A243FB757C5A}">
  <ds:schemaRefs>
    <ds:schemaRef ds:uri="http://www.w3.org/XML/1998/namespace"/>
    <ds:schemaRef ds:uri="http://schemas.microsoft.com/office/2006/documentManagement/types"/>
    <ds:schemaRef ds:uri="http://schemas.microsoft.com/office/2006/metadata/properties"/>
    <ds:schemaRef ds:uri="http://purl.org/dc/dcmitype/"/>
    <ds:schemaRef ds:uri="http://purl.org/dc/terms/"/>
    <ds:schemaRef ds:uri="http://schemas.microsoft.com/office/infopath/2007/PartnerControls"/>
    <ds:schemaRef ds:uri="http://schemas.openxmlformats.org/package/2006/metadata/core-properties"/>
    <ds:schemaRef ds:uri="http://purl.org/dc/elements/1.1/"/>
  </ds:schemaRefs>
</ds:datastoreItem>
</file>

<file path=customXml/itemProps2.xml><?xml version="1.0" encoding="utf-8"?>
<ds:datastoreItem xmlns:ds="http://schemas.openxmlformats.org/officeDocument/2006/customXml" ds:itemID="{23383601-D44B-4393-ACED-D9B90FC74A4E}">
  <ds:schemaRefs>
    <ds:schemaRef ds:uri="http://schemas.microsoft.com/sharepoint/v3/contenttype/forms"/>
  </ds:schemaRefs>
</ds:datastoreItem>
</file>

<file path=customXml/itemProps3.xml><?xml version="1.0" encoding="utf-8"?>
<ds:datastoreItem xmlns:ds="http://schemas.openxmlformats.org/officeDocument/2006/customXml" ds:itemID="{C2B186A1-BF90-456C-A261-58B704DE73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48</vt:i4>
      </vt:variant>
      <vt:variant>
        <vt:lpstr>名前付き一覧</vt:lpstr>
      </vt:variant>
      <vt:variant>
        <vt:i4>2</vt:i4>
      </vt:variant>
    </vt:vector>
  </HeadingPairs>
  <TitlesOfParts>
    <vt:vector size="50" baseType="lpstr">
      <vt:lpstr>テスト観点</vt:lpstr>
      <vt:lpstr>異業種商材申込情報抽出</vt:lpstr>
      <vt:lpstr>1</vt:lpstr>
      <vt:lpstr>3</vt:lpstr>
      <vt:lpstr>4</vt:lpstr>
      <vt:lpstr>5</vt:lpstr>
      <vt:lpstr>6</vt:lpstr>
      <vt:lpstr>7</vt:lpstr>
      <vt:lpstr>8</vt:lpstr>
      <vt:lpstr>9</vt:lpstr>
      <vt:lpstr>10</vt:lpstr>
      <vt:lpstr>11</vt:lpstr>
      <vt:lpstr>12</vt:lpstr>
      <vt:lpstr>13</vt:lpstr>
      <vt:lpstr>14</vt:lpstr>
      <vt:lpstr>15</vt:lpstr>
      <vt:lpstr>2</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41</vt:lpstr>
      <vt:lpstr>42</vt:lpstr>
      <vt:lpstr>43</vt:lpstr>
      <vt:lpstr>Generator</vt:lpstr>
      <vt:lpstr>M001</vt:lpstr>
      <vt:lpstr>base</vt:lpstr>
      <vt:lpstr>異業種商材申込情報抽出!Print_Area</vt:lpstr>
      <vt:lpstr>異業種商材申込情報抽出!Print_Titles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Liang, Zhao-Fei (ES-Apps-GD-CQ)</dc:creator>
  <cp:lastModifiedBy>shumpei.morita</cp:lastModifiedBy>
  <cp:lastPrinted>2016-04-05T09:02:14Z</cp:lastPrinted>
  <dcterms:created xsi:type="dcterms:W3CDTF">2008-03-12T10:22:56Z</dcterms:created>
  <dcterms:modified xsi:type="dcterms:W3CDTF">2018-09-14T04:52:35Z</dcterms:modified>
</cp:coreProperties>
</file>